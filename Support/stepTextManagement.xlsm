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ti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mie\Desktop\Dropbox\JamieCritos\Support\"/>
    </mc:Choice>
  </mc:AlternateContent>
  <xr:revisionPtr revIDLastSave="0" documentId="8_{DEDE0F7A-4464-4346-8450-6D8E68227797}" xr6:coauthVersionLast="46" xr6:coauthVersionMax="46" xr10:uidLastSave="{00000000-0000-0000-0000-000000000000}"/>
  <bookViews>
    <workbookView xWindow="-120" yWindow="-120" windowWidth="29040" windowHeight="16440" activeTab="3" xr2:uid="{3CB11CE3-5830-4E17-BB02-0B2DD74C3D6E}"/>
  </bookViews>
  <sheets>
    <sheet name="Instructions" sheetId="3" r:id="rId1"/>
    <sheet name="STEP" sheetId="2" r:id="rId2"/>
    <sheet name="DBL_Biblica" sheetId="4" r:id="rId3"/>
    <sheet name="DBL_OpenAccess" sheetId="1" r:id="rId4"/>
    <sheet name="DBL_FullList" sheetId="7" r:id="rId5"/>
    <sheet name="BibleInEveryLanguageTexts" sheetId="6" r:id="rId6"/>
    <sheet name="ContactsDbl" sheetId="5" r:id="rId7"/>
  </sheets>
  <definedNames>
    <definedName name="_xlnm._FilterDatabase" localSheetId="5" hidden="1">BibleInEveryLanguageTexts!$A$1:$B$1</definedName>
    <definedName name="_xlnm._FilterDatabase" localSheetId="6" hidden="1">ContactsDbl!$A$1:$D$1</definedName>
    <definedName name="_xlnm._FilterDatabase" localSheetId="2" hidden="1">DBL_Biblica!$A$1:$G$64</definedName>
    <definedName name="_xlnm._FilterDatabase" localSheetId="4" hidden="1">DBL_FullList!$A$1:$M$2048</definedName>
    <definedName name="_xlnm._FilterDatabase" localSheetId="3" hidden="1">DBL_OpenAccess!$A$1:$S$121</definedName>
    <definedName name="_xlnm._FilterDatabase" localSheetId="1" hidden="1">STEP!$A$1:$E$1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7" l="1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D188" i="7" s="1"/>
  <c r="B189" i="7"/>
  <c r="B190" i="7"/>
  <c r="B191" i="7"/>
  <c r="B192" i="7"/>
  <c r="B193" i="7"/>
  <c r="D193" i="7" s="1"/>
  <c r="B194" i="7"/>
  <c r="D194" i="7" s="1"/>
  <c r="B195" i="7"/>
  <c r="D195" i="7" s="1"/>
  <c r="B196" i="7"/>
  <c r="B197" i="7"/>
  <c r="D197" i="7" s="1"/>
  <c r="B198" i="7"/>
  <c r="B199" i="7"/>
  <c r="B200" i="7"/>
  <c r="B201" i="7"/>
  <c r="B202" i="7"/>
  <c r="B203" i="7"/>
  <c r="B204" i="7"/>
  <c r="B205" i="7"/>
  <c r="B206" i="7"/>
  <c r="B207" i="7"/>
  <c r="B208" i="7"/>
  <c r="B209" i="7"/>
  <c r="B210" i="7"/>
  <c r="B211" i="7"/>
  <c r="B212" i="7"/>
  <c r="B213" i="7"/>
  <c r="B214" i="7"/>
  <c r="B215" i="7"/>
  <c r="B216" i="7"/>
  <c r="B217" i="7"/>
  <c r="B218" i="7"/>
  <c r="D218" i="7" s="1"/>
  <c r="B219" i="7"/>
  <c r="B220" i="7"/>
  <c r="D220" i="7" s="1"/>
  <c r="B221" i="7"/>
  <c r="D221" i="7" s="1"/>
  <c r="B222" i="7"/>
  <c r="B223" i="7"/>
  <c r="B224" i="7"/>
  <c r="D224" i="7" s="1"/>
  <c r="B225" i="7"/>
  <c r="B226" i="7"/>
  <c r="B227" i="7"/>
  <c r="B228" i="7"/>
  <c r="B229" i="7"/>
  <c r="B230" i="7"/>
  <c r="B231" i="7"/>
  <c r="B232" i="7"/>
  <c r="B233" i="7"/>
  <c r="D233" i="7" s="1"/>
  <c r="B234" i="7"/>
  <c r="B235" i="7"/>
  <c r="B236" i="7"/>
  <c r="D236" i="7" s="1"/>
  <c r="B237" i="7"/>
  <c r="B238" i="7"/>
  <c r="B239" i="7"/>
  <c r="B240" i="7"/>
  <c r="B241" i="7"/>
  <c r="B242" i="7"/>
  <c r="D242" i="7" s="1"/>
  <c r="B243" i="7"/>
  <c r="B244" i="7"/>
  <c r="D244" i="7" s="1"/>
  <c r="B245" i="7"/>
  <c r="D245" i="7" s="1"/>
  <c r="B246" i="7"/>
  <c r="B247" i="7"/>
  <c r="B248" i="7"/>
  <c r="B249" i="7"/>
  <c r="B250" i="7"/>
  <c r="B251" i="7"/>
  <c r="B252" i="7"/>
  <c r="B253" i="7"/>
  <c r="B254" i="7"/>
  <c r="B255" i="7"/>
  <c r="B256" i="7"/>
  <c r="B257" i="7"/>
  <c r="B258" i="7"/>
  <c r="B259" i="7"/>
  <c r="B260" i="7"/>
  <c r="D260" i="7" s="1"/>
  <c r="B261" i="7"/>
  <c r="B262" i="7"/>
  <c r="B263" i="7"/>
  <c r="B264" i="7"/>
  <c r="B265" i="7"/>
  <c r="B266" i="7"/>
  <c r="D266" i="7" s="1"/>
  <c r="B267" i="7"/>
  <c r="B268" i="7"/>
  <c r="B269" i="7"/>
  <c r="D269" i="7" s="1"/>
  <c r="B270" i="7"/>
  <c r="B271" i="7"/>
  <c r="B272" i="7"/>
  <c r="B273" i="7"/>
  <c r="B274" i="7"/>
  <c r="B275" i="7"/>
  <c r="B276" i="7"/>
  <c r="B277" i="7"/>
  <c r="B278" i="7"/>
  <c r="B279" i="7"/>
  <c r="B280" i="7"/>
  <c r="B281" i="7"/>
  <c r="B282" i="7"/>
  <c r="B283" i="7"/>
  <c r="B284" i="7"/>
  <c r="B285" i="7"/>
  <c r="B286" i="7"/>
  <c r="B287" i="7"/>
  <c r="B288" i="7"/>
  <c r="B289" i="7"/>
  <c r="B290" i="7"/>
  <c r="D290" i="7" s="1"/>
  <c r="B291" i="7"/>
  <c r="B292" i="7"/>
  <c r="D292" i="7" s="1"/>
  <c r="B293" i="7"/>
  <c r="B294" i="7"/>
  <c r="B295" i="7"/>
  <c r="B296" i="7"/>
  <c r="D296" i="7" s="1"/>
  <c r="B297" i="7"/>
  <c r="B298" i="7"/>
  <c r="B299" i="7"/>
  <c r="B300" i="7"/>
  <c r="B301" i="7"/>
  <c r="B302" i="7"/>
  <c r="B303" i="7"/>
  <c r="B304" i="7"/>
  <c r="B305" i="7"/>
  <c r="D305" i="7" s="1"/>
  <c r="B306" i="7"/>
  <c r="B307" i="7"/>
  <c r="B308" i="7"/>
  <c r="B309" i="7"/>
  <c r="B310" i="7"/>
  <c r="B311" i="7"/>
  <c r="B312" i="7"/>
  <c r="B313" i="7"/>
  <c r="D313" i="7" s="1"/>
  <c r="B314" i="7"/>
  <c r="D314" i="7" s="1"/>
  <c r="B315" i="7"/>
  <c r="B316" i="7"/>
  <c r="B317" i="7"/>
  <c r="B318" i="7"/>
  <c r="B319" i="7"/>
  <c r="B320" i="7"/>
  <c r="B321" i="7"/>
  <c r="B322" i="7"/>
  <c r="B323" i="7"/>
  <c r="B324" i="7"/>
  <c r="B325" i="7"/>
  <c r="B326" i="7"/>
  <c r="D326" i="7" s="1"/>
  <c r="B327" i="7"/>
  <c r="B328" i="7"/>
  <c r="B329" i="7"/>
  <c r="B330" i="7"/>
  <c r="B331" i="7"/>
  <c r="B332" i="7"/>
  <c r="B333" i="7"/>
  <c r="B334" i="7"/>
  <c r="B335" i="7"/>
  <c r="B336" i="7"/>
  <c r="B337" i="7"/>
  <c r="B338" i="7"/>
  <c r="B339" i="7"/>
  <c r="B340" i="7"/>
  <c r="D340" i="7" s="1"/>
  <c r="B341" i="7"/>
  <c r="D341" i="7" s="1"/>
  <c r="B342" i="7"/>
  <c r="B343" i="7"/>
  <c r="B344" i="7"/>
  <c r="D344" i="7" s="1"/>
  <c r="B345" i="7"/>
  <c r="B346" i="7"/>
  <c r="B347" i="7"/>
  <c r="B348" i="7"/>
  <c r="B349" i="7"/>
  <c r="B350" i="7"/>
  <c r="D350" i="7" s="1"/>
  <c r="B351" i="7"/>
  <c r="B352" i="7"/>
  <c r="B353" i="7"/>
  <c r="B354" i="7"/>
  <c r="B355" i="7"/>
  <c r="B356" i="7"/>
  <c r="B357" i="7"/>
  <c r="B358" i="7"/>
  <c r="B359" i="7"/>
  <c r="B360" i="7"/>
  <c r="B361" i="7"/>
  <c r="B362" i="7"/>
  <c r="D362" i="7" s="1"/>
  <c r="B363" i="7"/>
  <c r="B364" i="7"/>
  <c r="D364" i="7" s="1"/>
  <c r="B365" i="7"/>
  <c r="D365" i="7" s="1"/>
  <c r="B366" i="7"/>
  <c r="B367" i="7"/>
  <c r="B368" i="7"/>
  <c r="D368" i="7" s="1"/>
  <c r="B369" i="7"/>
  <c r="B370" i="7"/>
  <c r="B371" i="7"/>
  <c r="B372" i="7"/>
  <c r="B373" i="7"/>
  <c r="B374" i="7"/>
  <c r="B375" i="7"/>
  <c r="B376" i="7"/>
  <c r="B377" i="7"/>
  <c r="B378" i="7"/>
  <c r="B379" i="7"/>
  <c r="B380" i="7"/>
  <c r="D380" i="7" s="1"/>
  <c r="B381" i="7"/>
  <c r="B382" i="7"/>
  <c r="B383" i="7"/>
  <c r="B384" i="7"/>
  <c r="B385" i="7"/>
  <c r="B386" i="7"/>
  <c r="B387" i="7"/>
  <c r="B388" i="7"/>
  <c r="B389" i="7"/>
  <c r="D389" i="7" s="1"/>
  <c r="B390" i="7"/>
  <c r="B391" i="7"/>
  <c r="B392" i="7"/>
  <c r="D392" i="7" s="1"/>
  <c r="B393" i="7"/>
  <c r="B394" i="7"/>
  <c r="B395" i="7"/>
  <c r="B396" i="7"/>
  <c r="B397" i="7"/>
  <c r="B398" i="7"/>
  <c r="D398" i="7" s="1"/>
  <c r="B399" i="7"/>
  <c r="B400" i="7"/>
  <c r="B401" i="7"/>
  <c r="D401" i="7" s="1"/>
  <c r="B402" i="7"/>
  <c r="B403" i="7"/>
  <c r="B404" i="7"/>
  <c r="B405" i="7"/>
  <c r="B406" i="7"/>
  <c r="B407" i="7"/>
  <c r="B408" i="7"/>
  <c r="B409" i="7"/>
  <c r="D409" i="7" s="1"/>
  <c r="B410" i="7"/>
  <c r="D410" i="7" s="1"/>
  <c r="B411" i="7"/>
  <c r="B412" i="7"/>
  <c r="B413" i="7"/>
  <c r="B414" i="7"/>
  <c r="B415" i="7"/>
  <c r="B416" i="7"/>
  <c r="D416" i="7" s="1"/>
  <c r="B417" i="7"/>
  <c r="B418" i="7"/>
  <c r="B419" i="7"/>
  <c r="B420" i="7"/>
  <c r="B421" i="7"/>
  <c r="B422" i="7"/>
  <c r="B423" i="7"/>
  <c r="D423" i="7" s="1"/>
  <c r="B424" i="7"/>
  <c r="B425" i="7"/>
  <c r="D425" i="7" s="1"/>
  <c r="B426" i="7"/>
  <c r="B427" i="7"/>
  <c r="B428" i="7"/>
  <c r="D428" i="7" s="1"/>
  <c r="B429" i="7"/>
  <c r="B430" i="7"/>
  <c r="B431" i="7"/>
  <c r="B432" i="7"/>
  <c r="B433" i="7"/>
  <c r="D433" i="7" s="1"/>
  <c r="B434" i="7"/>
  <c r="D434" i="7" s="1"/>
  <c r="B435" i="7"/>
  <c r="D435" i="7" s="1"/>
  <c r="B436" i="7"/>
  <c r="B437" i="7"/>
  <c r="D437" i="7" s="1"/>
  <c r="B438" i="7"/>
  <c r="B439" i="7"/>
  <c r="B440" i="7"/>
  <c r="B441" i="7"/>
  <c r="B442" i="7"/>
  <c r="B443" i="7"/>
  <c r="B444" i="7"/>
  <c r="B445" i="7"/>
  <c r="B446" i="7"/>
  <c r="D446" i="7" s="1"/>
  <c r="B447" i="7"/>
  <c r="B448" i="7"/>
  <c r="B449" i="7"/>
  <c r="B450" i="7"/>
  <c r="B451" i="7"/>
  <c r="B452" i="7"/>
  <c r="D452" i="7" s="1"/>
  <c r="B453" i="7"/>
  <c r="B454" i="7"/>
  <c r="B455" i="7"/>
  <c r="B456" i="7"/>
  <c r="B457" i="7"/>
  <c r="B458" i="7"/>
  <c r="B459" i="7"/>
  <c r="B460" i="7"/>
  <c r="B461" i="7"/>
  <c r="D461" i="7" s="1"/>
  <c r="B462" i="7"/>
  <c r="B463" i="7"/>
  <c r="B464" i="7"/>
  <c r="D464" i="7" s="1"/>
  <c r="B465" i="7"/>
  <c r="B466" i="7"/>
  <c r="B467" i="7"/>
  <c r="B468" i="7"/>
  <c r="B469" i="7"/>
  <c r="B470" i="7"/>
  <c r="D470" i="7" s="1"/>
  <c r="B471" i="7"/>
  <c r="B472" i="7"/>
  <c r="D472" i="7" s="1"/>
  <c r="B473" i="7"/>
  <c r="D473" i="7" s="1"/>
  <c r="B474" i="7"/>
  <c r="B475" i="7"/>
  <c r="B476" i="7"/>
  <c r="D476" i="7" s="1"/>
  <c r="B477" i="7"/>
  <c r="B478" i="7"/>
  <c r="B479" i="7"/>
  <c r="B480" i="7"/>
  <c r="B481" i="7"/>
  <c r="D481" i="7" s="1"/>
  <c r="B482" i="7"/>
  <c r="D482" i="7" s="1"/>
  <c r="B483" i="7"/>
  <c r="B484" i="7"/>
  <c r="B485" i="7"/>
  <c r="B486" i="7"/>
  <c r="B487" i="7"/>
  <c r="B488" i="7"/>
  <c r="B489" i="7"/>
  <c r="B490" i="7"/>
  <c r="B491" i="7"/>
  <c r="B492" i="7"/>
  <c r="B493" i="7"/>
  <c r="B494" i="7"/>
  <c r="D494" i="7" s="1"/>
  <c r="B495" i="7"/>
  <c r="B496" i="7"/>
  <c r="B497" i="7"/>
  <c r="D497" i="7" s="1"/>
  <c r="B498" i="7"/>
  <c r="B499" i="7"/>
  <c r="B500" i="7"/>
  <c r="B501" i="7"/>
  <c r="B502" i="7"/>
  <c r="B503" i="7"/>
  <c r="B504" i="7"/>
  <c r="B505" i="7"/>
  <c r="B506" i="7"/>
  <c r="B507" i="7"/>
  <c r="B508" i="7"/>
  <c r="B509" i="7"/>
  <c r="B510" i="7"/>
  <c r="B511" i="7"/>
  <c r="B512" i="7"/>
  <c r="B513" i="7"/>
  <c r="B514" i="7"/>
  <c r="B515" i="7"/>
  <c r="B516" i="7"/>
  <c r="B517" i="7"/>
  <c r="B518" i="7"/>
  <c r="D518" i="7" s="1"/>
  <c r="B519" i="7"/>
  <c r="B520" i="7"/>
  <c r="D520" i="7" s="1"/>
  <c r="B521" i="7"/>
  <c r="D521" i="7" s="1"/>
  <c r="B522" i="7"/>
  <c r="B523" i="7"/>
  <c r="B524" i="7"/>
  <c r="B525" i="7"/>
  <c r="B526" i="7"/>
  <c r="B527" i="7"/>
  <c r="B528" i="7"/>
  <c r="B529" i="7"/>
  <c r="B530" i="7"/>
  <c r="D530" i="7" s="1"/>
  <c r="B531" i="7"/>
  <c r="B532" i="7"/>
  <c r="B533" i="7"/>
  <c r="B534" i="7"/>
  <c r="B535" i="7"/>
  <c r="B536" i="7"/>
  <c r="D536" i="7" s="1"/>
  <c r="B537" i="7"/>
  <c r="B538" i="7"/>
  <c r="B539" i="7"/>
  <c r="B540" i="7"/>
  <c r="B541" i="7"/>
  <c r="D541" i="7" s="1"/>
  <c r="B542" i="7"/>
  <c r="D542" i="7" s="1"/>
  <c r="B543" i="7"/>
  <c r="B544" i="7"/>
  <c r="D544" i="7" s="1"/>
  <c r="B545" i="7"/>
  <c r="D545" i="7" s="1"/>
  <c r="B546" i="7"/>
  <c r="B547" i="7"/>
  <c r="B548" i="7"/>
  <c r="B549" i="7"/>
  <c r="B550" i="7"/>
  <c r="B551" i="7"/>
  <c r="B552" i="7"/>
  <c r="B553" i="7"/>
  <c r="D553" i="7" s="1"/>
  <c r="B554" i="7"/>
  <c r="D554" i="7" s="1"/>
  <c r="B555" i="7"/>
  <c r="B556" i="7"/>
  <c r="B557" i="7"/>
  <c r="B558" i="7"/>
  <c r="B559" i="7"/>
  <c r="B560" i="7"/>
  <c r="D560" i="7" s="1"/>
  <c r="B561" i="7"/>
  <c r="B562" i="7"/>
  <c r="B563" i="7"/>
  <c r="B564" i="7"/>
  <c r="B565" i="7"/>
  <c r="D565" i="7" s="1"/>
  <c r="B566" i="7"/>
  <c r="B567" i="7"/>
  <c r="B568" i="7"/>
  <c r="B569" i="7"/>
  <c r="B570" i="7"/>
  <c r="B571" i="7"/>
  <c r="B572" i="7"/>
  <c r="B573" i="7"/>
  <c r="B574" i="7"/>
  <c r="B575" i="7"/>
  <c r="B576" i="7"/>
  <c r="B577" i="7"/>
  <c r="B578" i="7"/>
  <c r="D578" i="7" s="1"/>
  <c r="B579" i="7"/>
  <c r="B580" i="7"/>
  <c r="B581" i="7"/>
  <c r="D581" i="7" s="1"/>
  <c r="B582" i="7"/>
  <c r="B583" i="7"/>
  <c r="B584" i="7"/>
  <c r="D584" i="7" s="1"/>
  <c r="B585" i="7"/>
  <c r="B586" i="7"/>
  <c r="B587" i="7"/>
  <c r="B588" i="7"/>
  <c r="B589" i="7"/>
  <c r="B590" i="7"/>
  <c r="D590" i="7" s="1"/>
  <c r="B591" i="7"/>
  <c r="B592" i="7"/>
  <c r="D592" i="7" s="1"/>
  <c r="B593" i="7"/>
  <c r="D593" i="7" s="1"/>
  <c r="B594" i="7"/>
  <c r="B595" i="7"/>
  <c r="B596" i="7"/>
  <c r="B597" i="7"/>
  <c r="B598" i="7"/>
  <c r="B599" i="7"/>
  <c r="B600" i="7"/>
  <c r="B601" i="7"/>
  <c r="D601" i="7" s="1"/>
  <c r="B602" i="7"/>
  <c r="D602" i="7" s="1"/>
  <c r="B603" i="7"/>
  <c r="B604" i="7"/>
  <c r="D604" i="7" s="1"/>
  <c r="B605" i="7"/>
  <c r="D605" i="7" s="1"/>
  <c r="B606" i="7"/>
  <c r="B607" i="7"/>
  <c r="B608" i="7"/>
  <c r="B609" i="7"/>
  <c r="B610" i="7"/>
  <c r="B611" i="7"/>
  <c r="B612" i="7"/>
  <c r="B613" i="7"/>
  <c r="B614" i="7"/>
  <c r="B615" i="7"/>
  <c r="B616" i="7"/>
  <c r="D616" i="7" s="1"/>
  <c r="B617" i="7"/>
  <c r="B618" i="7"/>
  <c r="B619" i="7"/>
  <c r="B620" i="7"/>
  <c r="B621" i="7"/>
  <c r="B622" i="7"/>
  <c r="B623" i="7"/>
  <c r="B624" i="7"/>
  <c r="B625" i="7"/>
  <c r="B626" i="7"/>
  <c r="B627" i="7"/>
  <c r="B628" i="7"/>
  <c r="B629" i="7"/>
  <c r="B630" i="7"/>
  <c r="B631" i="7"/>
  <c r="B632" i="7"/>
  <c r="B633" i="7"/>
  <c r="B634" i="7"/>
  <c r="B635" i="7"/>
  <c r="B636" i="7"/>
  <c r="B637" i="7"/>
  <c r="B638" i="7"/>
  <c r="B639" i="7"/>
  <c r="B640" i="7"/>
  <c r="D640" i="7" s="1"/>
  <c r="B641" i="7"/>
  <c r="D641" i="7" s="1"/>
  <c r="B642" i="7"/>
  <c r="B643" i="7"/>
  <c r="B644" i="7"/>
  <c r="D644" i="7" s="1"/>
  <c r="B645" i="7"/>
  <c r="B646" i="7"/>
  <c r="B647" i="7"/>
  <c r="B648" i="7"/>
  <c r="B649" i="7"/>
  <c r="D649" i="7" s="1"/>
  <c r="B650" i="7"/>
  <c r="D650" i="7" s="1"/>
  <c r="B651" i="7"/>
  <c r="B652" i="7"/>
  <c r="D652" i="7" s="1"/>
  <c r="B653" i="7"/>
  <c r="B654" i="7"/>
  <c r="B655" i="7"/>
  <c r="B656" i="7"/>
  <c r="B657" i="7"/>
  <c r="B658" i="7"/>
  <c r="B659" i="7"/>
  <c r="B660" i="7"/>
  <c r="B661" i="7"/>
  <c r="B662" i="7"/>
  <c r="D662" i="7" s="1"/>
  <c r="B663" i="7"/>
  <c r="B664" i="7"/>
  <c r="D664" i="7" s="1"/>
  <c r="B665" i="7"/>
  <c r="B666" i="7"/>
  <c r="B667" i="7"/>
  <c r="B668" i="7"/>
  <c r="B669" i="7"/>
  <c r="B670" i="7"/>
  <c r="B671" i="7"/>
  <c r="B672" i="7"/>
  <c r="B673" i="7"/>
  <c r="B674" i="7"/>
  <c r="B675" i="7"/>
  <c r="B676" i="7"/>
  <c r="D676" i="7" s="1"/>
  <c r="B677" i="7"/>
  <c r="D677" i="7" s="1"/>
  <c r="B678" i="7"/>
  <c r="B679" i="7"/>
  <c r="B680" i="7"/>
  <c r="B681" i="7"/>
  <c r="B682" i="7"/>
  <c r="B683" i="7"/>
  <c r="B684" i="7"/>
  <c r="B685" i="7"/>
  <c r="B686" i="7"/>
  <c r="D686" i="7" s="1"/>
  <c r="B687" i="7"/>
  <c r="B688" i="7"/>
  <c r="B689" i="7"/>
  <c r="B690" i="7"/>
  <c r="B691" i="7"/>
  <c r="B692" i="7"/>
  <c r="D692" i="7" s="1"/>
  <c r="B693" i="7"/>
  <c r="B694" i="7"/>
  <c r="B695" i="7"/>
  <c r="B696" i="7"/>
  <c r="B697" i="7"/>
  <c r="B698" i="7"/>
  <c r="B699" i="7"/>
  <c r="B700" i="7"/>
  <c r="B701" i="7"/>
  <c r="B702" i="7"/>
  <c r="B703" i="7"/>
  <c r="B704" i="7"/>
  <c r="B705" i="7"/>
  <c r="B706" i="7"/>
  <c r="B707" i="7"/>
  <c r="B708" i="7"/>
  <c r="B709" i="7"/>
  <c r="B710" i="7"/>
  <c r="B711" i="7"/>
  <c r="B712" i="7"/>
  <c r="B713" i="7"/>
  <c r="B714" i="7"/>
  <c r="B715" i="7"/>
  <c r="B716" i="7"/>
  <c r="B717" i="7"/>
  <c r="B718" i="7"/>
  <c r="B719" i="7"/>
  <c r="B720" i="7"/>
  <c r="B721" i="7"/>
  <c r="B722" i="7"/>
  <c r="B723" i="7"/>
  <c r="B724" i="7"/>
  <c r="D724" i="7" s="1"/>
  <c r="B725" i="7"/>
  <c r="B726" i="7"/>
  <c r="B727" i="7"/>
  <c r="B728" i="7"/>
  <c r="D728" i="7" s="1"/>
  <c r="B729" i="7"/>
  <c r="B730" i="7"/>
  <c r="B731" i="7"/>
  <c r="B732" i="7"/>
  <c r="B733" i="7"/>
  <c r="D733" i="7" s="1"/>
  <c r="B734" i="7"/>
  <c r="D734" i="7" s="1"/>
  <c r="B735" i="7"/>
  <c r="B736" i="7"/>
  <c r="B737" i="7"/>
  <c r="D737" i="7" s="1"/>
  <c r="B738" i="7"/>
  <c r="B739" i="7"/>
  <c r="B740" i="7"/>
  <c r="B741" i="7"/>
  <c r="B742" i="7"/>
  <c r="B743" i="7"/>
  <c r="B744" i="7"/>
  <c r="B745" i="7"/>
  <c r="D745" i="7" s="1"/>
  <c r="B746" i="7"/>
  <c r="B747" i="7"/>
  <c r="B748" i="7"/>
  <c r="D748" i="7" s="1"/>
  <c r="B749" i="7"/>
  <c r="B750" i="7"/>
  <c r="B751" i="7"/>
  <c r="B752" i="7"/>
  <c r="B753" i="7"/>
  <c r="B754" i="7"/>
  <c r="B755" i="7"/>
  <c r="B756" i="7"/>
  <c r="B757" i="7"/>
  <c r="B758" i="7"/>
  <c r="B759" i="7"/>
  <c r="B760" i="7"/>
  <c r="B761" i="7"/>
  <c r="B762" i="7"/>
  <c r="B763" i="7"/>
  <c r="B764" i="7"/>
  <c r="D764" i="7" s="1"/>
  <c r="B765" i="7"/>
  <c r="B766" i="7"/>
  <c r="B767" i="7"/>
  <c r="B768" i="7"/>
  <c r="B769" i="7"/>
  <c r="B770" i="7"/>
  <c r="B771" i="7"/>
  <c r="B772" i="7"/>
  <c r="B773" i="7"/>
  <c r="B774" i="7"/>
  <c r="B775" i="7"/>
  <c r="B776" i="7"/>
  <c r="D776" i="7" s="1"/>
  <c r="B777" i="7"/>
  <c r="B778" i="7"/>
  <c r="B779" i="7"/>
  <c r="B780" i="7"/>
  <c r="B781" i="7"/>
  <c r="B782" i="7"/>
  <c r="D782" i="7" s="1"/>
  <c r="B783" i="7"/>
  <c r="B784" i="7"/>
  <c r="D784" i="7" s="1"/>
  <c r="B785" i="7"/>
  <c r="B786" i="7"/>
  <c r="B787" i="7"/>
  <c r="B788" i="7"/>
  <c r="D788" i="7" s="1"/>
  <c r="B789" i="7"/>
  <c r="B790" i="7"/>
  <c r="B791" i="7"/>
  <c r="B792" i="7"/>
  <c r="B793" i="7"/>
  <c r="B794" i="7"/>
  <c r="D794" i="7" s="1"/>
  <c r="B795" i="7"/>
  <c r="B796" i="7"/>
  <c r="B797" i="7"/>
  <c r="D797" i="7" s="1"/>
  <c r="B798" i="7"/>
  <c r="B799" i="7"/>
  <c r="B800" i="7"/>
  <c r="B801" i="7"/>
  <c r="B802" i="7"/>
  <c r="B803" i="7"/>
  <c r="B804" i="7"/>
  <c r="B805" i="7"/>
  <c r="B806" i="7"/>
  <c r="B807" i="7"/>
  <c r="B808" i="7"/>
  <c r="B809" i="7"/>
  <c r="B810" i="7"/>
  <c r="B811" i="7"/>
  <c r="B812" i="7"/>
  <c r="B813" i="7"/>
  <c r="B814" i="7"/>
  <c r="B815" i="7"/>
  <c r="B816" i="7"/>
  <c r="B817" i="7"/>
  <c r="B818" i="7"/>
  <c r="B819" i="7"/>
  <c r="B820" i="7"/>
  <c r="B821" i="7"/>
  <c r="B822" i="7"/>
  <c r="B823" i="7"/>
  <c r="B824" i="7"/>
  <c r="B825" i="7"/>
  <c r="B826" i="7"/>
  <c r="B827" i="7"/>
  <c r="B828" i="7"/>
  <c r="B829" i="7"/>
  <c r="D829" i="7" s="1"/>
  <c r="B830" i="7"/>
  <c r="B831" i="7"/>
  <c r="B832" i="7"/>
  <c r="B833" i="7"/>
  <c r="D833" i="7" s="1"/>
  <c r="B834" i="7"/>
  <c r="B835" i="7"/>
  <c r="B836" i="7"/>
  <c r="B837" i="7"/>
  <c r="B838" i="7"/>
  <c r="B839" i="7"/>
  <c r="B840" i="7"/>
  <c r="B841" i="7"/>
  <c r="D841" i="7" s="1"/>
  <c r="B842" i="7"/>
  <c r="B843" i="7"/>
  <c r="D843" i="7" s="1"/>
  <c r="B844" i="7"/>
  <c r="B845" i="7"/>
  <c r="B846" i="7"/>
  <c r="B847" i="7"/>
  <c r="B848" i="7"/>
  <c r="B849" i="7"/>
  <c r="B850" i="7"/>
  <c r="B851" i="7"/>
  <c r="B852" i="7"/>
  <c r="B853" i="7"/>
  <c r="D853" i="7" s="1"/>
  <c r="B854" i="7"/>
  <c r="D854" i="7" s="1"/>
  <c r="B855" i="7"/>
  <c r="B856" i="7"/>
  <c r="B857" i="7"/>
  <c r="B858" i="7"/>
  <c r="B859" i="7"/>
  <c r="B860" i="7"/>
  <c r="B861" i="7"/>
  <c r="B862" i="7"/>
  <c r="B863" i="7"/>
  <c r="B864" i="7"/>
  <c r="B865" i="7"/>
  <c r="B866" i="7"/>
  <c r="B867" i="7"/>
  <c r="B868" i="7"/>
  <c r="B869" i="7"/>
  <c r="D869" i="7" s="1"/>
  <c r="B870" i="7"/>
  <c r="B871" i="7"/>
  <c r="B872" i="7"/>
  <c r="B873" i="7"/>
  <c r="B874" i="7"/>
  <c r="B875" i="7"/>
  <c r="B876" i="7"/>
  <c r="B877" i="7"/>
  <c r="B878" i="7"/>
  <c r="B879" i="7"/>
  <c r="B880" i="7"/>
  <c r="B881" i="7"/>
  <c r="B882" i="7"/>
  <c r="B883" i="7"/>
  <c r="B884" i="7"/>
  <c r="B885" i="7"/>
  <c r="B886" i="7"/>
  <c r="B887" i="7"/>
  <c r="B888" i="7"/>
  <c r="B889" i="7"/>
  <c r="B890" i="7"/>
  <c r="B891" i="7"/>
  <c r="B892" i="7"/>
  <c r="B893" i="7"/>
  <c r="B894" i="7"/>
  <c r="B895" i="7"/>
  <c r="B896" i="7"/>
  <c r="B897" i="7"/>
  <c r="B898" i="7"/>
  <c r="B899" i="7"/>
  <c r="B900" i="7"/>
  <c r="B901" i="7"/>
  <c r="D901" i="7" s="1"/>
  <c r="B902" i="7"/>
  <c r="D902" i="7" s="1"/>
  <c r="B903" i="7"/>
  <c r="B904" i="7"/>
  <c r="B905" i="7"/>
  <c r="B906" i="7"/>
  <c r="B907" i="7"/>
  <c r="B908" i="7"/>
  <c r="B909" i="7"/>
  <c r="B910" i="7"/>
  <c r="B911" i="7"/>
  <c r="B912" i="7"/>
  <c r="B913" i="7"/>
  <c r="D913" i="7" s="1"/>
  <c r="B914" i="7"/>
  <c r="D914" i="7" s="1"/>
  <c r="B915" i="7"/>
  <c r="B916" i="7"/>
  <c r="B917" i="7"/>
  <c r="B918" i="7"/>
  <c r="B919" i="7"/>
  <c r="B920" i="7"/>
  <c r="B921" i="7"/>
  <c r="B922" i="7"/>
  <c r="B923" i="7"/>
  <c r="B924" i="7"/>
  <c r="B925" i="7"/>
  <c r="B926" i="7"/>
  <c r="B927" i="7"/>
  <c r="B928" i="7"/>
  <c r="B929" i="7"/>
  <c r="D929" i="7" s="1"/>
  <c r="B930" i="7"/>
  <c r="B931" i="7"/>
  <c r="B932" i="7"/>
  <c r="B933" i="7"/>
  <c r="B934" i="7"/>
  <c r="B935" i="7"/>
  <c r="B936" i="7"/>
  <c r="B937" i="7"/>
  <c r="B938" i="7"/>
  <c r="D938" i="7" s="1"/>
  <c r="B939" i="7"/>
  <c r="B940" i="7"/>
  <c r="B941" i="7"/>
  <c r="B942" i="7"/>
  <c r="B943" i="7"/>
  <c r="B944" i="7"/>
  <c r="B945" i="7"/>
  <c r="B946" i="7"/>
  <c r="B947" i="7"/>
  <c r="B948" i="7"/>
  <c r="B949" i="7"/>
  <c r="B950" i="7"/>
  <c r="D950" i="7" s="1"/>
  <c r="B951" i="7"/>
  <c r="B952" i="7"/>
  <c r="D952" i="7" s="1"/>
  <c r="B953" i="7"/>
  <c r="D953" i="7" s="1"/>
  <c r="B954" i="7"/>
  <c r="B955" i="7"/>
  <c r="B956" i="7"/>
  <c r="B957" i="7"/>
  <c r="B958" i="7"/>
  <c r="B959" i="7"/>
  <c r="B960" i="7"/>
  <c r="B961" i="7"/>
  <c r="B962" i="7"/>
  <c r="D962" i="7" s="1"/>
  <c r="B963" i="7"/>
  <c r="B964" i="7"/>
  <c r="D964" i="7" s="1"/>
  <c r="B965" i="7"/>
  <c r="D965" i="7" s="1"/>
  <c r="B966" i="7"/>
  <c r="B967" i="7"/>
  <c r="B968" i="7"/>
  <c r="B969" i="7"/>
  <c r="B970" i="7"/>
  <c r="D970" i="7" s="1"/>
  <c r="B971" i="7"/>
  <c r="B972" i="7"/>
  <c r="B973" i="7"/>
  <c r="B974" i="7"/>
  <c r="B975" i="7"/>
  <c r="B976" i="7"/>
  <c r="D976" i="7" s="1"/>
  <c r="B977" i="7"/>
  <c r="B978" i="7"/>
  <c r="B979" i="7"/>
  <c r="B980" i="7"/>
  <c r="B981" i="7"/>
  <c r="B982" i="7"/>
  <c r="B983" i="7"/>
  <c r="B984" i="7"/>
  <c r="B985" i="7"/>
  <c r="B986" i="7"/>
  <c r="D986" i="7" s="1"/>
  <c r="B987" i="7"/>
  <c r="B988" i="7"/>
  <c r="D988" i="7" s="1"/>
  <c r="B989" i="7"/>
  <c r="D989" i="7" s="1"/>
  <c r="B990" i="7"/>
  <c r="B991" i="7"/>
  <c r="B992" i="7"/>
  <c r="B993" i="7"/>
  <c r="B994" i="7"/>
  <c r="D994" i="7" s="1"/>
  <c r="B995" i="7"/>
  <c r="B996" i="7"/>
  <c r="B997" i="7"/>
  <c r="B998" i="7"/>
  <c r="D998" i="7" s="1"/>
  <c r="B999" i="7"/>
  <c r="B1000" i="7"/>
  <c r="D1000" i="7" s="1"/>
  <c r="B1001" i="7"/>
  <c r="D1001" i="7" s="1"/>
  <c r="B1002" i="7"/>
  <c r="B1003" i="7"/>
  <c r="B1004" i="7"/>
  <c r="B1005" i="7"/>
  <c r="B1006" i="7"/>
  <c r="B1007" i="7"/>
  <c r="B1008" i="7"/>
  <c r="B1009" i="7"/>
  <c r="B1010" i="7"/>
  <c r="D1010" i="7" s="1"/>
  <c r="B1011" i="7"/>
  <c r="B1012" i="7"/>
  <c r="D1012" i="7" s="1"/>
  <c r="B1013" i="7"/>
  <c r="B1014" i="7"/>
  <c r="B1015" i="7"/>
  <c r="B1016" i="7"/>
  <c r="D1016" i="7" s="1"/>
  <c r="B1017" i="7"/>
  <c r="B1018" i="7"/>
  <c r="B1019" i="7"/>
  <c r="B1020" i="7"/>
  <c r="B1021" i="7"/>
  <c r="B1022" i="7"/>
  <c r="D1022" i="7" s="1"/>
  <c r="B1023" i="7"/>
  <c r="B1024" i="7"/>
  <c r="B1025" i="7"/>
  <c r="B1026" i="7"/>
  <c r="B1027" i="7"/>
  <c r="B1028" i="7"/>
  <c r="D1028" i="7" s="1"/>
  <c r="B1029" i="7"/>
  <c r="B1030" i="7"/>
  <c r="B1031" i="7"/>
  <c r="B1032" i="7"/>
  <c r="B1033" i="7"/>
  <c r="B1034" i="7"/>
  <c r="B1035" i="7"/>
  <c r="B1036" i="7"/>
  <c r="B1037" i="7"/>
  <c r="B1038" i="7"/>
  <c r="B1039" i="7"/>
  <c r="B1040" i="7"/>
  <c r="D1040" i="7" s="1"/>
  <c r="B1041" i="7"/>
  <c r="B1042" i="7"/>
  <c r="B1043" i="7"/>
  <c r="B1044" i="7"/>
  <c r="B1045" i="7"/>
  <c r="B1046" i="7"/>
  <c r="B1047" i="7"/>
  <c r="B1048" i="7"/>
  <c r="B1049" i="7"/>
  <c r="B1050" i="7"/>
  <c r="B1051" i="7"/>
  <c r="B1052" i="7"/>
  <c r="B1053" i="7"/>
  <c r="B1054" i="7"/>
  <c r="B1055" i="7"/>
  <c r="B1056" i="7"/>
  <c r="B1057" i="7"/>
  <c r="B1058" i="7"/>
  <c r="D1058" i="7" s="1"/>
  <c r="B1059" i="7"/>
  <c r="B1060" i="7"/>
  <c r="B1061" i="7"/>
  <c r="B1062" i="7"/>
  <c r="B1063" i="7"/>
  <c r="B1064" i="7"/>
  <c r="B1065" i="7"/>
  <c r="B1066" i="7"/>
  <c r="B1067" i="7"/>
  <c r="B1068" i="7"/>
  <c r="B1069" i="7"/>
  <c r="B1070" i="7"/>
  <c r="B1071" i="7"/>
  <c r="B1072" i="7"/>
  <c r="B1073" i="7"/>
  <c r="B1074" i="7"/>
  <c r="B1075" i="7"/>
  <c r="B1076" i="7"/>
  <c r="B1077" i="7"/>
  <c r="B1078" i="7"/>
  <c r="B1079" i="7"/>
  <c r="B1080" i="7"/>
  <c r="B1081" i="7"/>
  <c r="B1082" i="7"/>
  <c r="B1083" i="7"/>
  <c r="B1084" i="7"/>
  <c r="B1085" i="7"/>
  <c r="B1086" i="7"/>
  <c r="B1087" i="7"/>
  <c r="B1088" i="7"/>
  <c r="D1088" i="7" s="1"/>
  <c r="B1089" i="7"/>
  <c r="B1090" i="7"/>
  <c r="B1091" i="7"/>
  <c r="B1092" i="7"/>
  <c r="B1093" i="7"/>
  <c r="B1094" i="7"/>
  <c r="B1095" i="7"/>
  <c r="B1096" i="7"/>
  <c r="B1097" i="7"/>
  <c r="B1098" i="7"/>
  <c r="B1099" i="7"/>
  <c r="B1100" i="7"/>
  <c r="B1101" i="7"/>
  <c r="B1102" i="7"/>
  <c r="B1103" i="7"/>
  <c r="B1104" i="7"/>
  <c r="B1105" i="7"/>
  <c r="D1105" i="7" s="1"/>
  <c r="B1106" i="7"/>
  <c r="B1107" i="7"/>
  <c r="D1107" i="7" s="1"/>
  <c r="B1108" i="7"/>
  <c r="D1108" i="7" s="1"/>
  <c r="B1109" i="7"/>
  <c r="B1110" i="7"/>
  <c r="B1111" i="7"/>
  <c r="B1112" i="7"/>
  <c r="B1113" i="7"/>
  <c r="B1114" i="7"/>
  <c r="B1115" i="7"/>
  <c r="B1116" i="7"/>
  <c r="B1117" i="7"/>
  <c r="D1117" i="7" s="1"/>
  <c r="B1118" i="7"/>
  <c r="B1119" i="7"/>
  <c r="B1120" i="7"/>
  <c r="B1121" i="7"/>
  <c r="D1121" i="7" s="1"/>
  <c r="B1122" i="7"/>
  <c r="B1123" i="7"/>
  <c r="B1124" i="7"/>
  <c r="B1125" i="7"/>
  <c r="B1126" i="7"/>
  <c r="B1127" i="7"/>
  <c r="B1128" i="7"/>
  <c r="B1129" i="7"/>
  <c r="B1130" i="7"/>
  <c r="B1131" i="7"/>
  <c r="B1132" i="7"/>
  <c r="B1133" i="7"/>
  <c r="B1134" i="7"/>
  <c r="B1135" i="7"/>
  <c r="B1136" i="7"/>
  <c r="B1137" i="7"/>
  <c r="B1138" i="7"/>
  <c r="B1139" i="7"/>
  <c r="B1140" i="7"/>
  <c r="B1141" i="7"/>
  <c r="D1141" i="7" s="1"/>
  <c r="B1142" i="7"/>
  <c r="D1142" i="7" s="1"/>
  <c r="B1143" i="7"/>
  <c r="B1144" i="7"/>
  <c r="B1145" i="7"/>
  <c r="D1145" i="7" s="1"/>
  <c r="B1146" i="7"/>
  <c r="B1147" i="7"/>
  <c r="B1148" i="7"/>
  <c r="D1148" i="7" s="1"/>
  <c r="B1149" i="7"/>
  <c r="B1150" i="7"/>
  <c r="B1151" i="7"/>
  <c r="B1152" i="7"/>
  <c r="B1153" i="7"/>
  <c r="B1154" i="7"/>
  <c r="D1154" i="7" s="1"/>
  <c r="B1155" i="7"/>
  <c r="B1156" i="7"/>
  <c r="B1157" i="7"/>
  <c r="D1157" i="7" s="1"/>
  <c r="B1158" i="7"/>
  <c r="B1159" i="7"/>
  <c r="B1160" i="7"/>
  <c r="B1161" i="7"/>
  <c r="B1162" i="7"/>
  <c r="B1163" i="7"/>
  <c r="B1164" i="7"/>
  <c r="B1165" i="7"/>
  <c r="B1166" i="7"/>
  <c r="D1166" i="7" s="1"/>
  <c r="B1167" i="7"/>
  <c r="B1168" i="7"/>
  <c r="D1168" i="7" s="1"/>
  <c r="B1169" i="7"/>
  <c r="D1169" i="7" s="1"/>
  <c r="B1170" i="7"/>
  <c r="B1171" i="7"/>
  <c r="B1172" i="7"/>
  <c r="B1173" i="7"/>
  <c r="B1174" i="7"/>
  <c r="B1175" i="7"/>
  <c r="B1176" i="7"/>
  <c r="B1177" i="7"/>
  <c r="B1178" i="7"/>
  <c r="D1178" i="7" s="1"/>
  <c r="B1179" i="7"/>
  <c r="B1180" i="7"/>
  <c r="B1181" i="7"/>
  <c r="D1181" i="7" s="1"/>
  <c r="B1182" i="7"/>
  <c r="B1183" i="7"/>
  <c r="B1184" i="7"/>
  <c r="B1185" i="7"/>
  <c r="B1186" i="7"/>
  <c r="B1187" i="7"/>
  <c r="B1188" i="7"/>
  <c r="B1189" i="7"/>
  <c r="B1190" i="7"/>
  <c r="D1190" i="7" s="1"/>
  <c r="B1191" i="7"/>
  <c r="B1192" i="7"/>
  <c r="D1192" i="7" s="1"/>
  <c r="B1193" i="7"/>
  <c r="D1193" i="7" s="1"/>
  <c r="B1194" i="7"/>
  <c r="B1195" i="7"/>
  <c r="B1196" i="7"/>
  <c r="B1197" i="7"/>
  <c r="B1198" i="7"/>
  <c r="B1199" i="7"/>
  <c r="B1200" i="7"/>
  <c r="B1201" i="7"/>
  <c r="B1202" i="7"/>
  <c r="D1202" i="7" s="1"/>
  <c r="B1203" i="7"/>
  <c r="D1203" i="7" s="1"/>
  <c r="B1204" i="7"/>
  <c r="B1205" i="7"/>
  <c r="D1205" i="7" s="1"/>
  <c r="B1206" i="7"/>
  <c r="B1207" i="7"/>
  <c r="B1208" i="7"/>
  <c r="B1209" i="7"/>
  <c r="B1210" i="7"/>
  <c r="B1211" i="7"/>
  <c r="B1212" i="7"/>
  <c r="B1213" i="7"/>
  <c r="B1214" i="7"/>
  <c r="D1214" i="7" s="1"/>
  <c r="B1215" i="7"/>
  <c r="B1216" i="7"/>
  <c r="D1216" i="7" s="1"/>
  <c r="B1217" i="7"/>
  <c r="D1217" i="7" s="1"/>
  <c r="B1218" i="7"/>
  <c r="B1219" i="7"/>
  <c r="B1220" i="7"/>
  <c r="D1220" i="7" s="1"/>
  <c r="B1221" i="7"/>
  <c r="B1222" i="7"/>
  <c r="B1223" i="7"/>
  <c r="B1224" i="7"/>
  <c r="B1225" i="7"/>
  <c r="B1226" i="7"/>
  <c r="B1227" i="7"/>
  <c r="D1227" i="7" s="1"/>
  <c r="B1228" i="7"/>
  <c r="D1228" i="7" s="1"/>
  <c r="B1229" i="7"/>
  <c r="D1229" i="7" s="1"/>
  <c r="B1230" i="7"/>
  <c r="B1231" i="7"/>
  <c r="B1232" i="7"/>
  <c r="D1232" i="7" s="1"/>
  <c r="B1233" i="7"/>
  <c r="B1234" i="7"/>
  <c r="B1235" i="7"/>
  <c r="B1236" i="7"/>
  <c r="B1237" i="7"/>
  <c r="B1238" i="7"/>
  <c r="B1239" i="7"/>
  <c r="B1240" i="7"/>
  <c r="B1241" i="7"/>
  <c r="B1242" i="7"/>
  <c r="B1243" i="7"/>
  <c r="B1244" i="7"/>
  <c r="D1244" i="7" s="1"/>
  <c r="B1245" i="7"/>
  <c r="B1246" i="7"/>
  <c r="B1247" i="7"/>
  <c r="B1248" i="7"/>
  <c r="B1249" i="7"/>
  <c r="B1250" i="7"/>
  <c r="D1250" i="7" s="1"/>
  <c r="B1251" i="7"/>
  <c r="B1252" i="7"/>
  <c r="B1253" i="7"/>
  <c r="B1254" i="7"/>
  <c r="B1255" i="7"/>
  <c r="B1256" i="7"/>
  <c r="B1257" i="7"/>
  <c r="B1258" i="7"/>
  <c r="B1259" i="7"/>
  <c r="B1260" i="7"/>
  <c r="B1261" i="7"/>
  <c r="D1261" i="7" s="1"/>
  <c r="B1262" i="7"/>
  <c r="B1263" i="7"/>
  <c r="B1264" i="7"/>
  <c r="B1265" i="7"/>
  <c r="B1266" i="7"/>
  <c r="B1267" i="7"/>
  <c r="B1268" i="7"/>
  <c r="B1269" i="7"/>
  <c r="B1270" i="7"/>
  <c r="B1271" i="7"/>
  <c r="B1272" i="7"/>
  <c r="B1273" i="7"/>
  <c r="B1274" i="7"/>
  <c r="D1274" i="7" s="1"/>
  <c r="B1275" i="7"/>
  <c r="B1276" i="7"/>
  <c r="D1276" i="7" s="1"/>
  <c r="B1277" i="7"/>
  <c r="D1277" i="7" s="1"/>
  <c r="B1278" i="7"/>
  <c r="B1279" i="7"/>
  <c r="B1280" i="7"/>
  <c r="B1281" i="7"/>
  <c r="B1282" i="7"/>
  <c r="B1283" i="7"/>
  <c r="B1284" i="7"/>
  <c r="B1285" i="7"/>
  <c r="B1286" i="7"/>
  <c r="B1287" i="7"/>
  <c r="B1288" i="7"/>
  <c r="B1289" i="7"/>
  <c r="D1289" i="7" s="1"/>
  <c r="B1290" i="7"/>
  <c r="B1291" i="7"/>
  <c r="B1292" i="7"/>
  <c r="B1293" i="7"/>
  <c r="B1294" i="7"/>
  <c r="B1295" i="7"/>
  <c r="B1296" i="7"/>
  <c r="B1297" i="7"/>
  <c r="B1298" i="7"/>
  <c r="B1299" i="7"/>
  <c r="B1300" i="7"/>
  <c r="B1301" i="7"/>
  <c r="D1301" i="7" s="1"/>
  <c r="B1302" i="7"/>
  <c r="B1303" i="7"/>
  <c r="B1304" i="7"/>
  <c r="B1305" i="7"/>
  <c r="B1306" i="7"/>
  <c r="D1306" i="7" s="1"/>
  <c r="B1307" i="7"/>
  <c r="B1308" i="7"/>
  <c r="B1309" i="7"/>
  <c r="B1310" i="7"/>
  <c r="B1311" i="7"/>
  <c r="B1312" i="7"/>
  <c r="B1313" i="7"/>
  <c r="B1314" i="7"/>
  <c r="B1315" i="7"/>
  <c r="B1316" i="7"/>
  <c r="B1317" i="7"/>
  <c r="B1318" i="7"/>
  <c r="B1319" i="7"/>
  <c r="B1320" i="7"/>
  <c r="B1321" i="7"/>
  <c r="B1322" i="7"/>
  <c r="D1322" i="7" s="1"/>
  <c r="B1323" i="7"/>
  <c r="B1324" i="7"/>
  <c r="D1324" i="7" s="1"/>
  <c r="B1325" i="7"/>
  <c r="B1326" i="7"/>
  <c r="B1327" i="7"/>
  <c r="B1328" i="7"/>
  <c r="B1329" i="7"/>
  <c r="B1330" i="7"/>
  <c r="B1331" i="7"/>
  <c r="B1332" i="7"/>
  <c r="B1333" i="7"/>
  <c r="B1334" i="7"/>
  <c r="B1335" i="7"/>
  <c r="B1336" i="7"/>
  <c r="D1336" i="7" s="1"/>
  <c r="B1337" i="7"/>
  <c r="B1338" i="7"/>
  <c r="B1339" i="7"/>
  <c r="B1340" i="7"/>
  <c r="D1340" i="7" s="1"/>
  <c r="B1341" i="7"/>
  <c r="B1342" i="7"/>
  <c r="B1343" i="7"/>
  <c r="B1344" i="7"/>
  <c r="B1345" i="7"/>
  <c r="B1346" i="7"/>
  <c r="B1347" i="7"/>
  <c r="B1348" i="7"/>
  <c r="B1349" i="7"/>
  <c r="D1349" i="7" s="1"/>
  <c r="B1350" i="7"/>
  <c r="B1351" i="7"/>
  <c r="B1352" i="7"/>
  <c r="B1353" i="7"/>
  <c r="B1354" i="7"/>
  <c r="B1355" i="7"/>
  <c r="B1356" i="7"/>
  <c r="B1357" i="7"/>
  <c r="D1357" i="7" s="1"/>
  <c r="B1358" i="7"/>
  <c r="B1359" i="7"/>
  <c r="B1360" i="7"/>
  <c r="B1361" i="7"/>
  <c r="B1362" i="7"/>
  <c r="B1363" i="7"/>
  <c r="B1364" i="7"/>
  <c r="D1364" i="7" s="1"/>
  <c r="B1365" i="7"/>
  <c r="B1366" i="7"/>
  <c r="D1366" i="7" s="1"/>
  <c r="B1367" i="7"/>
  <c r="B1368" i="7"/>
  <c r="B1369" i="7"/>
  <c r="B1370" i="7"/>
  <c r="D1370" i="7" s="1"/>
  <c r="B1371" i="7"/>
  <c r="B1372" i="7"/>
  <c r="D1372" i="7" s="1"/>
  <c r="B1373" i="7"/>
  <c r="D1373" i="7" s="1"/>
  <c r="B1374" i="7"/>
  <c r="B1375" i="7"/>
  <c r="B1376" i="7"/>
  <c r="B1377" i="7"/>
  <c r="B1378" i="7"/>
  <c r="D1378" i="7" s="1"/>
  <c r="B1379" i="7"/>
  <c r="B1380" i="7"/>
  <c r="B1381" i="7"/>
  <c r="B1382" i="7"/>
  <c r="B1383" i="7"/>
  <c r="B1384" i="7"/>
  <c r="B1385" i="7"/>
  <c r="B1386" i="7"/>
  <c r="B1387" i="7"/>
  <c r="B1388" i="7"/>
  <c r="D1388" i="7" s="1"/>
  <c r="B1389" i="7"/>
  <c r="B1390" i="7"/>
  <c r="B1391" i="7"/>
  <c r="B1392" i="7"/>
  <c r="B1393" i="7"/>
  <c r="B1394" i="7"/>
  <c r="D1394" i="7" s="1"/>
  <c r="B1395" i="7"/>
  <c r="B1396" i="7"/>
  <c r="B1397" i="7"/>
  <c r="D1397" i="7" s="1"/>
  <c r="B1398" i="7"/>
  <c r="B1399" i="7"/>
  <c r="B1400" i="7"/>
  <c r="D1400" i="7" s="1"/>
  <c r="B1401" i="7"/>
  <c r="B1402" i="7"/>
  <c r="B1403" i="7"/>
  <c r="B1404" i="7"/>
  <c r="B1405" i="7"/>
  <c r="B1406" i="7"/>
  <c r="B1407" i="7"/>
  <c r="D1407" i="7" s="1"/>
  <c r="B1408" i="7"/>
  <c r="B1409" i="7"/>
  <c r="D1409" i="7" s="1"/>
  <c r="B1410" i="7"/>
  <c r="B1411" i="7"/>
  <c r="B1412" i="7"/>
  <c r="D1412" i="7" s="1"/>
  <c r="B1413" i="7"/>
  <c r="B1414" i="7"/>
  <c r="B1415" i="7"/>
  <c r="B1416" i="7"/>
  <c r="B1417" i="7"/>
  <c r="D1417" i="7" s="1"/>
  <c r="B1418" i="7"/>
  <c r="B1419" i="7"/>
  <c r="B1420" i="7"/>
  <c r="D1420" i="7" s="1"/>
  <c r="B1421" i="7"/>
  <c r="B1422" i="7"/>
  <c r="B1423" i="7"/>
  <c r="B1424" i="7"/>
  <c r="B1425" i="7"/>
  <c r="B1426" i="7"/>
  <c r="B1427" i="7"/>
  <c r="B1428" i="7"/>
  <c r="B1429" i="7"/>
  <c r="B1430" i="7"/>
  <c r="B1431" i="7"/>
  <c r="B1432" i="7"/>
  <c r="B1433" i="7"/>
  <c r="D1433" i="7" s="1"/>
  <c r="B1434" i="7"/>
  <c r="B1435" i="7"/>
  <c r="B1436" i="7"/>
  <c r="D1436" i="7" s="1"/>
  <c r="B1437" i="7"/>
  <c r="B1438" i="7"/>
  <c r="B1439" i="7"/>
  <c r="B1440" i="7"/>
  <c r="B1441" i="7"/>
  <c r="D1441" i="7" s="1"/>
  <c r="B1442" i="7"/>
  <c r="B1443" i="7"/>
  <c r="B1444" i="7"/>
  <c r="B1445" i="7"/>
  <c r="B1446" i="7"/>
  <c r="B1447" i="7"/>
  <c r="B1448" i="7"/>
  <c r="B1449" i="7"/>
  <c r="D1449" i="7" s="1"/>
  <c r="B1450" i="7"/>
  <c r="B1451" i="7"/>
  <c r="B1452" i="7"/>
  <c r="B1453" i="7"/>
  <c r="D1453" i="7" s="1"/>
  <c r="B1454" i="7"/>
  <c r="B1455" i="7"/>
  <c r="B1456" i="7"/>
  <c r="B1457" i="7"/>
  <c r="D1457" i="7" s="1"/>
  <c r="B1458" i="7"/>
  <c r="B1459" i="7"/>
  <c r="B1460" i="7"/>
  <c r="D1460" i="7" s="1"/>
  <c r="B1461" i="7"/>
  <c r="B1462" i="7"/>
  <c r="B1463" i="7"/>
  <c r="B1464" i="7"/>
  <c r="B1465" i="7"/>
  <c r="B1466" i="7"/>
  <c r="B1467" i="7"/>
  <c r="B1468" i="7"/>
  <c r="B1469" i="7"/>
  <c r="D1469" i="7" s="1"/>
  <c r="B1470" i="7"/>
  <c r="B1471" i="7"/>
  <c r="B1472" i="7"/>
  <c r="B1473" i="7"/>
  <c r="B1474" i="7"/>
  <c r="B1475" i="7"/>
  <c r="B1476" i="7"/>
  <c r="B1477" i="7"/>
  <c r="B1478" i="7"/>
  <c r="D1478" i="7" s="1"/>
  <c r="B1479" i="7"/>
  <c r="B1480" i="7"/>
  <c r="D1480" i="7" s="1"/>
  <c r="B1481" i="7"/>
  <c r="B1482" i="7"/>
  <c r="B1483" i="7"/>
  <c r="B1484" i="7"/>
  <c r="D1484" i="7" s="1"/>
  <c r="B1485" i="7"/>
  <c r="B1486" i="7"/>
  <c r="B1487" i="7"/>
  <c r="B1488" i="7"/>
  <c r="B1489" i="7"/>
  <c r="B1490" i="7"/>
  <c r="D1490" i="7" s="1"/>
  <c r="B1491" i="7"/>
  <c r="B1492" i="7"/>
  <c r="B1493" i="7"/>
  <c r="B1494" i="7"/>
  <c r="B1495" i="7"/>
  <c r="B1496" i="7"/>
  <c r="B1497" i="7"/>
  <c r="B1498" i="7"/>
  <c r="B1499" i="7"/>
  <c r="B1500" i="7"/>
  <c r="B1501" i="7"/>
  <c r="B1502" i="7"/>
  <c r="D1502" i="7" s="1"/>
  <c r="B1503" i="7"/>
  <c r="B1504" i="7"/>
  <c r="B1505" i="7"/>
  <c r="D1505" i="7" s="1"/>
  <c r="B1506" i="7"/>
  <c r="B1507" i="7"/>
  <c r="B1508" i="7"/>
  <c r="B1509" i="7"/>
  <c r="B1510" i="7"/>
  <c r="B1511" i="7"/>
  <c r="B1512" i="7"/>
  <c r="B1513" i="7"/>
  <c r="D1513" i="7" s="1"/>
  <c r="B1514" i="7"/>
  <c r="B1515" i="7"/>
  <c r="B1516" i="7"/>
  <c r="D1516" i="7" s="1"/>
  <c r="B1517" i="7"/>
  <c r="D1517" i="7" s="1"/>
  <c r="B1518" i="7"/>
  <c r="B1519" i="7"/>
  <c r="B1520" i="7"/>
  <c r="D1520" i="7" s="1"/>
  <c r="B1521" i="7"/>
  <c r="B1522" i="7"/>
  <c r="B1523" i="7"/>
  <c r="B1524" i="7"/>
  <c r="B1525" i="7"/>
  <c r="B1526" i="7"/>
  <c r="D1526" i="7" s="1"/>
  <c r="B1527" i="7"/>
  <c r="B1528" i="7"/>
  <c r="B1529" i="7"/>
  <c r="B1530" i="7"/>
  <c r="B1531" i="7"/>
  <c r="B1532" i="7"/>
  <c r="B1533" i="7"/>
  <c r="B1534" i="7"/>
  <c r="B1535" i="7"/>
  <c r="B1536" i="7"/>
  <c r="B1537" i="7"/>
  <c r="D1537" i="7" s="1"/>
  <c r="B1538" i="7"/>
  <c r="B1539" i="7"/>
  <c r="B1540" i="7"/>
  <c r="B1541" i="7"/>
  <c r="D1541" i="7" s="1"/>
  <c r="B1542" i="7"/>
  <c r="B1543" i="7"/>
  <c r="B1544" i="7"/>
  <c r="B1545" i="7"/>
  <c r="B1546" i="7"/>
  <c r="D1546" i="7" s="1"/>
  <c r="B1547" i="7"/>
  <c r="B1548" i="7"/>
  <c r="B1549" i="7"/>
  <c r="B1550" i="7"/>
  <c r="B1551" i="7"/>
  <c r="B1552" i="7"/>
  <c r="B1553" i="7"/>
  <c r="B1554" i="7"/>
  <c r="B1555" i="7"/>
  <c r="B1556" i="7"/>
  <c r="D1556" i="7" s="1"/>
  <c r="B1557" i="7"/>
  <c r="B1558" i="7"/>
  <c r="B1559" i="7"/>
  <c r="B1560" i="7"/>
  <c r="B1561" i="7"/>
  <c r="D1561" i="7" s="1"/>
  <c r="B1562" i="7"/>
  <c r="B1563" i="7"/>
  <c r="B1564" i="7"/>
  <c r="D1564" i="7" s="1"/>
  <c r="B1565" i="7"/>
  <c r="B1566" i="7"/>
  <c r="B1567" i="7"/>
  <c r="B1568" i="7"/>
  <c r="B1569" i="7"/>
  <c r="B1570" i="7"/>
  <c r="B1571" i="7"/>
  <c r="B1572" i="7"/>
  <c r="B1573" i="7"/>
  <c r="D1573" i="7" s="1"/>
  <c r="B1574" i="7"/>
  <c r="B1575" i="7"/>
  <c r="B1576" i="7"/>
  <c r="B1577" i="7"/>
  <c r="B1578" i="7"/>
  <c r="B1579" i="7"/>
  <c r="B1580" i="7"/>
  <c r="D1580" i="7" s="1"/>
  <c r="B1581" i="7"/>
  <c r="B1582" i="7"/>
  <c r="D1582" i="7" s="1"/>
  <c r="B1583" i="7"/>
  <c r="B1584" i="7"/>
  <c r="B1585" i="7"/>
  <c r="B1586" i="7"/>
  <c r="B1587" i="7"/>
  <c r="B1588" i="7"/>
  <c r="B1589" i="7"/>
  <c r="B1590" i="7"/>
  <c r="B1591" i="7"/>
  <c r="B1592" i="7"/>
  <c r="B1593" i="7"/>
  <c r="B1594" i="7"/>
  <c r="B1595" i="7"/>
  <c r="B1596" i="7"/>
  <c r="B1597" i="7"/>
  <c r="B1598" i="7"/>
  <c r="B1599" i="7"/>
  <c r="B1600" i="7"/>
  <c r="B1601" i="7"/>
  <c r="D1601" i="7" s="1"/>
  <c r="B1602" i="7"/>
  <c r="B1603" i="7"/>
  <c r="B1604" i="7"/>
  <c r="D1604" i="7" s="1"/>
  <c r="B1605" i="7"/>
  <c r="B1606" i="7"/>
  <c r="B1607" i="7"/>
  <c r="B1608" i="7"/>
  <c r="B1609" i="7"/>
  <c r="B1610" i="7"/>
  <c r="B1611" i="7"/>
  <c r="B1612" i="7"/>
  <c r="D1612" i="7" s="1"/>
  <c r="B1613" i="7"/>
  <c r="B1614" i="7"/>
  <c r="B1615" i="7"/>
  <c r="B1616" i="7"/>
  <c r="B1617" i="7"/>
  <c r="B1618" i="7"/>
  <c r="B1619" i="7"/>
  <c r="B1620" i="7"/>
  <c r="B1621" i="7"/>
  <c r="B1622" i="7"/>
  <c r="B1623" i="7"/>
  <c r="B1624" i="7"/>
  <c r="B1625" i="7"/>
  <c r="B1626" i="7"/>
  <c r="B1627" i="7"/>
  <c r="B1628" i="7"/>
  <c r="B1629" i="7"/>
  <c r="D1629" i="7" s="1"/>
  <c r="B1630" i="7"/>
  <c r="B1631" i="7"/>
  <c r="B1632" i="7"/>
  <c r="B1633" i="7"/>
  <c r="B1634" i="7"/>
  <c r="B1635" i="7"/>
  <c r="B1636" i="7"/>
  <c r="B1637" i="7"/>
  <c r="D1637" i="7" s="1"/>
  <c r="B1638" i="7"/>
  <c r="B1639" i="7"/>
  <c r="B1640" i="7"/>
  <c r="D1640" i="7" s="1"/>
  <c r="B1641" i="7"/>
  <c r="B1642" i="7"/>
  <c r="B1643" i="7"/>
  <c r="B1644" i="7"/>
  <c r="B1645" i="7"/>
  <c r="B1646" i="7"/>
  <c r="B1647" i="7"/>
  <c r="B1648" i="7"/>
  <c r="B1649" i="7"/>
  <c r="D1649" i="7" s="1"/>
  <c r="B1650" i="7"/>
  <c r="B1651" i="7"/>
  <c r="B1652" i="7"/>
  <c r="B1653" i="7"/>
  <c r="D1653" i="7" s="1"/>
  <c r="B1654" i="7"/>
  <c r="B1655" i="7"/>
  <c r="B1656" i="7"/>
  <c r="B1657" i="7"/>
  <c r="B1658" i="7"/>
  <c r="B1659" i="7"/>
  <c r="B1660" i="7"/>
  <c r="B1661" i="7"/>
  <c r="B1662" i="7"/>
  <c r="B1663" i="7"/>
  <c r="B1664" i="7"/>
  <c r="B1665" i="7"/>
  <c r="B1666" i="7"/>
  <c r="B1667" i="7"/>
  <c r="B1668" i="7"/>
  <c r="B1669" i="7"/>
  <c r="D1669" i="7" s="1"/>
  <c r="B1670" i="7"/>
  <c r="B1671" i="7"/>
  <c r="B1672" i="7"/>
  <c r="B1673" i="7"/>
  <c r="B1674" i="7"/>
  <c r="B1675" i="7"/>
  <c r="B1676" i="7"/>
  <c r="B1677" i="7"/>
  <c r="B1678" i="7"/>
  <c r="B1679" i="7"/>
  <c r="B1680" i="7"/>
  <c r="B1681" i="7"/>
  <c r="B1682" i="7"/>
  <c r="B1683" i="7"/>
  <c r="B1684" i="7"/>
  <c r="D1684" i="7" s="1"/>
  <c r="B1685" i="7"/>
  <c r="B1686" i="7"/>
  <c r="B1687" i="7"/>
  <c r="B1688" i="7"/>
  <c r="B1689" i="7"/>
  <c r="D1689" i="7" s="1"/>
  <c r="B1690" i="7"/>
  <c r="D1690" i="7" s="1"/>
  <c r="B1691" i="7"/>
  <c r="B1692" i="7"/>
  <c r="B1693" i="7"/>
  <c r="B1694" i="7"/>
  <c r="B1695" i="7"/>
  <c r="B1696" i="7"/>
  <c r="B1697" i="7"/>
  <c r="B1698" i="7"/>
  <c r="B1699" i="7"/>
  <c r="B1700" i="7"/>
  <c r="B1701" i="7"/>
  <c r="B1702" i="7"/>
  <c r="D1702" i="7" s="1"/>
  <c r="B1703" i="7"/>
  <c r="B1704" i="7"/>
  <c r="B1705" i="7"/>
  <c r="B1706" i="7"/>
  <c r="B1707" i="7"/>
  <c r="B1708" i="7"/>
  <c r="D1708" i="7" s="1"/>
  <c r="B1709" i="7"/>
  <c r="D1709" i="7" s="1"/>
  <c r="B1710" i="7"/>
  <c r="B1711" i="7"/>
  <c r="B1712" i="7"/>
  <c r="B1713" i="7"/>
  <c r="D1713" i="7" s="1"/>
  <c r="B1714" i="7"/>
  <c r="B1715" i="7"/>
  <c r="B1716" i="7"/>
  <c r="B1717" i="7"/>
  <c r="B1718" i="7"/>
  <c r="B1719" i="7"/>
  <c r="B1720" i="7"/>
  <c r="B1721" i="7"/>
  <c r="B1722" i="7"/>
  <c r="B1723" i="7"/>
  <c r="B1724" i="7"/>
  <c r="B1725" i="7"/>
  <c r="D1725" i="7" s="1"/>
  <c r="B1726" i="7"/>
  <c r="B1727" i="7"/>
  <c r="B1728" i="7"/>
  <c r="B1729" i="7"/>
  <c r="B1730" i="7"/>
  <c r="B1731" i="7"/>
  <c r="B1732" i="7"/>
  <c r="B1733" i="7"/>
  <c r="B1734" i="7"/>
  <c r="B1735" i="7"/>
  <c r="B1736" i="7"/>
  <c r="B1737" i="7"/>
  <c r="B1738" i="7"/>
  <c r="B1739" i="7"/>
  <c r="B1740" i="7"/>
  <c r="B1741" i="7"/>
  <c r="B1742" i="7"/>
  <c r="B1743" i="7"/>
  <c r="B1744" i="7"/>
  <c r="B1745" i="7"/>
  <c r="B1746" i="7"/>
  <c r="B1747" i="7"/>
  <c r="B1748" i="7"/>
  <c r="B1749" i="7"/>
  <c r="B1750" i="7"/>
  <c r="B1751" i="7"/>
  <c r="B1752" i="7"/>
  <c r="B1753" i="7"/>
  <c r="B1754" i="7"/>
  <c r="B1755" i="7"/>
  <c r="B1756" i="7"/>
  <c r="D1756" i="7" s="1"/>
  <c r="B1757" i="7"/>
  <c r="B1758" i="7"/>
  <c r="B1759" i="7"/>
  <c r="B1760" i="7"/>
  <c r="B1761" i="7"/>
  <c r="B1762" i="7"/>
  <c r="B1763" i="7"/>
  <c r="B1764" i="7"/>
  <c r="B1765" i="7"/>
  <c r="B1766" i="7"/>
  <c r="B1767" i="7"/>
  <c r="B1768" i="7"/>
  <c r="D1768" i="7" s="1"/>
  <c r="B1769" i="7"/>
  <c r="B1770" i="7"/>
  <c r="B1771" i="7"/>
  <c r="B1772" i="7"/>
  <c r="B1773" i="7"/>
  <c r="B1774" i="7"/>
  <c r="B1775" i="7"/>
  <c r="B1776" i="7"/>
  <c r="B1777" i="7"/>
  <c r="B1778" i="7"/>
  <c r="D1778" i="7" s="1"/>
  <c r="B1779" i="7"/>
  <c r="B1780" i="7"/>
  <c r="B1781" i="7"/>
  <c r="B1782" i="7"/>
  <c r="B1783" i="7"/>
  <c r="B1784" i="7"/>
  <c r="B1785" i="7"/>
  <c r="B1786" i="7"/>
  <c r="B1787" i="7"/>
  <c r="B1788" i="7"/>
  <c r="B1789" i="7"/>
  <c r="B1790" i="7"/>
  <c r="B1791" i="7"/>
  <c r="B1792" i="7"/>
  <c r="B1793" i="7"/>
  <c r="D1793" i="7" s="1"/>
  <c r="B1794" i="7"/>
  <c r="B1795" i="7"/>
  <c r="B1796" i="7"/>
  <c r="B1797" i="7"/>
  <c r="B1798" i="7"/>
  <c r="B1799" i="7"/>
  <c r="B1800" i="7"/>
  <c r="B1801" i="7"/>
  <c r="B1802" i="7"/>
  <c r="B1803" i="7"/>
  <c r="B1804" i="7"/>
  <c r="B1805" i="7"/>
  <c r="B1806" i="7"/>
  <c r="B1807" i="7"/>
  <c r="B1808" i="7"/>
  <c r="B1809" i="7"/>
  <c r="B1810" i="7"/>
  <c r="B1811" i="7"/>
  <c r="B1812" i="7"/>
  <c r="B1813" i="7"/>
  <c r="B1814" i="7"/>
  <c r="B1815" i="7"/>
  <c r="B1816" i="7"/>
  <c r="B1817" i="7"/>
  <c r="D1817" i="7" s="1"/>
  <c r="B1818" i="7"/>
  <c r="B1819" i="7"/>
  <c r="B1820" i="7"/>
  <c r="B1821" i="7"/>
  <c r="B1822" i="7"/>
  <c r="B1823" i="7"/>
  <c r="B1824" i="7"/>
  <c r="B1825" i="7"/>
  <c r="B1826" i="7"/>
  <c r="B1827" i="7"/>
  <c r="B1828" i="7"/>
  <c r="B1829" i="7"/>
  <c r="B1830" i="7"/>
  <c r="B1831" i="7"/>
  <c r="B1832" i="7"/>
  <c r="B1833" i="7"/>
  <c r="B1834" i="7"/>
  <c r="D1834" i="7" s="1"/>
  <c r="B1835" i="7"/>
  <c r="B1836" i="7"/>
  <c r="B1837" i="7"/>
  <c r="B1838" i="7"/>
  <c r="B1839" i="7"/>
  <c r="B1840" i="7"/>
  <c r="B1841" i="7"/>
  <c r="B1842" i="7"/>
  <c r="B1843" i="7"/>
  <c r="B1844" i="7"/>
  <c r="B1845" i="7"/>
  <c r="B1846" i="7"/>
  <c r="B1847" i="7"/>
  <c r="B1848" i="7"/>
  <c r="B1849" i="7"/>
  <c r="D1849" i="7" s="1"/>
  <c r="B1850" i="7"/>
  <c r="D1850" i="7" s="1"/>
  <c r="B1851" i="7"/>
  <c r="B1852" i="7"/>
  <c r="D1852" i="7" s="1"/>
  <c r="B1853" i="7"/>
  <c r="B1854" i="7"/>
  <c r="B1855" i="7"/>
  <c r="B1856" i="7"/>
  <c r="D1856" i="7" s="1"/>
  <c r="B1857" i="7"/>
  <c r="B1858" i="7"/>
  <c r="B1859" i="7"/>
  <c r="B1860" i="7"/>
  <c r="B1861" i="7"/>
  <c r="B1862" i="7"/>
  <c r="B1863" i="7"/>
  <c r="B1864" i="7"/>
  <c r="B1865" i="7"/>
  <c r="D1865" i="7" s="1"/>
  <c r="B1866" i="7"/>
  <c r="B1867" i="7"/>
  <c r="B1868" i="7"/>
  <c r="B1869" i="7"/>
  <c r="B1870" i="7"/>
  <c r="B1871" i="7"/>
  <c r="B1872" i="7"/>
  <c r="B1873" i="7"/>
  <c r="B1874" i="7"/>
  <c r="B1875" i="7"/>
  <c r="B1876" i="7"/>
  <c r="B1877" i="7"/>
  <c r="B1878" i="7"/>
  <c r="B1879" i="7"/>
  <c r="B1880" i="7"/>
  <c r="B1881" i="7"/>
  <c r="D1881" i="7" s="1"/>
  <c r="B1882" i="7"/>
  <c r="B1883" i="7"/>
  <c r="B1884" i="7"/>
  <c r="B1885" i="7"/>
  <c r="B1886" i="7"/>
  <c r="B1887" i="7"/>
  <c r="D1887" i="7" s="1"/>
  <c r="B1888" i="7"/>
  <c r="B1889" i="7"/>
  <c r="B1890" i="7"/>
  <c r="B1891" i="7"/>
  <c r="B1892" i="7"/>
  <c r="B1893" i="7"/>
  <c r="D1893" i="7" s="1"/>
  <c r="B1894" i="7"/>
  <c r="B1895" i="7"/>
  <c r="B1896" i="7"/>
  <c r="B1897" i="7"/>
  <c r="B1898" i="7"/>
  <c r="B1899" i="7"/>
  <c r="B1900" i="7"/>
  <c r="B1901" i="7"/>
  <c r="D1901" i="7" s="1"/>
  <c r="B1902" i="7"/>
  <c r="B1903" i="7"/>
  <c r="B1904" i="7"/>
  <c r="B1905" i="7"/>
  <c r="B1906" i="7"/>
  <c r="B1907" i="7"/>
  <c r="B1908" i="7"/>
  <c r="B1909" i="7"/>
  <c r="B1910" i="7"/>
  <c r="B1911" i="7"/>
  <c r="B1912" i="7"/>
  <c r="B1913" i="7"/>
  <c r="B1914" i="7"/>
  <c r="B1915" i="7"/>
  <c r="B1916" i="7"/>
  <c r="D1916" i="7" s="1"/>
  <c r="B1917" i="7"/>
  <c r="B1918" i="7"/>
  <c r="B1919" i="7"/>
  <c r="B1920" i="7"/>
  <c r="B1921" i="7"/>
  <c r="D1921" i="7" s="1"/>
  <c r="B1922" i="7"/>
  <c r="B1923" i="7"/>
  <c r="B1924" i="7"/>
  <c r="D1924" i="7" s="1"/>
  <c r="B1925" i="7"/>
  <c r="B1926" i="7"/>
  <c r="B1927" i="7"/>
  <c r="B1928" i="7"/>
  <c r="B1929" i="7"/>
  <c r="D1929" i="7" s="1"/>
  <c r="B1930" i="7"/>
  <c r="D1930" i="7" s="1"/>
  <c r="B1931" i="7"/>
  <c r="B1932" i="7"/>
  <c r="B1933" i="7"/>
  <c r="B1934" i="7"/>
  <c r="D1934" i="7" s="1"/>
  <c r="B1935" i="7"/>
  <c r="B1936" i="7"/>
  <c r="B1937" i="7"/>
  <c r="B1938" i="7"/>
  <c r="B1939" i="7"/>
  <c r="B1940" i="7"/>
  <c r="B1941" i="7"/>
  <c r="B1942" i="7"/>
  <c r="D1942" i="7" s="1"/>
  <c r="B1943" i="7"/>
  <c r="B1944" i="7"/>
  <c r="B1945" i="7"/>
  <c r="B1946" i="7"/>
  <c r="B1947" i="7"/>
  <c r="B1948" i="7"/>
  <c r="B1949" i="7"/>
  <c r="D1949" i="7" s="1"/>
  <c r="B1950" i="7"/>
  <c r="B1951" i="7"/>
  <c r="B1952" i="7"/>
  <c r="B1953" i="7"/>
  <c r="B1954" i="7"/>
  <c r="B1955" i="7"/>
  <c r="B1956" i="7"/>
  <c r="B1957" i="7"/>
  <c r="D1957" i="7" s="1"/>
  <c r="B1958" i="7"/>
  <c r="D1958" i="7" s="1"/>
  <c r="B1959" i="7"/>
  <c r="B1960" i="7"/>
  <c r="B1961" i="7"/>
  <c r="B1962" i="7"/>
  <c r="B1963" i="7"/>
  <c r="B1964" i="7"/>
  <c r="D1964" i="7" s="1"/>
  <c r="B1965" i="7"/>
  <c r="B1966" i="7"/>
  <c r="B1967" i="7"/>
  <c r="B1968" i="7"/>
  <c r="B1969" i="7"/>
  <c r="B1970" i="7"/>
  <c r="B1971" i="7"/>
  <c r="B1972" i="7"/>
  <c r="B1973" i="7"/>
  <c r="B1974" i="7"/>
  <c r="B1975" i="7"/>
  <c r="B1976" i="7"/>
  <c r="B1977" i="7"/>
  <c r="D1977" i="7" s="1"/>
  <c r="B1978" i="7"/>
  <c r="D1978" i="7" s="1"/>
  <c r="B1979" i="7"/>
  <c r="B1980" i="7"/>
  <c r="B1981" i="7"/>
  <c r="B1982" i="7"/>
  <c r="B1983" i="7"/>
  <c r="B1984" i="7"/>
  <c r="B1985" i="7"/>
  <c r="B1986" i="7"/>
  <c r="B1987" i="7"/>
  <c r="B1988" i="7"/>
  <c r="B1989" i="7"/>
  <c r="B1990" i="7"/>
  <c r="B1991" i="7"/>
  <c r="B1992" i="7"/>
  <c r="B1993" i="7"/>
  <c r="B1994" i="7"/>
  <c r="B1995" i="7"/>
  <c r="B1996" i="7"/>
  <c r="B1997" i="7"/>
  <c r="B1998" i="7"/>
  <c r="B1999" i="7"/>
  <c r="B2000" i="7"/>
  <c r="B2001" i="7"/>
  <c r="B2002" i="7"/>
  <c r="B2003" i="7"/>
  <c r="B2004" i="7"/>
  <c r="B2005" i="7"/>
  <c r="B2006" i="7"/>
  <c r="B2007" i="7"/>
  <c r="B2008" i="7"/>
  <c r="B2009" i="7"/>
  <c r="B2010" i="7"/>
  <c r="B2011" i="7"/>
  <c r="B2012" i="7"/>
  <c r="B2013" i="7"/>
  <c r="B2014" i="7"/>
  <c r="B2015" i="7"/>
  <c r="B2016" i="7"/>
  <c r="B2017" i="7"/>
  <c r="D2017" i="7" s="1"/>
  <c r="B2018" i="7"/>
  <c r="B2019" i="7"/>
  <c r="B2020" i="7"/>
  <c r="B2021" i="7"/>
  <c r="B2022" i="7"/>
  <c r="B2023" i="7"/>
  <c r="B2024" i="7"/>
  <c r="B2025" i="7"/>
  <c r="B2026" i="7"/>
  <c r="D2026" i="7" s="1"/>
  <c r="B2027" i="7"/>
  <c r="B2028" i="7"/>
  <c r="B2029" i="7"/>
  <c r="B2030" i="7"/>
  <c r="B2031" i="7"/>
  <c r="B2032" i="7"/>
  <c r="B2033" i="7"/>
  <c r="B2034" i="7"/>
  <c r="B2035" i="7"/>
  <c r="B2036" i="7"/>
  <c r="B2037" i="7"/>
  <c r="B2038" i="7"/>
  <c r="B2039" i="7"/>
  <c r="B2040" i="7"/>
  <c r="B2041" i="7"/>
  <c r="B2042" i="7"/>
  <c r="D2042" i="7" s="1"/>
  <c r="B2043" i="7"/>
  <c r="B2044" i="7"/>
  <c r="B2045" i="7"/>
  <c r="B2046" i="7"/>
  <c r="B2047" i="7"/>
  <c r="B2048" i="7"/>
  <c r="B3" i="7"/>
  <c r="C2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D317" i="7" s="1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D342" i="7" s="1"/>
  <c r="C343" i="7"/>
  <c r="C344" i="7"/>
  <c r="C345" i="7"/>
  <c r="C346" i="7"/>
  <c r="C347" i="7"/>
  <c r="C348" i="7"/>
  <c r="C349" i="7"/>
  <c r="D349" i="7" s="1"/>
  <c r="C350" i="7"/>
  <c r="C351" i="7"/>
  <c r="C352" i="7"/>
  <c r="C353" i="7"/>
  <c r="C354" i="7"/>
  <c r="C355" i="7"/>
  <c r="C356" i="7"/>
  <c r="C357" i="7"/>
  <c r="C358" i="7"/>
  <c r="D358" i="7" s="1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D377" i="7" s="1"/>
  <c r="C378" i="7"/>
  <c r="C379" i="7"/>
  <c r="C380" i="7"/>
  <c r="C381" i="7"/>
  <c r="C382" i="7"/>
  <c r="C383" i="7"/>
  <c r="C384" i="7"/>
  <c r="C385" i="7"/>
  <c r="C386" i="7"/>
  <c r="D386" i="7" s="1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D421" i="7" s="1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D439" i="7" s="1"/>
  <c r="C440" i="7"/>
  <c r="C441" i="7"/>
  <c r="C442" i="7"/>
  <c r="C443" i="7"/>
  <c r="C444" i="7"/>
  <c r="C445" i="7"/>
  <c r="C446" i="7"/>
  <c r="C447" i="7"/>
  <c r="C448" i="7"/>
  <c r="D448" i="7" s="1"/>
  <c r="C449" i="7"/>
  <c r="C450" i="7"/>
  <c r="C451" i="7"/>
  <c r="C452" i="7"/>
  <c r="C453" i="7"/>
  <c r="C454" i="7"/>
  <c r="C455" i="7"/>
  <c r="D455" i="7" s="1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D475" i="7" s="1"/>
  <c r="C476" i="7"/>
  <c r="C477" i="7"/>
  <c r="C478" i="7"/>
  <c r="C479" i="7"/>
  <c r="C480" i="7"/>
  <c r="C481" i="7"/>
  <c r="C482" i="7"/>
  <c r="C483" i="7"/>
  <c r="C484" i="7"/>
  <c r="D484" i="7" s="1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D522" i="7" s="1"/>
  <c r="C523" i="7"/>
  <c r="C524" i="7"/>
  <c r="C525" i="7"/>
  <c r="C526" i="7"/>
  <c r="C527" i="7"/>
  <c r="C528" i="7"/>
  <c r="C529" i="7"/>
  <c r="C530" i="7"/>
  <c r="C531" i="7"/>
  <c r="C532" i="7"/>
  <c r="D532" i="7" s="1"/>
  <c r="C533" i="7"/>
  <c r="D533" i="7" s="1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D557" i="7" s="1"/>
  <c r="C558" i="7"/>
  <c r="C559" i="7"/>
  <c r="C560" i="7"/>
  <c r="C561" i="7"/>
  <c r="C562" i="7"/>
  <c r="C563" i="7"/>
  <c r="C564" i="7"/>
  <c r="C565" i="7"/>
  <c r="C566" i="7"/>
  <c r="D566" i="7" s="1"/>
  <c r="C567" i="7"/>
  <c r="C568" i="7"/>
  <c r="C569" i="7"/>
  <c r="C570" i="7"/>
  <c r="D570" i="7" s="1"/>
  <c r="C571" i="7"/>
  <c r="C572" i="7"/>
  <c r="C573" i="7"/>
  <c r="C574" i="7"/>
  <c r="C575" i="7"/>
  <c r="C576" i="7"/>
  <c r="C577" i="7"/>
  <c r="C578" i="7"/>
  <c r="C579" i="7"/>
  <c r="C580" i="7"/>
  <c r="D580" i="7" s="1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D594" i="7" s="1"/>
  <c r="C595" i="7"/>
  <c r="C596" i="7"/>
  <c r="C597" i="7"/>
  <c r="C598" i="7"/>
  <c r="D598" i="7" s="1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D613" i="7" s="1"/>
  <c r="C614" i="7"/>
  <c r="D614" i="7" s="1"/>
  <c r="C615" i="7"/>
  <c r="C616" i="7"/>
  <c r="C617" i="7"/>
  <c r="C618" i="7"/>
  <c r="D618" i="7" s="1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D638" i="7" s="1"/>
  <c r="C639" i="7"/>
  <c r="C640" i="7"/>
  <c r="C641" i="7"/>
  <c r="C642" i="7"/>
  <c r="C643" i="7"/>
  <c r="C644" i="7"/>
  <c r="C645" i="7"/>
  <c r="C646" i="7"/>
  <c r="D646" i="7" s="1"/>
  <c r="C647" i="7"/>
  <c r="C648" i="7"/>
  <c r="C649" i="7"/>
  <c r="C650" i="7"/>
  <c r="C651" i="7"/>
  <c r="C652" i="7"/>
  <c r="C653" i="7"/>
  <c r="D653" i="7" s="1"/>
  <c r="C654" i="7"/>
  <c r="C655" i="7"/>
  <c r="C656" i="7"/>
  <c r="C657" i="7"/>
  <c r="C658" i="7"/>
  <c r="C659" i="7"/>
  <c r="C660" i="7"/>
  <c r="C661" i="7"/>
  <c r="D661" i="7" s="1"/>
  <c r="C662" i="7"/>
  <c r="C663" i="7"/>
  <c r="C664" i="7"/>
  <c r="C665" i="7"/>
  <c r="D665" i="7" s="1"/>
  <c r="C666" i="7"/>
  <c r="D666" i="7" s="1"/>
  <c r="C667" i="7"/>
  <c r="C668" i="7"/>
  <c r="C669" i="7"/>
  <c r="C670" i="7"/>
  <c r="C671" i="7"/>
  <c r="C672" i="7"/>
  <c r="C673" i="7"/>
  <c r="C674" i="7"/>
  <c r="D674" i="7" s="1"/>
  <c r="C675" i="7"/>
  <c r="C676" i="7"/>
  <c r="C677" i="7"/>
  <c r="C678" i="7"/>
  <c r="C679" i="7"/>
  <c r="C680" i="7"/>
  <c r="C681" i="7"/>
  <c r="C682" i="7"/>
  <c r="C683" i="7"/>
  <c r="D683" i="7" s="1"/>
  <c r="C684" i="7"/>
  <c r="C685" i="7"/>
  <c r="C686" i="7"/>
  <c r="C687" i="7"/>
  <c r="C688" i="7"/>
  <c r="C689" i="7"/>
  <c r="C690" i="7"/>
  <c r="C691" i="7"/>
  <c r="D691" i="7" s="1"/>
  <c r="C692" i="7"/>
  <c r="C693" i="7"/>
  <c r="C694" i="7"/>
  <c r="C695" i="7"/>
  <c r="C696" i="7"/>
  <c r="C697" i="7"/>
  <c r="C698" i="7"/>
  <c r="C699" i="7"/>
  <c r="C700" i="7"/>
  <c r="C701" i="7"/>
  <c r="D701" i="7" s="1"/>
  <c r="C702" i="7"/>
  <c r="C703" i="7"/>
  <c r="C704" i="7"/>
  <c r="C705" i="7"/>
  <c r="C706" i="7"/>
  <c r="C707" i="7"/>
  <c r="C708" i="7"/>
  <c r="C709" i="7"/>
  <c r="C710" i="7"/>
  <c r="C711" i="7"/>
  <c r="C712" i="7"/>
  <c r="D712" i="7" s="1"/>
  <c r="C713" i="7"/>
  <c r="C714" i="7"/>
  <c r="C715" i="7"/>
  <c r="D715" i="7" s="1"/>
  <c r="C716" i="7"/>
  <c r="C717" i="7"/>
  <c r="C718" i="7"/>
  <c r="C719" i="7"/>
  <c r="C720" i="7"/>
  <c r="C721" i="7"/>
  <c r="C722" i="7"/>
  <c r="D722" i="7" s="1"/>
  <c r="C723" i="7"/>
  <c r="C724" i="7"/>
  <c r="C725" i="7"/>
  <c r="C726" i="7"/>
  <c r="C727" i="7"/>
  <c r="C728" i="7"/>
  <c r="C729" i="7"/>
  <c r="C730" i="7"/>
  <c r="C731" i="7"/>
  <c r="D731" i="7" s="1"/>
  <c r="C732" i="7"/>
  <c r="C733" i="7"/>
  <c r="C734" i="7"/>
  <c r="C735" i="7"/>
  <c r="C736" i="7"/>
  <c r="C737" i="7"/>
  <c r="C738" i="7"/>
  <c r="C739" i="7"/>
  <c r="D739" i="7" s="1"/>
  <c r="C740" i="7"/>
  <c r="C741" i="7"/>
  <c r="C742" i="7"/>
  <c r="C743" i="7"/>
  <c r="C744" i="7"/>
  <c r="C745" i="7"/>
  <c r="C746" i="7"/>
  <c r="D746" i="7" s="1"/>
  <c r="C747" i="7"/>
  <c r="C748" i="7"/>
  <c r="C749" i="7"/>
  <c r="D749" i="7" s="1"/>
  <c r="C750" i="7"/>
  <c r="C751" i="7"/>
  <c r="D751" i="7" s="1"/>
  <c r="C752" i="7"/>
  <c r="C753" i="7"/>
  <c r="C754" i="7"/>
  <c r="C755" i="7"/>
  <c r="D755" i="7" s="1"/>
  <c r="C756" i="7"/>
  <c r="C757" i="7"/>
  <c r="D757" i="7" s="1"/>
  <c r="C758" i="7"/>
  <c r="D758" i="7" s="1"/>
  <c r="C759" i="7"/>
  <c r="C760" i="7"/>
  <c r="C761" i="7"/>
  <c r="C762" i="7"/>
  <c r="C763" i="7"/>
  <c r="C764" i="7"/>
  <c r="C765" i="7"/>
  <c r="C766" i="7"/>
  <c r="D766" i="7" s="1"/>
  <c r="C767" i="7"/>
  <c r="C768" i="7"/>
  <c r="C769" i="7"/>
  <c r="C770" i="7"/>
  <c r="C771" i="7"/>
  <c r="C772" i="7"/>
  <c r="C773" i="7"/>
  <c r="D773" i="7" s="1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D786" i="7" s="1"/>
  <c r="C787" i="7"/>
  <c r="D787" i="7" s="1"/>
  <c r="C788" i="7"/>
  <c r="C789" i="7"/>
  <c r="C790" i="7"/>
  <c r="C791" i="7"/>
  <c r="C792" i="7"/>
  <c r="C793" i="7"/>
  <c r="C794" i="7"/>
  <c r="C795" i="7"/>
  <c r="C796" i="7"/>
  <c r="D796" i="7" s="1"/>
  <c r="C797" i="7"/>
  <c r="C798" i="7"/>
  <c r="C799" i="7"/>
  <c r="D799" i="7" s="1"/>
  <c r="C800" i="7"/>
  <c r="C801" i="7"/>
  <c r="C802" i="7"/>
  <c r="D802" i="7" s="1"/>
  <c r="C803" i="7"/>
  <c r="C804" i="7"/>
  <c r="C805" i="7"/>
  <c r="D805" i="7" s="1"/>
  <c r="C806" i="7"/>
  <c r="D806" i="7" s="1"/>
  <c r="C807" i="7"/>
  <c r="C808" i="7"/>
  <c r="D808" i="7" s="1"/>
  <c r="C809" i="7"/>
  <c r="C810" i="7"/>
  <c r="C811" i="7"/>
  <c r="D811" i="7" s="1"/>
  <c r="C812" i="7"/>
  <c r="C813" i="7"/>
  <c r="C814" i="7"/>
  <c r="C815" i="7"/>
  <c r="D815" i="7" s="1"/>
  <c r="C816" i="7"/>
  <c r="C817" i="7"/>
  <c r="D817" i="7" s="1"/>
  <c r="C818" i="7"/>
  <c r="C819" i="7"/>
  <c r="C820" i="7"/>
  <c r="D820" i="7" s="1"/>
  <c r="C821" i="7"/>
  <c r="D821" i="7" s="1"/>
  <c r="C822" i="7"/>
  <c r="C823" i="7"/>
  <c r="C824" i="7"/>
  <c r="C825" i="7"/>
  <c r="C826" i="7"/>
  <c r="C827" i="7"/>
  <c r="D827" i="7" s="1"/>
  <c r="C828" i="7"/>
  <c r="C829" i="7"/>
  <c r="C830" i="7"/>
  <c r="D830" i="7" s="1"/>
  <c r="C831" i="7"/>
  <c r="C832" i="7"/>
  <c r="C833" i="7"/>
  <c r="C834" i="7"/>
  <c r="C835" i="7"/>
  <c r="D835" i="7" s="1"/>
  <c r="C836" i="7"/>
  <c r="C837" i="7"/>
  <c r="C838" i="7"/>
  <c r="C839" i="7"/>
  <c r="D839" i="7" s="1"/>
  <c r="C840" i="7"/>
  <c r="C841" i="7"/>
  <c r="C842" i="7"/>
  <c r="D842" i="7" s="1"/>
  <c r="C843" i="7"/>
  <c r="C844" i="7"/>
  <c r="C845" i="7"/>
  <c r="D845" i="7" s="1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D865" i="7" s="1"/>
  <c r="C866" i="7"/>
  <c r="C867" i="7"/>
  <c r="C868" i="7"/>
  <c r="C869" i="7"/>
  <c r="C870" i="7"/>
  <c r="C871" i="7"/>
  <c r="C872" i="7"/>
  <c r="C873" i="7"/>
  <c r="C874" i="7"/>
  <c r="C875" i="7"/>
  <c r="D875" i="7" s="1"/>
  <c r="C876" i="7"/>
  <c r="C877" i="7"/>
  <c r="C878" i="7"/>
  <c r="C879" i="7"/>
  <c r="C880" i="7"/>
  <c r="C881" i="7"/>
  <c r="D881" i="7" s="1"/>
  <c r="C882" i="7"/>
  <c r="C883" i="7"/>
  <c r="D883" i="7" s="1"/>
  <c r="C884" i="7"/>
  <c r="C885" i="7"/>
  <c r="C886" i="7"/>
  <c r="C887" i="7"/>
  <c r="C888" i="7"/>
  <c r="C889" i="7"/>
  <c r="D889" i="7" s="1"/>
  <c r="C890" i="7"/>
  <c r="C891" i="7"/>
  <c r="C892" i="7"/>
  <c r="C893" i="7"/>
  <c r="C894" i="7"/>
  <c r="C895" i="7"/>
  <c r="C896" i="7"/>
  <c r="C897" i="7"/>
  <c r="C898" i="7"/>
  <c r="C899" i="7"/>
  <c r="D899" i="7" s="1"/>
  <c r="C900" i="7"/>
  <c r="C901" i="7"/>
  <c r="C902" i="7"/>
  <c r="C903" i="7"/>
  <c r="C904" i="7"/>
  <c r="C905" i="7"/>
  <c r="D905" i="7" s="1"/>
  <c r="C906" i="7"/>
  <c r="C907" i="7"/>
  <c r="C908" i="7"/>
  <c r="C909" i="7"/>
  <c r="C910" i="7"/>
  <c r="C911" i="7"/>
  <c r="D911" i="7" s="1"/>
  <c r="C912" i="7"/>
  <c r="C913" i="7"/>
  <c r="C914" i="7"/>
  <c r="C915" i="7"/>
  <c r="C916" i="7"/>
  <c r="C917" i="7"/>
  <c r="D917" i="7" s="1"/>
  <c r="C918" i="7"/>
  <c r="C919" i="7"/>
  <c r="C920" i="7"/>
  <c r="C921" i="7"/>
  <c r="C922" i="7"/>
  <c r="C923" i="7"/>
  <c r="C924" i="7"/>
  <c r="C925" i="7"/>
  <c r="C926" i="7"/>
  <c r="D926" i="7" s="1"/>
  <c r="C927" i="7"/>
  <c r="C928" i="7"/>
  <c r="C929" i="7"/>
  <c r="C930" i="7"/>
  <c r="C931" i="7"/>
  <c r="D931" i="7" s="1"/>
  <c r="C932" i="7"/>
  <c r="C933" i="7"/>
  <c r="C934" i="7"/>
  <c r="D934" i="7" s="1"/>
  <c r="C935" i="7"/>
  <c r="C936" i="7"/>
  <c r="C937" i="7"/>
  <c r="D937" i="7" s="1"/>
  <c r="C938" i="7"/>
  <c r="C939" i="7"/>
  <c r="C940" i="7"/>
  <c r="C941" i="7"/>
  <c r="D941" i="7" s="1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D958" i="7" s="1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D979" i="7" s="1"/>
  <c r="C980" i="7"/>
  <c r="C981" i="7"/>
  <c r="C982" i="7"/>
  <c r="D982" i="7" s="1"/>
  <c r="C983" i="7"/>
  <c r="C984" i="7"/>
  <c r="C985" i="7"/>
  <c r="C986" i="7"/>
  <c r="C987" i="7"/>
  <c r="C988" i="7"/>
  <c r="C989" i="7"/>
  <c r="C990" i="7"/>
  <c r="C991" i="7"/>
  <c r="D991" i="7" s="1"/>
  <c r="C992" i="7"/>
  <c r="C993" i="7"/>
  <c r="C994" i="7"/>
  <c r="C995" i="7"/>
  <c r="C996" i="7"/>
  <c r="C997" i="7"/>
  <c r="C998" i="7"/>
  <c r="C999" i="7"/>
  <c r="C1000" i="7"/>
  <c r="C1001" i="7"/>
  <c r="C1002" i="7"/>
  <c r="C1003" i="7"/>
  <c r="C1004" i="7"/>
  <c r="C1005" i="7"/>
  <c r="C1006" i="7"/>
  <c r="D1006" i="7" s="1"/>
  <c r="C1007" i="7"/>
  <c r="C1008" i="7"/>
  <c r="C1009" i="7"/>
  <c r="C1010" i="7"/>
  <c r="C1011" i="7"/>
  <c r="C1012" i="7"/>
  <c r="C1013" i="7"/>
  <c r="D1013" i="7" s="1"/>
  <c r="C1014" i="7"/>
  <c r="C1015" i="7"/>
  <c r="C1016" i="7"/>
  <c r="C1017" i="7"/>
  <c r="C1018" i="7"/>
  <c r="D1018" i="7" s="1"/>
  <c r="C1019" i="7"/>
  <c r="C1020" i="7"/>
  <c r="C1021" i="7"/>
  <c r="C1022" i="7"/>
  <c r="C1023" i="7"/>
  <c r="C1024" i="7"/>
  <c r="D1024" i="7" s="1"/>
  <c r="C1025" i="7"/>
  <c r="C1026" i="7"/>
  <c r="C1027" i="7"/>
  <c r="C1028" i="7"/>
  <c r="C1029" i="7"/>
  <c r="C1030" i="7"/>
  <c r="D1030" i="7" s="1"/>
  <c r="C1031" i="7"/>
  <c r="C1032" i="7"/>
  <c r="C1033" i="7"/>
  <c r="D1033" i="7" s="1"/>
  <c r="C1034" i="7"/>
  <c r="C1035" i="7"/>
  <c r="C1036" i="7"/>
  <c r="C1037" i="7"/>
  <c r="C1038" i="7"/>
  <c r="C1039" i="7"/>
  <c r="C1040" i="7"/>
  <c r="C1041" i="7"/>
  <c r="C1042" i="7"/>
  <c r="C1043" i="7"/>
  <c r="C1044" i="7"/>
  <c r="C1045" i="7"/>
  <c r="D1045" i="7" s="1"/>
  <c r="C1046" i="7"/>
  <c r="C1047" i="7"/>
  <c r="C1048" i="7"/>
  <c r="D1048" i="7" s="1"/>
  <c r="C1049" i="7"/>
  <c r="D1049" i="7" s="1"/>
  <c r="C1050" i="7"/>
  <c r="D1050" i="7" s="1"/>
  <c r="C1051" i="7"/>
  <c r="C1052" i="7"/>
  <c r="C1053" i="7"/>
  <c r="C1054" i="7"/>
  <c r="C1055" i="7"/>
  <c r="D1055" i="7" s="1"/>
  <c r="C1056" i="7"/>
  <c r="C1057" i="7"/>
  <c r="D1057" i="7" s="1"/>
  <c r="C1058" i="7"/>
  <c r="C1059" i="7"/>
  <c r="C1060" i="7"/>
  <c r="D1060" i="7" s="1"/>
  <c r="C1061" i="7"/>
  <c r="D1061" i="7" s="1"/>
  <c r="C1062" i="7"/>
  <c r="D1062" i="7" s="1"/>
  <c r="C1063" i="7"/>
  <c r="D1063" i="7" s="1"/>
  <c r="C1064" i="7"/>
  <c r="C1065" i="7"/>
  <c r="C1066" i="7"/>
  <c r="D1066" i="7" s="1"/>
  <c r="C1067" i="7"/>
  <c r="C1068" i="7"/>
  <c r="C1069" i="7"/>
  <c r="D1069" i="7" s="1"/>
  <c r="C1070" i="7"/>
  <c r="D1070" i="7" s="1"/>
  <c r="C1071" i="7"/>
  <c r="C1072" i="7"/>
  <c r="C1073" i="7"/>
  <c r="D1073" i="7" s="1"/>
  <c r="C1074" i="7"/>
  <c r="C1075" i="7"/>
  <c r="C1076" i="7"/>
  <c r="C1077" i="7"/>
  <c r="C1078" i="7"/>
  <c r="C1079" i="7"/>
  <c r="D1079" i="7" s="1"/>
  <c r="C1080" i="7"/>
  <c r="C1081" i="7"/>
  <c r="C1082" i="7"/>
  <c r="C1083" i="7"/>
  <c r="C1084" i="7"/>
  <c r="D1084" i="7" s="1"/>
  <c r="C1085" i="7"/>
  <c r="D1085" i="7" s="1"/>
  <c r="C1086" i="7"/>
  <c r="C1087" i="7"/>
  <c r="C1088" i="7"/>
  <c r="C1089" i="7"/>
  <c r="C1090" i="7"/>
  <c r="D1090" i="7" s="1"/>
  <c r="C1091" i="7"/>
  <c r="C1092" i="7"/>
  <c r="C1093" i="7"/>
  <c r="D1093" i="7" s="1"/>
  <c r="C1094" i="7"/>
  <c r="C1095" i="7"/>
  <c r="C1096" i="7"/>
  <c r="D1096" i="7" s="1"/>
  <c r="C1097" i="7"/>
  <c r="D1097" i="7" s="1"/>
  <c r="C1098" i="7"/>
  <c r="C1099" i="7"/>
  <c r="C1100" i="7"/>
  <c r="C1101" i="7"/>
  <c r="C1102" i="7"/>
  <c r="D1102" i="7" s="1"/>
  <c r="C1103" i="7"/>
  <c r="C1104" i="7"/>
  <c r="C1105" i="7"/>
  <c r="C1106" i="7"/>
  <c r="D1106" i="7" s="1"/>
  <c r="C1107" i="7"/>
  <c r="C1108" i="7"/>
  <c r="C1109" i="7"/>
  <c r="D1109" i="7" s="1"/>
  <c r="C1110" i="7"/>
  <c r="C1111" i="7"/>
  <c r="D1111" i="7" s="1"/>
  <c r="C1112" i="7"/>
  <c r="C1113" i="7"/>
  <c r="C1114" i="7"/>
  <c r="D1114" i="7" s="1"/>
  <c r="C1115" i="7"/>
  <c r="D1115" i="7" s="1"/>
  <c r="C1116" i="7"/>
  <c r="C1117" i="7"/>
  <c r="C1118" i="7"/>
  <c r="C1119" i="7"/>
  <c r="C1120" i="7"/>
  <c r="D1120" i="7" s="1"/>
  <c r="C1121" i="7"/>
  <c r="C1122" i="7"/>
  <c r="C1123" i="7"/>
  <c r="D1123" i="7" s="1"/>
  <c r="C1124" i="7"/>
  <c r="C1125" i="7"/>
  <c r="C1126" i="7"/>
  <c r="C1127" i="7"/>
  <c r="D1127" i="7" s="1"/>
  <c r="C1128" i="7"/>
  <c r="C1129" i="7"/>
  <c r="C1130" i="7"/>
  <c r="C1131" i="7"/>
  <c r="C1132" i="7"/>
  <c r="C1133" i="7"/>
  <c r="D1133" i="7" s="1"/>
  <c r="C1134" i="7"/>
  <c r="C1135" i="7"/>
  <c r="C1136" i="7"/>
  <c r="C1137" i="7"/>
  <c r="C1138" i="7"/>
  <c r="D1138" i="7" s="1"/>
  <c r="C1139" i="7"/>
  <c r="D1139" i="7" s="1"/>
  <c r="C1140" i="7"/>
  <c r="C1141" i="7"/>
  <c r="C1142" i="7"/>
  <c r="C1143" i="7"/>
  <c r="C1144" i="7"/>
  <c r="C1145" i="7"/>
  <c r="C1146" i="7"/>
  <c r="C1147" i="7"/>
  <c r="C1148" i="7"/>
  <c r="C1149" i="7"/>
  <c r="C1150" i="7"/>
  <c r="D1150" i="7" s="1"/>
  <c r="C1151" i="7"/>
  <c r="D1151" i="7" s="1"/>
  <c r="C1152" i="7"/>
  <c r="C1153" i="7"/>
  <c r="D1153" i="7" s="1"/>
  <c r="C1154" i="7"/>
  <c r="C1155" i="7"/>
  <c r="C1156" i="7"/>
  <c r="C1157" i="7"/>
  <c r="C1158" i="7"/>
  <c r="C1159" i="7"/>
  <c r="C1160" i="7"/>
  <c r="C1161" i="7"/>
  <c r="C1162" i="7"/>
  <c r="C1163" i="7"/>
  <c r="C1164" i="7"/>
  <c r="C1165" i="7"/>
  <c r="D1165" i="7" s="1"/>
  <c r="C1166" i="7"/>
  <c r="C1167" i="7"/>
  <c r="C1168" i="7"/>
  <c r="C1169" i="7"/>
  <c r="C1170" i="7"/>
  <c r="C1171" i="7"/>
  <c r="C1172" i="7"/>
  <c r="C1173" i="7"/>
  <c r="C1174" i="7"/>
  <c r="C1175" i="7"/>
  <c r="C1176" i="7"/>
  <c r="C1177" i="7"/>
  <c r="C1178" i="7"/>
  <c r="C1179" i="7"/>
  <c r="D1179" i="7" s="1"/>
  <c r="C1180" i="7"/>
  <c r="C1181" i="7"/>
  <c r="C1182" i="7"/>
  <c r="C1183" i="7"/>
  <c r="C1184" i="7"/>
  <c r="C1185" i="7"/>
  <c r="C1186" i="7"/>
  <c r="C1187" i="7"/>
  <c r="D1187" i="7" s="1"/>
  <c r="C1188" i="7"/>
  <c r="C1189" i="7"/>
  <c r="D1189" i="7" s="1"/>
  <c r="C1190" i="7"/>
  <c r="C1191" i="7"/>
  <c r="C1192" i="7"/>
  <c r="C1193" i="7"/>
  <c r="C1194" i="7"/>
  <c r="C1195" i="7"/>
  <c r="C1196" i="7"/>
  <c r="C1197" i="7"/>
  <c r="C1198" i="7"/>
  <c r="D1198" i="7" s="1"/>
  <c r="C1199" i="7"/>
  <c r="C1200" i="7"/>
  <c r="C1201" i="7"/>
  <c r="D1201" i="7" s="1"/>
  <c r="C1202" i="7"/>
  <c r="C1203" i="7"/>
  <c r="C1204" i="7"/>
  <c r="C1205" i="7"/>
  <c r="C1206" i="7"/>
  <c r="C1207" i="7"/>
  <c r="D1207" i="7" s="1"/>
  <c r="C1208" i="7"/>
  <c r="C1209" i="7"/>
  <c r="C1210" i="7"/>
  <c r="C1211" i="7"/>
  <c r="D1211" i="7" s="1"/>
  <c r="C1212" i="7"/>
  <c r="C1213" i="7"/>
  <c r="D1213" i="7" s="1"/>
  <c r="C1214" i="7"/>
  <c r="C1215" i="7"/>
  <c r="C1216" i="7"/>
  <c r="C1217" i="7"/>
  <c r="C1218" i="7"/>
  <c r="C1219" i="7"/>
  <c r="C1220" i="7"/>
  <c r="C1221" i="7"/>
  <c r="C1222" i="7"/>
  <c r="C1223" i="7"/>
  <c r="D1223" i="7" s="1"/>
  <c r="C1224" i="7"/>
  <c r="C1225" i="7"/>
  <c r="C1226" i="7"/>
  <c r="D1226" i="7" s="1"/>
  <c r="C1227" i="7"/>
  <c r="C1228" i="7"/>
  <c r="C1229" i="7"/>
  <c r="C1230" i="7"/>
  <c r="C1231" i="7"/>
  <c r="C1232" i="7"/>
  <c r="C1233" i="7"/>
  <c r="C1234" i="7"/>
  <c r="C1235" i="7"/>
  <c r="C1236" i="7"/>
  <c r="C1237" i="7"/>
  <c r="D1237" i="7" s="1"/>
  <c r="C1238" i="7"/>
  <c r="C1239" i="7"/>
  <c r="C1240" i="7"/>
  <c r="D1240" i="7" s="1"/>
  <c r="C1241" i="7"/>
  <c r="C1242" i="7"/>
  <c r="C1243" i="7"/>
  <c r="C1244" i="7"/>
  <c r="C1245" i="7"/>
  <c r="C1246" i="7"/>
  <c r="C1247" i="7"/>
  <c r="C1248" i="7"/>
  <c r="C1249" i="7"/>
  <c r="D1249" i="7" s="1"/>
  <c r="C1250" i="7"/>
  <c r="C1251" i="7"/>
  <c r="C1252" i="7"/>
  <c r="D1252" i="7" s="1"/>
  <c r="C1253" i="7"/>
  <c r="C1254" i="7"/>
  <c r="C1255" i="7"/>
  <c r="C1256" i="7"/>
  <c r="C1257" i="7"/>
  <c r="C1258" i="7"/>
  <c r="D1258" i="7" s="1"/>
  <c r="C1259" i="7"/>
  <c r="C1260" i="7"/>
  <c r="C1261" i="7"/>
  <c r="C1262" i="7"/>
  <c r="C1263" i="7"/>
  <c r="C1264" i="7"/>
  <c r="D1264" i="7" s="1"/>
  <c r="C1265" i="7"/>
  <c r="D1265" i="7" s="1"/>
  <c r="C1266" i="7"/>
  <c r="C1267" i="7"/>
  <c r="C1268" i="7"/>
  <c r="C1269" i="7"/>
  <c r="C1270" i="7"/>
  <c r="C1271" i="7"/>
  <c r="D1271" i="7" s="1"/>
  <c r="C1272" i="7"/>
  <c r="C1273" i="7"/>
  <c r="C1274" i="7"/>
  <c r="C1275" i="7"/>
  <c r="D1275" i="7" s="1"/>
  <c r="C1276" i="7"/>
  <c r="C1277" i="7"/>
  <c r="C1278" i="7"/>
  <c r="C1279" i="7"/>
  <c r="C1280" i="7"/>
  <c r="C1281" i="7"/>
  <c r="C1282" i="7"/>
  <c r="C1283" i="7"/>
  <c r="D1283" i="7" s="1"/>
  <c r="C1284" i="7"/>
  <c r="C1285" i="7"/>
  <c r="C1286" i="7"/>
  <c r="C1287" i="7"/>
  <c r="C1288" i="7"/>
  <c r="C1289" i="7"/>
  <c r="C1290" i="7"/>
  <c r="D1290" i="7" s="1"/>
  <c r="C1291" i="7"/>
  <c r="C1292" i="7"/>
  <c r="C1293" i="7"/>
  <c r="C1294" i="7"/>
  <c r="C1295" i="7"/>
  <c r="C1296" i="7"/>
  <c r="C1297" i="7"/>
  <c r="D1297" i="7" s="1"/>
  <c r="C1298" i="7"/>
  <c r="C1299" i="7"/>
  <c r="C1300" i="7"/>
  <c r="C1301" i="7"/>
  <c r="C1302" i="7"/>
  <c r="C1303" i="7"/>
  <c r="D1303" i="7" s="1"/>
  <c r="C1304" i="7"/>
  <c r="C1305" i="7"/>
  <c r="C1306" i="7"/>
  <c r="C1307" i="7"/>
  <c r="C1308" i="7"/>
  <c r="C1309" i="7"/>
  <c r="D1309" i="7" s="1"/>
  <c r="C1310" i="7"/>
  <c r="D1310" i="7" s="1"/>
  <c r="C1311" i="7"/>
  <c r="C1312" i="7"/>
  <c r="D1312" i="7" s="1"/>
  <c r="C1313" i="7"/>
  <c r="C1314" i="7"/>
  <c r="C1315" i="7"/>
  <c r="C1316" i="7"/>
  <c r="C1317" i="7"/>
  <c r="C1318" i="7"/>
  <c r="C1319" i="7"/>
  <c r="D1319" i="7" s="1"/>
  <c r="C1320" i="7"/>
  <c r="C1321" i="7"/>
  <c r="C1322" i="7"/>
  <c r="C1323" i="7"/>
  <c r="C1324" i="7"/>
  <c r="C1325" i="7"/>
  <c r="D1325" i="7" s="1"/>
  <c r="C1326" i="7"/>
  <c r="D1326" i="7" s="1"/>
  <c r="C1327" i="7"/>
  <c r="C1328" i="7"/>
  <c r="C1329" i="7"/>
  <c r="C1330" i="7"/>
  <c r="C1331" i="7"/>
  <c r="C1332" i="7"/>
  <c r="C1333" i="7"/>
  <c r="D1333" i="7" s="1"/>
  <c r="C1334" i="7"/>
  <c r="C1335" i="7"/>
  <c r="C1336" i="7"/>
  <c r="C1337" i="7"/>
  <c r="C1338" i="7"/>
  <c r="D1338" i="7" s="1"/>
  <c r="C1339" i="7"/>
  <c r="C1340" i="7"/>
  <c r="C1341" i="7"/>
  <c r="C1342" i="7"/>
  <c r="C1343" i="7"/>
  <c r="C1344" i="7"/>
  <c r="C1345" i="7"/>
  <c r="C1346" i="7"/>
  <c r="D1346" i="7" s="1"/>
  <c r="C1347" i="7"/>
  <c r="C1348" i="7"/>
  <c r="C1349" i="7"/>
  <c r="C1350" i="7"/>
  <c r="C1351" i="7"/>
  <c r="C1352" i="7"/>
  <c r="C1353" i="7"/>
  <c r="C1354" i="7"/>
  <c r="C1355" i="7"/>
  <c r="D1355" i="7" s="1"/>
  <c r="C1356" i="7"/>
  <c r="C1357" i="7"/>
  <c r="C1358" i="7"/>
  <c r="D1358" i="7" s="1"/>
  <c r="C1359" i="7"/>
  <c r="C1360" i="7"/>
  <c r="C1361" i="7"/>
  <c r="D1361" i="7" s="1"/>
  <c r="C1362" i="7"/>
  <c r="D1362" i="7" s="1"/>
  <c r="C1363" i="7"/>
  <c r="D1363" i="7" s="1"/>
  <c r="C1364" i="7"/>
  <c r="C1365" i="7"/>
  <c r="C1366" i="7"/>
  <c r="C1367" i="7"/>
  <c r="C1368" i="7"/>
  <c r="C1369" i="7"/>
  <c r="D1369" i="7" s="1"/>
  <c r="C1370" i="7"/>
  <c r="C1371" i="7"/>
  <c r="C1372" i="7"/>
  <c r="C1373" i="7"/>
  <c r="C1374" i="7"/>
  <c r="C1375" i="7"/>
  <c r="D1375" i="7" s="1"/>
  <c r="C1376" i="7"/>
  <c r="C1377" i="7"/>
  <c r="C1378" i="7"/>
  <c r="C1379" i="7"/>
  <c r="C1380" i="7"/>
  <c r="C1381" i="7"/>
  <c r="C1382" i="7"/>
  <c r="D1382" i="7" s="1"/>
  <c r="C1383" i="7"/>
  <c r="C1384" i="7"/>
  <c r="C1385" i="7"/>
  <c r="C1386" i="7"/>
  <c r="C1387" i="7"/>
  <c r="C1388" i="7"/>
  <c r="C1389" i="7"/>
  <c r="C1390" i="7"/>
  <c r="C1391" i="7"/>
  <c r="C1392" i="7"/>
  <c r="C1393" i="7"/>
  <c r="D1393" i="7" s="1"/>
  <c r="C1394" i="7"/>
  <c r="C1395" i="7"/>
  <c r="C1396" i="7"/>
  <c r="C1397" i="7"/>
  <c r="C1398" i="7"/>
  <c r="C1399" i="7"/>
  <c r="D1399" i="7" s="1"/>
  <c r="C1400" i="7"/>
  <c r="C1401" i="7"/>
  <c r="C1402" i="7"/>
  <c r="D1402" i="7" s="1"/>
  <c r="C1403" i="7"/>
  <c r="C1404" i="7"/>
  <c r="C1405" i="7"/>
  <c r="C1406" i="7"/>
  <c r="C1407" i="7"/>
  <c r="C1408" i="7"/>
  <c r="C1409" i="7"/>
  <c r="C1410" i="7"/>
  <c r="D1410" i="7" s="1"/>
  <c r="C1411" i="7"/>
  <c r="C1412" i="7"/>
  <c r="C1413" i="7"/>
  <c r="C1414" i="7"/>
  <c r="D1414" i="7" s="1"/>
  <c r="C1415" i="7"/>
  <c r="C1416" i="7"/>
  <c r="C1417" i="7"/>
  <c r="C1418" i="7"/>
  <c r="C1419" i="7"/>
  <c r="C1420" i="7"/>
  <c r="C1421" i="7"/>
  <c r="D1421" i="7" s="1"/>
  <c r="C1422" i="7"/>
  <c r="C1423" i="7"/>
  <c r="C1424" i="7"/>
  <c r="C1425" i="7"/>
  <c r="C1426" i="7"/>
  <c r="C1427" i="7"/>
  <c r="C1428" i="7"/>
  <c r="C1429" i="7"/>
  <c r="D1429" i="7" s="1"/>
  <c r="C1430" i="7"/>
  <c r="D1430" i="7" s="1"/>
  <c r="C1431" i="7"/>
  <c r="C1432" i="7"/>
  <c r="C1433" i="7"/>
  <c r="C1434" i="7"/>
  <c r="C1435" i="7"/>
  <c r="C1436" i="7"/>
  <c r="C1437" i="7"/>
  <c r="C1438" i="7"/>
  <c r="C1439" i="7"/>
  <c r="C1440" i="7"/>
  <c r="C1441" i="7"/>
  <c r="C1442" i="7"/>
  <c r="D1442" i="7" s="1"/>
  <c r="C1443" i="7"/>
  <c r="C1444" i="7"/>
  <c r="C1445" i="7"/>
  <c r="C1446" i="7"/>
  <c r="C1447" i="7"/>
  <c r="C1448" i="7"/>
  <c r="C1449" i="7"/>
  <c r="C1450" i="7"/>
  <c r="C1451" i="7"/>
  <c r="C1452" i="7"/>
  <c r="C1453" i="7"/>
  <c r="C1454" i="7"/>
  <c r="D1454" i="7" s="1"/>
  <c r="C1455" i="7"/>
  <c r="C1456" i="7"/>
  <c r="D1456" i="7" s="1"/>
  <c r="C1457" i="7"/>
  <c r="C1458" i="7"/>
  <c r="C1459" i="7"/>
  <c r="D1459" i="7" s="1"/>
  <c r="C1460" i="7"/>
  <c r="C1461" i="7"/>
  <c r="C1462" i="7"/>
  <c r="C1463" i="7"/>
  <c r="D1463" i="7" s="1"/>
  <c r="C1464" i="7"/>
  <c r="C1465" i="7"/>
  <c r="D1465" i="7" s="1"/>
  <c r="C1466" i="7"/>
  <c r="C1467" i="7"/>
  <c r="C1468" i="7"/>
  <c r="C1469" i="7"/>
  <c r="C1470" i="7"/>
  <c r="C1471" i="7"/>
  <c r="D1471" i="7" s="1"/>
  <c r="C1472" i="7"/>
  <c r="C1473" i="7"/>
  <c r="C1474" i="7"/>
  <c r="C1475" i="7"/>
  <c r="C1476" i="7"/>
  <c r="C1477" i="7"/>
  <c r="D1477" i="7" s="1"/>
  <c r="C1478" i="7"/>
  <c r="C1479" i="7"/>
  <c r="C1480" i="7"/>
  <c r="C1481" i="7"/>
  <c r="C1482" i="7"/>
  <c r="C1483" i="7"/>
  <c r="C1484" i="7"/>
  <c r="C1485" i="7"/>
  <c r="C1486" i="7"/>
  <c r="C1487" i="7"/>
  <c r="C1488" i="7"/>
  <c r="C1489" i="7"/>
  <c r="D1489" i="7" s="1"/>
  <c r="C1490" i="7"/>
  <c r="C1491" i="7"/>
  <c r="C1492" i="7"/>
  <c r="C1493" i="7"/>
  <c r="D1493" i="7" s="1"/>
  <c r="C1494" i="7"/>
  <c r="C1495" i="7"/>
  <c r="C1496" i="7"/>
  <c r="C1497" i="7"/>
  <c r="C1498" i="7"/>
  <c r="C1499" i="7"/>
  <c r="D1499" i="7" s="1"/>
  <c r="C1500" i="7"/>
  <c r="C1501" i="7"/>
  <c r="D1501" i="7" s="1"/>
  <c r="C1502" i="7"/>
  <c r="C1503" i="7"/>
  <c r="C1504" i="7"/>
  <c r="C1505" i="7"/>
  <c r="C1506" i="7"/>
  <c r="C1507" i="7"/>
  <c r="C1508" i="7"/>
  <c r="C1509" i="7"/>
  <c r="C1510" i="7"/>
  <c r="C1511" i="7"/>
  <c r="C1512" i="7"/>
  <c r="C1513" i="7"/>
  <c r="C1514" i="7"/>
  <c r="D1514" i="7" s="1"/>
  <c r="C1515" i="7"/>
  <c r="C1516" i="7"/>
  <c r="C1517" i="7"/>
  <c r="C1518" i="7"/>
  <c r="C1519" i="7"/>
  <c r="C1520" i="7"/>
  <c r="C1521" i="7"/>
  <c r="C1522" i="7"/>
  <c r="C1523" i="7"/>
  <c r="C1524" i="7"/>
  <c r="C1525" i="7"/>
  <c r="C1526" i="7"/>
  <c r="C1527" i="7"/>
  <c r="C1528" i="7"/>
  <c r="D1528" i="7" s="1"/>
  <c r="C1529" i="7"/>
  <c r="D1529" i="7" s="1"/>
  <c r="C1530" i="7"/>
  <c r="C1531" i="7"/>
  <c r="D1531" i="7" s="1"/>
  <c r="C1532" i="7"/>
  <c r="C1533" i="7"/>
  <c r="C1534" i="7"/>
  <c r="D1534" i="7" s="1"/>
  <c r="C1535" i="7"/>
  <c r="D1535" i="7" s="1"/>
  <c r="C1536" i="7"/>
  <c r="C1537" i="7"/>
  <c r="C1538" i="7"/>
  <c r="D1538" i="7" s="1"/>
  <c r="C1539" i="7"/>
  <c r="C1540" i="7"/>
  <c r="C1541" i="7"/>
  <c r="C1542" i="7"/>
  <c r="C1543" i="7"/>
  <c r="C1544" i="7"/>
  <c r="C1545" i="7"/>
  <c r="C1546" i="7"/>
  <c r="C1547" i="7"/>
  <c r="C1548" i="7"/>
  <c r="C1549" i="7"/>
  <c r="C1550" i="7"/>
  <c r="C1551" i="7"/>
  <c r="C1552" i="7"/>
  <c r="D1552" i="7" s="1"/>
  <c r="C1553" i="7"/>
  <c r="C1554" i="7"/>
  <c r="C1555" i="7"/>
  <c r="C1556" i="7"/>
  <c r="C1557" i="7"/>
  <c r="C1558" i="7"/>
  <c r="C1559" i="7"/>
  <c r="D1559" i="7" s="1"/>
  <c r="C1560" i="7"/>
  <c r="C1561" i="7"/>
  <c r="C1562" i="7"/>
  <c r="D1562" i="7" s="1"/>
  <c r="C1563" i="7"/>
  <c r="C1564" i="7"/>
  <c r="C1565" i="7"/>
  <c r="C1566" i="7"/>
  <c r="C1567" i="7"/>
  <c r="C1568" i="7"/>
  <c r="C1569" i="7"/>
  <c r="C1570" i="7"/>
  <c r="C1571" i="7"/>
  <c r="C1572" i="7"/>
  <c r="C1573" i="7"/>
  <c r="C1574" i="7"/>
  <c r="D1574" i="7" s="1"/>
  <c r="C1575" i="7"/>
  <c r="C1576" i="7"/>
  <c r="D1576" i="7" s="1"/>
  <c r="C1577" i="7"/>
  <c r="D1577" i="7" s="1"/>
  <c r="C1578" i="7"/>
  <c r="C1579" i="7"/>
  <c r="D1579" i="7" s="1"/>
  <c r="C1580" i="7"/>
  <c r="C1581" i="7"/>
  <c r="C1582" i="7"/>
  <c r="C1583" i="7"/>
  <c r="C1584" i="7"/>
  <c r="C1585" i="7"/>
  <c r="D1585" i="7" s="1"/>
  <c r="C1586" i="7"/>
  <c r="C1587" i="7"/>
  <c r="C1588" i="7"/>
  <c r="C1589" i="7"/>
  <c r="C1590" i="7"/>
  <c r="C1591" i="7"/>
  <c r="D1591" i="7" s="1"/>
  <c r="C1592" i="7"/>
  <c r="C1593" i="7"/>
  <c r="C1594" i="7"/>
  <c r="C1595" i="7"/>
  <c r="C1596" i="7"/>
  <c r="C1597" i="7"/>
  <c r="D1597" i="7" s="1"/>
  <c r="C1598" i="7"/>
  <c r="C1599" i="7"/>
  <c r="C1600" i="7"/>
  <c r="D1600" i="7" s="1"/>
  <c r="C1601" i="7"/>
  <c r="C1602" i="7"/>
  <c r="D1602" i="7" s="1"/>
  <c r="C1603" i="7"/>
  <c r="C1604" i="7"/>
  <c r="C1605" i="7"/>
  <c r="C1606" i="7"/>
  <c r="C1607" i="7"/>
  <c r="C1608" i="7"/>
  <c r="C1609" i="7"/>
  <c r="D1609" i="7" s="1"/>
  <c r="C1610" i="7"/>
  <c r="C1611" i="7"/>
  <c r="C1612" i="7"/>
  <c r="C1613" i="7"/>
  <c r="D1613" i="7" s="1"/>
  <c r="C1614" i="7"/>
  <c r="D1614" i="7" s="1"/>
  <c r="C1615" i="7"/>
  <c r="C1616" i="7"/>
  <c r="C1617" i="7"/>
  <c r="C1618" i="7"/>
  <c r="C1619" i="7"/>
  <c r="D1619" i="7" s="1"/>
  <c r="C1620" i="7"/>
  <c r="C1621" i="7"/>
  <c r="D1621" i="7" s="1"/>
  <c r="C1622" i="7"/>
  <c r="C1623" i="7"/>
  <c r="C1624" i="7"/>
  <c r="C1625" i="7"/>
  <c r="C1626" i="7"/>
  <c r="C1627" i="7"/>
  <c r="C1628" i="7"/>
  <c r="C1629" i="7"/>
  <c r="C1630" i="7"/>
  <c r="C1631" i="7"/>
  <c r="C1632" i="7"/>
  <c r="C1633" i="7"/>
  <c r="D1633" i="7" s="1"/>
  <c r="C1634" i="7"/>
  <c r="D1634" i="7" s="1"/>
  <c r="C1635" i="7"/>
  <c r="C1636" i="7"/>
  <c r="C1637" i="7"/>
  <c r="C1638" i="7"/>
  <c r="C1639" i="7"/>
  <c r="C1640" i="7"/>
  <c r="C1641" i="7"/>
  <c r="C1642" i="7"/>
  <c r="C1643" i="7"/>
  <c r="C1644" i="7"/>
  <c r="C1645" i="7"/>
  <c r="C1646" i="7"/>
  <c r="C1647" i="7"/>
  <c r="C1648" i="7"/>
  <c r="C1649" i="7"/>
  <c r="C1650" i="7"/>
  <c r="C1651" i="7"/>
  <c r="C1652" i="7"/>
  <c r="C1653" i="7"/>
  <c r="C1654" i="7"/>
  <c r="C1655" i="7"/>
  <c r="C1656" i="7"/>
  <c r="C1657" i="7"/>
  <c r="C1658" i="7"/>
  <c r="D1658" i="7" s="1"/>
  <c r="C1659" i="7"/>
  <c r="C1660" i="7"/>
  <c r="D1660" i="7" s="1"/>
  <c r="C1661" i="7"/>
  <c r="C1662" i="7"/>
  <c r="C1663" i="7"/>
  <c r="C1664" i="7"/>
  <c r="C1665" i="7"/>
  <c r="C1666" i="7"/>
  <c r="C1667" i="7"/>
  <c r="D1667" i="7" s="1"/>
  <c r="C1668" i="7"/>
  <c r="C1669" i="7"/>
  <c r="C1670" i="7"/>
  <c r="D1670" i="7" s="1"/>
  <c r="C1671" i="7"/>
  <c r="C1672" i="7"/>
  <c r="C1673" i="7"/>
  <c r="D1673" i="7" s="1"/>
  <c r="C1674" i="7"/>
  <c r="C1675" i="7"/>
  <c r="C1676" i="7"/>
  <c r="C1677" i="7"/>
  <c r="C1678" i="7"/>
  <c r="D1678" i="7" s="1"/>
  <c r="C1679" i="7"/>
  <c r="C1680" i="7"/>
  <c r="C1681" i="7"/>
  <c r="C1682" i="7"/>
  <c r="C1683" i="7"/>
  <c r="C1684" i="7"/>
  <c r="C1685" i="7"/>
  <c r="D1685" i="7" s="1"/>
  <c r="C1686" i="7"/>
  <c r="D1686" i="7" s="1"/>
  <c r="C1687" i="7"/>
  <c r="C1688" i="7"/>
  <c r="C1689" i="7"/>
  <c r="C1690" i="7"/>
  <c r="C1691" i="7"/>
  <c r="D1691" i="7" s="1"/>
  <c r="C1692" i="7"/>
  <c r="C1693" i="7"/>
  <c r="D1693" i="7" s="1"/>
  <c r="C1694" i="7"/>
  <c r="C1695" i="7"/>
  <c r="C1696" i="7"/>
  <c r="D1696" i="7" s="1"/>
  <c r="C1697" i="7"/>
  <c r="D1697" i="7" s="1"/>
  <c r="C1698" i="7"/>
  <c r="C1699" i="7"/>
  <c r="D1699" i="7" s="1"/>
  <c r="C1700" i="7"/>
  <c r="C1701" i="7"/>
  <c r="C1702" i="7"/>
  <c r="C1703" i="7"/>
  <c r="C1704" i="7"/>
  <c r="C1705" i="7"/>
  <c r="C1706" i="7"/>
  <c r="D1706" i="7" s="1"/>
  <c r="C1707" i="7"/>
  <c r="C1708" i="7"/>
  <c r="C1709" i="7"/>
  <c r="C1710" i="7"/>
  <c r="D1710" i="7" s="1"/>
  <c r="C1711" i="7"/>
  <c r="C1712" i="7"/>
  <c r="C1713" i="7"/>
  <c r="C1714" i="7"/>
  <c r="C1715" i="7"/>
  <c r="C1716" i="7"/>
  <c r="C1717" i="7"/>
  <c r="D1717" i="7" s="1"/>
  <c r="C1718" i="7"/>
  <c r="D1718" i="7" s="1"/>
  <c r="C1719" i="7"/>
  <c r="C1720" i="7"/>
  <c r="C1721" i="7"/>
  <c r="C1722" i="7"/>
  <c r="C1723" i="7"/>
  <c r="C1724" i="7"/>
  <c r="C1725" i="7"/>
  <c r="C1726" i="7"/>
  <c r="C1727" i="7"/>
  <c r="C1728" i="7"/>
  <c r="C1729" i="7"/>
  <c r="C1730" i="7"/>
  <c r="D1730" i="7" s="1"/>
  <c r="C1731" i="7"/>
  <c r="C1732" i="7"/>
  <c r="C1733" i="7"/>
  <c r="D1733" i="7" s="1"/>
  <c r="C1734" i="7"/>
  <c r="D1734" i="7" s="1"/>
  <c r="C1735" i="7"/>
  <c r="C1736" i="7"/>
  <c r="C1737" i="7"/>
  <c r="C1738" i="7"/>
  <c r="D1738" i="7" s="1"/>
  <c r="C1739" i="7"/>
  <c r="D1739" i="7" s="1"/>
  <c r="C1740" i="7"/>
  <c r="C1741" i="7"/>
  <c r="D1741" i="7" s="1"/>
  <c r="C1742" i="7"/>
  <c r="C1743" i="7"/>
  <c r="C1744" i="7"/>
  <c r="C1745" i="7"/>
  <c r="C1746" i="7"/>
  <c r="D1746" i="7" s="1"/>
  <c r="C1747" i="7"/>
  <c r="C1748" i="7"/>
  <c r="C1749" i="7"/>
  <c r="C1750" i="7"/>
  <c r="C1751" i="7"/>
  <c r="C1752" i="7"/>
  <c r="C1753" i="7"/>
  <c r="C1754" i="7"/>
  <c r="C1755" i="7"/>
  <c r="C1756" i="7"/>
  <c r="C1757" i="7"/>
  <c r="C1758" i="7"/>
  <c r="D1758" i="7" s="1"/>
  <c r="C1759" i="7"/>
  <c r="D1759" i="7" s="1"/>
  <c r="C1760" i="7"/>
  <c r="C1761" i="7"/>
  <c r="C1762" i="7"/>
  <c r="C1763" i="7"/>
  <c r="C1764" i="7"/>
  <c r="C1765" i="7"/>
  <c r="C1766" i="7"/>
  <c r="C1767" i="7"/>
  <c r="C1768" i="7"/>
  <c r="C1769" i="7"/>
  <c r="C1770" i="7"/>
  <c r="C1771" i="7"/>
  <c r="C1772" i="7"/>
  <c r="C1773" i="7"/>
  <c r="C1774" i="7"/>
  <c r="C1775" i="7"/>
  <c r="C1776" i="7"/>
  <c r="C1777" i="7"/>
  <c r="C1778" i="7"/>
  <c r="C1779" i="7"/>
  <c r="C1780" i="7"/>
  <c r="D1780" i="7" s="1"/>
  <c r="C1781" i="7"/>
  <c r="C1782" i="7"/>
  <c r="D1782" i="7" s="1"/>
  <c r="C1783" i="7"/>
  <c r="D1783" i="7" s="1"/>
  <c r="C1784" i="7"/>
  <c r="C1785" i="7"/>
  <c r="C1786" i="7"/>
  <c r="D1786" i="7" s="1"/>
  <c r="C1787" i="7"/>
  <c r="C1788" i="7"/>
  <c r="C1789" i="7"/>
  <c r="C1790" i="7"/>
  <c r="C1791" i="7"/>
  <c r="C1792" i="7"/>
  <c r="D1792" i="7" s="1"/>
  <c r="C1793" i="7"/>
  <c r="C1794" i="7"/>
  <c r="C1795" i="7"/>
  <c r="C1796" i="7"/>
  <c r="C1797" i="7"/>
  <c r="C1798" i="7"/>
  <c r="D1798" i="7" s="1"/>
  <c r="C1799" i="7"/>
  <c r="D1799" i="7" s="1"/>
  <c r="C1800" i="7"/>
  <c r="C1801" i="7"/>
  <c r="D1801" i="7" s="1"/>
  <c r="C1802" i="7"/>
  <c r="D1802" i="7" s="1"/>
  <c r="C1803" i="7"/>
  <c r="C1804" i="7"/>
  <c r="D1804" i="7" s="1"/>
  <c r="C1805" i="7"/>
  <c r="C1806" i="7"/>
  <c r="D1806" i="7" s="1"/>
  <c r="C1807" i="7"/>
  <c r="C1808" i="7"/>
  <c r="C1809" i="7"/>
  <c r="C1810" i="7"/>
  <c r="D1810" i="7" s="1"/>
  <c r="C1811" i="7"/>
  <c r="C1812" i="7"/>
  <c r="C1813" i="7"/>
  <c r="C1814" i="7"/>
  <c r="C1815" i="7"/>
  <c r="C1816" i="7"/>
  <c r="D1816" i="7" s="1"/>
  <c r="C1817" i="7"/>
  <c r="C1818" i="7"/>
  <c r="D1818" i="7" s="1"/>
  <c r="C1819" i="7"/>
  <c r="C1820" i="7"/>
  <c r="C1821" i="7"/>
  <c r="C1822" i="7"/>
  <c r="C1823" i="7"/>
  <c r="C1824" i="7"/>
  <c r="C1825" i="7"/>
  <c r="C1826" i="7"/>
  <c r="D1826" i="7" s="1"/>
  <c r="C1827" i="7"/>
  <c r="C1828" i="7"/>
  <c r="C1829" i="7"/>
  <c r="C1830" i="7"/>
  <c r="D1830" i="7" s="1"/>
  <c r="C1831" i="7"/>
  <c r="C1832" i="7"/>
  <c r="C1833" i="7"/>
  <c r="C1834" i="7"/>
  <c r="C1835" i="7"/>
  <c r="D1835" i="7" s="1"/>
  <c r="C1836" i="7"/>
  <c r="C1837" i="7"/>
  <c r="C1838" i="7"/>
  <c r="D1838" i="7" s="1"/>
  <c r="C1839" i="7"/>
  <c r="C1840" i="7"/>
  <c r="D1840" i="7" s="1"/>
  <c r="C1841" i="7"/>
  <c r="D1841" i="7" s="1"/>
  <c r="C1842" i="7"/>
  <c r="D1842" i="7" s="1"/>
  <c r="C1843" i="7"/>
  <c r="C1844" i="7"/>
  <c r="C1845" i="7"/>
  <c r="C1846" i="7"/>
  <c r="D1846" i="7" s="1"/>
  <c r="C1847" i="7"/>
  <c r="C1848" i="7"/>
  <c r="C1849" i="7"/>
  <c r="C1850" i="7"/>
  <c r="C1851" i="7"/>
  <c r="C1852" i="7"/>
  <c r="C1853" i="7"/>
  <c r="C1854" i="7"/>
  <c r="C1855" i="7"/>
  <c r="C1856" i="7"/>
  <c r="C1857" i="7"/>
  <c r="C1858" i="7"/>
  <c r="C1859" i="7"/>
  <c r="C1860" i="7"/>
  <c r="C1861" i="7"/>
  <c r="C1862" i="7"/>
  <c r="C1863" i="7"/>
  <c r="C1864" i="7"/>
  <c r="C1865" i="7"/>
  <c r="C1866" i="7"/>
  <c r="C1867" i="7"/>
  <c r="C1868" i="7"/>
  <c r="C1869" i="7"/>
  <c r="C1870" i="7"/>
  <c r="D1870" i="7" s="1"/>
  <c r="C1871" i="7"/>
  <c r="C1872" i="7"/>
  <c r="C1873" i="7"/>
  <c r="D1873" i="7" s="1"/>
  <c r="C1874" i="7"/>
  <c r="C1875" i="7"/>
  <c r="C1876" i="7"/>
  <c r="C1877" i="7"/>
  <c r="C1878" i="7"/>
  <c r="C1879" i="7"/>
  <c r="C1880" i="7"/>
  <c r="C1881" i="7"/>
  <c r="C1882" i="7"/>
  <c r="C1883" i="7"/>
  <c r="D1883" i="7" s="1"/>
  <c r="C1884" i="7"/>
  <c r="C1885" i="7"/>
  <c r="C1886" i="7"/>
  <c r="C1887" i="7"/>
  <c r="C1888" i="7"/>
  <c r="C1889" i="7"/>
  <c r="C1890" i="7"/>
  <c r="C1891" i="7"/>
  <c r="D1891" i="7" s="1"/>
  <c r="C1892" i="7"/>
  <c r="C1893" i="7"/>
  <c r="C1894" i="7"/>
  <c r="C1895" i="7"/>
  <c r="D1895" i="7" s="1"/>
  <c r="C1896" i="7"/>
  <c r="C1897" i="7"/>
  <c r="D1897" i="7" s="1"/>
  <c r="C1898" i="7"/>
  <c r="D1898" i="7" s="1"/>
  <c r="C1899" i="7"/>
  <c r="C1900" i="7"/>
  <c r="C1901" i="7"/>
  <c r="C1902" i="7"/>
  <c r="D1902" i="7" s="1"/>
  <c r="C1903" i="7"/>
  <c r="C1904" i="7"/>
  <c r="C1905" i="7"/>
  <c r="C1906" i="7"/>
  <c r="D1906" i="7" s="1"/>
  <c r="C1907" i="7"/>
  <c r="C1908" i="7"/>
  <c r="C1909" i="7"/>
  <c r="D1909" i="7" s="1"/>
  <c r="C1910" i="7"/>
  <c r="C1911" i="7"/>
  <c r="C1912" i="7"/>
  <c r="D1912" i="7" s="1"/>
  <c r="C1913" i="7"/>
  <c r="C1914" i="7"/>
  <c r="C1915" i="7"/>
  <c r="C1916" i="7"/>
  <c r="C1917" i="7"/>
  <c r="C1918" i="7"/>
  <c r="D1918" i="7" s="1"/>
  <c r="C1919" i="7"/>
  <c r="C1920" i="7"/>
  <c r="C1921" i="7"/>
  <c r="C1922" i="7"/>
  <c r="D1922" i="7" s="1"/>
  <c r="C1923" i="7"/>
  <c r="C1924" i="7"/>
  <c r="C1925" i="7"/>
  <c r="D1925" i="7" s="1"/>
  <c r="C1926" i="7"/>
  <c r="C1927" i="7"/>
  <c r="D1927" i="7" s="1"/>
  <c r="C1928" i="7"/>
  <c r="C1929" i="7"/>
  <c r="C1930" i="7"/>
  <c r="C1931" i="7"/>
  <c r="C1932" i="7"/>
  <c r="C1933" i="7"/>
  <c r="C1934" i="7"/>
  <c r="C1935" i="7"/>
  <c r="C1936" i="7"/>
  <c r="C1937" i="7"/>
  <c r="D1937" i="7" s="1"/>
  <c r="C1938" i="7"/>
  <c r="D1938" i="7" s="1"/>
  <c r="C1939" i="7"/>
  <c r="D1939" i="7" s="1"/>
  <c r="C1940" i="7"/>
  <c r="C1941" i="7"/>
  <c r="C1942" i="7"/>
  <c r="C1943" i="7"/>
  <c r="D1943" i="7" s="1"/>
  <c r="C1944" i="7"/>
  <c r="C1945" i="7"/>
  <c r="C1946" i="7"/>
  <c r="C1947" i="7"/>
  <c r="C1948" i="7"/>
  <c r="C1949" i="7"/>
  <c r="C1950" i="7"/>
  <c r="C1951" i="7"/>
  <c r="D1951" i="7" s="1"/>
  <c r="C1952" i="7"/>
  <c r="C1953" i="7"/>
  <c r="C1954" i="7"/>
  <c r="D1954" i="7" s="1"/>
  <c r="C1955" i="7"/>
  <c r="C1956" i="7"/>
  <c r="C1957" i="7"/>
  <c r="C1958" i="7"/>
  <c r="C1959" i="7"/>
  <c r="C1960" i="7"/>
  <c r="C1961" i="7"/>
  <c r="D1961" i="7" s="1"/>
  <c r="C1962" i="7"/>
  <c r="C1963" i="7"/>
  <c r="C1964" i="7"/>
  <c r="C1965" i="7"/>
  <c r="C1966" i="7"/>
  <c r="D1966" i="7" s="1"/>
  <c r="C1967" i="7"/>
  <c r="C1968" i="7"/>
  <c r="C1969" i="7"/>
  <c r="C1970" i="7"/>
  <c r="D1970" i="7" s="1"/>
  <c r="C1971" i="7"/>
  <c r="C1972" i="7"/>
  <c r="D1972" i="7" s="1"/>
  <c r="C1973" i="7"/>
  <c r="D1973" i="7" s="1"/>
  <c r="C1974" i="7"/>
  <c r="D1974" i="7" s="1"/>
  <c r="C1975" i="7"/>
  <c r="C1976" i="7"/>
  <c r="C1977" i="7"/>
  <c r="C1978" i="7"/>
  <c r="C1979" i="7"/>
  <c r="C1980" i="7"/>
  <c r="C1981" i="7"/>
  <c r="D1981" i="7" s="1"/>
  <c r="C1982" i="7"/>
  <c r="C1983" i="7"/>
  <c r="C1984" i="7"/>
  <c r="C1985" i="7"/>
  <c r="D1985" i="7" s="1"/>
  <c r="C1986" i="7"/>
  <c r="C1987" i="7"/>
  <c r="C1988" i="7"/>
  <c r="C1989" i="7"/>
  <c r="C1990" i="7"/>
  <c r="C1991" i="7"/>
  <c r="C1992" i="7"/>
  <c r="C1993" i="7"/>
  <c r="D1993" i="7" s="1"/>
  <c r="C1994" i="7"/>
  <c r="D1994" i="7" s="1"/>
  <c r="C1995" i="7"/>
  <c r="C1996" i="7"/>
  <c r="C1997" i="7"/>
  <c r="D1997" i="7" s="1"/>
  <c r="C1998" i="7"/>
  <c r="C1999" i="7"/>
  <c r="D1999" i="7" s="1"/>
  <c r="C2000" i="7"/>
  <c r="C2001" i="7"/>
  <c r="C2002" i="7"/>
  <c r="D2002" i="7" s="1"/>
  <c r="C2003" i="7"/>
  <c r="C2004" i="7"/>
  <c r="C2005" i="7"/>
  <c r="D2005" i="7" s="1"/>
  <c r="C2006" i="7"/>
  <c r="D2006" i="7" s="1"/>
  <c r="C2007" i="7"/>
  <c r="C2008" i="7"/>
  <c r="C2009" i="7"/>
  <c r="C2010" i="7"/>
  <c r="C2011" i="7"/>
  <c r="C2012" i="7"/>
  <c r="C2013" i="7"/>
  <c r="C2014" i="7"/>
  <c r="D2014" i="7" s="1"/>
  <c r="C2015" i="7"/>
  <c r="C2016" i="7"/>
  <c r="C2017" i="7"/>
  <c r="C2018" i="7"/>
  <c r="D2018" i="7" s="1"/>
  <c r="C2019" i="7"/>
  <c r="C2020" i="7"/>
  <c r="D2020" i="7" s="1"/>
  <c r="C2021" i="7"/>
  <c r="D2021" i="7" s="1"/>
  <c r="C2022" i="7"/>
  <c r="C2023" i="7"/>
  <c r="C2024" i="7"/>
  <c r="C2025" i="7"/>
  <c r="C2026" i="7"/>
  <c r="C2027" i="7"/>
  <c r="C2028" i="7"/>
  <c r="C2029" i="7"/>
  <c r="C2030" i="7"/>
  <c r="D2030" i="7" s="1"/>
  <c r="C2031" i="7"/>
  <c r="C2032" i="7"/>
  <c r="C2033" i="7"/>
  <c r="D2033" i="7" s="1"/>
  <c r="C2034" i="7"/>
  <c r="C2035" i="7"/>
  <c r="D2035" i="7" s="1"/>
  <c r="C2036" i="7"/>
  <c r="C2037" i="7"/>
  <c r="C2038" i="7"/>
  <c r="C2039" i="7"/>
  <c r="C2040" i="7"/>
  <c r="C2041" i="7"/>
  <c r="C2042" i="7"/>
  <c r="C2043" i="7"/>
  <c r="C2044" i="7"/>
  <c r="C2045" i="7"/>
  <c r="D2045" i="7" s="1"/>
  <c r="C2046" i="7"/>
  <c r="C2047" i="7"/>
  <c r="D2047" i="7" s="1"/>
  <c r="C2048" i="7"/>
  <c r="C10" i="7"/>
  <c r="C11" i="7"/>
  <c r="C12" i="7"/>
  <c r="C13" i="7"/>
  <c r="C14" i="7"/>
  <c r="C15" i="7"/>
  <c r="C16" i="7"/>
  <c r="C17" i="7"/>
  <c r="C18" i="7"/>
  <c r="C19" i="7"/>
  <c r="C20" i="7"/>
  <c r="C21" i="7"/>
  <c r="D21" i="7" s="1"/>
  <c r="C22" i="7"/>
  <c r="C23" i="7"/>
  <c r="C24" i="7"/>
  <c r="C25" i="7"/>
  <c r="C26" i="7"/>
  <c r="C27" i="7"/>
  <c r="C28" i="7"/>
  <c r="C29" i="7"/>
  <c r="C30" i="7"/>
  <c r="C31" i="7"/>
  <c r="C32" i="7"/>
  <c r="C33" i="7"/>
  <c r="D33" i="7" s="1"/>
  <c r="C34" i="7"/>
  <c r="C4" i="7"/>
  <c r="C5" i="7"/>
  <c r="C6" i="7"/>
  <c r="D6" i="7" s="1"/>
  <c r="C7" i="7"/>
  <c r="C8" i="7"/>
  <c r="C9" i="7"/>
  <c r="C3" i="7"/>
  <c r="D496" i="7"/>
  <c r="D513" i="7"/>
  <c r="D523" i="7"/>
  <c r="D549" i="7"/>
  <c r="D576" i="7"/>
  <c r="D678" i="7"/>
  <c r="D685" i="7"/>
  <c r="D694" i="7"/>
  <c r="D703" i="7"/>
  <c r="D785" i="7"/>
  <c r="D792" i="7"/>
  <c r="D919" i="7"/>
  <c r="D960" i="7"/>
  <c r="D1005" i="7"/>
  <c r="D1042" i="7"/>
  <c r="D1054" i="7"/>
  <c r="D1076" i="7"/>
  <c r="D1086" i="7"/>
  <c r="D1132" i="7"/>
  <c r="D1156" i="7"/>
  <c r="D1209" i="7"/>
  <c r="D1221" i="7"/>
  <c r="D1246" i="7"/>
  <c r="D1260" i="7"/>
  <c r="D1278" i="7"/>
  <c r="D1313" i="7"/>
  <c r="D1389" i="7"/>
  <c r="D1401" i="7"/>
  <c r="D1495" i="7"/>
  <c r="D1508" i="7"/>
  <c r="D1525" i="7"/>
  <c r="D1544" i="7"/>
  <c r="D1557" i="7"/>
  <c r="D1632" i="7"/>
  <c r="D1675" i="7"/>
  <c r="D1677" i="7"/>
  <c r="D1728" i="7"/>
  <c r="D1750" i="7"/>
  <c r="D1772" i="7"/>
  <c r="D1785" i="7"/>
  <c r="D1825" i="7"/>
  <c r="D1917" i="7"/>
  <c r="D1920" i="7"/>
  <c r="D1932" i="7"/>
  <c r="D1986" i="7"/>
  <c r="D4" i="7"/>
  <c r="D636" i="7"/>
  <c r="D866" i="7"/>
  <c r="D890" i="7"/>
  <c r="D978" i="7"/>
  <c r="D995" i="7"/>
  <c r="D1008" i="7"/>
  <c r="D1068" i="7"/>
  <c r="D1104" i="7"/>
  <c r="D1110" i="7"/>
  <c r="D1118" i="7"/>
  <c r="D1124" i="7"/>
  <c r="D1163" i="7"/>
  <c r="D1184" i="7"/>
  <c r="D1197" i="7"/>
  <c r="D1233" i="7"/>
  <c r="D1243" i="7"/>
  <c r="D1279" i="7"/>
  <c r="D1286" i="7"/>
  <c r="D1321" i="7"/>
  <c r="D1329" i="7"/>
  <c r="D1334" i="7"/>
  <c r="D1343" i="7"/>
  <c r="D1387" i="7"/>
  <c r="D1392" i="7"/>
  <c r="D1413" i="7"/>
  <c r="D1416" i="7"/>
  <c r="D1418" i="7"/>
  <c r="D1422" i="7"/>
  <c r="D1473" i="7"/>
  <c r="D1571" i="7"/>
  <c r="D1584" i="7"/>
  <c r="D1592" i="7"/>
  <c r="D1607" i="7"/>
  <c r="D1620" i="7"/>
  <c r="D1638" i="7"/>
  <c r="D1641" i="7"/>
  <c r="D1650" i="7"/>
  <c r="D1668" i="7"/>
  <c r="D1680" i="7"/>
  <c r="D1712" i="7"/>
  <c r="D1726" i="7"/>
  <c r="D1729" i="7"/>
  <c r="D1737" i="7"/>
  <c r="D1752" i="7"/>
  <c r="D1776" i="7"/>
  <c r="D1807" i="7"/>
  <c r="D1833" i="7"/>
  <c r="D1836" i="7"/>
  <c r="D1843" i="7"/>
  <c r="D1857" i="7"/>
  <c r="D1866" i="7"/>
  <c r="D1894" i="7"/>
  <c r="D1915" i="7"/>
  <c r="D1956" i="7"/>
  <c r="D1962" i="7"/>
  <c r="D1979" i="7"/>
  <c r="D1998" i="7"/>
  <c r="D600" i="7"/>
  <c r="D809" i="7"/>
  <c r="D1026" i="7"/>
  <c r="D1101" i="7"/>
  <c r="D1146" i="7"/>
  <c r="D1182" i="7"/>
  <c r="D1222" i="7"/>
  <c r="D1236" i="7"/>
  <c r="D1350" i="7"/>
  <c r="D1374" i="7"/>
  <c r="D1404" i="7"/>
  <c r="D1507" i="7"/>
  <c r="D1711" i="7"/>
  <c r="D1770" i="7"/>
  <c r="D1872" i="7"/>
  <c r="D1950" i="7"/>
  <c r="K4" i="7"/>
  <c r="K5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K56" i="7"/>
  <c r="K57" i="7"/>
  <c r="K58" i="7"/>
  <c r="K59" i="7"/>
  <c r="K60" i="7"/>
  <c r="K61" i="7"/>
  <c r="K62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K117" i="7"/>
  <c r="K118" i="7"/>
  <c r="K119" i="7"/>
  <c r="K120" i="7"/>
  <c r="K121" i="7"/>
  <c r="K122" i="7"/>
  <c r="K123" i="7"/>
  <c r="K124" i="7"/>
  <c r="K125" i="7"/>
  <c r="K126" i="7"/>
  <c r="K127" i="7"/>
  <c r="K128" i="7"/>
  <c r="K129" i="7"/>
  <c r="K130" i="7"/>
  <c r="K131" i="7"/>
  <c r="K132" i="7"/>
  <c r="K133" i="7"/>
  <c r="K134" i="7"/>
  <c r="K135" i="7"/>
  <c r="K136" i="7"/>
  <c r="K137" i="7"/>
  <c r="K138" i="7"/>
  <c r="K139" i="7"/>
  <c r="K140" i="7"/>
  <c r="K141" i="7"/>
  <c r="K142" i="7"/>
  <c r="K143" i="7"/>
  <c r="K144" i="7"/>
  <c r="K145" i="7"/>
  <c r="K146" i="7"/>
  <c r="K147" i="7"/>
  <c r="K148" i="7"/>
  <c r="K149" i="7"/>
  <c r="K150" i="7"/>
  <c r="K151" i="7"/>
  <c r="K152" i="7"/>
  <c r="K153" i="7"/>
  <c r="K154" i="7"/>
  <c r="K155" i="7"/>
  <c r="K156" i="7"/>
  <c r="K157" i="7"/>
  <c r="K158" i="7"/>
  <c r="K159" i="7"/>
  <c r="K160" i="7"/>
  <c r="K161" i="7"/>
  <c r="K162" i="7"/>
  <c r="K163" i="7"/>
  <c r="K164" i="7"/>
  <c r="K165" i="7"/>
  <c r="K166" i="7"/>
  <c r="K167" i="7"/>
  <c r="K168" i="7"/>
  <c r="K169" i="7"/>
  <c r="K170" i="7"/>
  <c r="K171" i="7"/>
  <c r="K172" i="7"/>
  <c r="K173" i="7"/>
  <c r="K174" i="7"/>
  <c r="K175" i="7"/>
  <c r="K176" i="7"/>
  <c r="K177" i="7"/>
  <c r="K178" i="7"/>
  <c r="K179" i="7"/>
  <c r="K180" i="7"/>
  <c r="K181" i="7"/>
  <c r="K182" i="7"/>
  <c r="K183" i="7"/>
  <c r="K184" i="7"/>
  <c r="K185" i="7"/>
  <c r="K186" i="7"/>
  <c r="K187" i="7"/>
  <c r="K188" i="7"/>
  <c r="K189" i="7"/>
  <c r="K190" i="7"/>
  <c r="K191" i="7"/>
  <c r="K192" i="7"/>
  <c r="K193" i="7"/>
  <c r="K194" i="7"/>
  <c r="K195" i="7"/>
  <c r="K196" i="7"/>
  <c r="K197" i="7"/>
  <c r="K198" i="7"/>
  <c r="K199" i="7"/>
  <c r="K200" i="7"/>
  <c r="K201" i="7"/>
  <c r="K202" i="7"/>
  <c r="K203" i="7"/>
  <c r="K204" i="7"/>
  <c r="K205" i="7"/>
  <c r="K206" i="7"/>
  <c r="K207" i="7"/>
  <c r="K208" i="7"/>
  <c r="K209" i="7"/>
  <c r="K210" i="7"/>
  <c r="K211" i="7"/>
  <c r="K212" i="7"/>
  <c r="K213" i="7"/>
  <c r="K214" i="7"/>
  <c r="K215" i="7"/>
  <c r="K216" i="7"/>
  <c r="K217" i="7"/>
  <c r="K218" i="7"/>
  <c r="K219" i="7"/>
  <c r="K220" i="7"/>
  <c r="K221" i="7"/>
  <c r="K222" i="7"/>
  <c r="K223" i="7"/>
  <c r="K224" i="7"/>
  <c r="K225" i="7"/>
  <c r="K226" i="7"/>
  <c r="K227" i="7"/>
  <c r="K228" i="7"/>
  <c r="K229" i="7"/>
  <c r="K230" i="7"/>
  <c r="K231" i="7"/>
  <c r="K232" i="7"/>
  <c r="K233" i="7"/>
  <c r="K234" i="7"/>
  <c r="K235" i="7"/>
  <c r="K236" i="7"/>
  <c r="K237" i="7"/>
  <c r="K238" i="7"/>
  <c r="K239" i="7"/>
  <c r="K240" i="7"/>
  <c r="K241" i="7"/>
  <c r="K242" i="7"/>
  <c r="K243" i="7"/>
  <c r="K244" i="7"/>
  <c r="K245" i="7"/>
  <c r="K246" i="7"/>
  <c r="K247" i="7"/>
  <c r="K248" i="7"/>
  <c r="K249" i="7"/>
  <c r="K250" i="7"/>
  <c r="K251" i="7"/>
  <c r="K252" i="7"/>
  <c r="K253" i="7"/>
  <c r="K254" i="7"/>
  <c r="K255" i="7"/>
  <c r="K256" i="7"/>
  <c r="K257" i="7"/>
  <c r="K258" i="7"/>
  <c r="K259" i="7"/>
  <c r="K260" i="7"/>
  <c r="K261" i="7"/>
  <c r="K262" i="7"/>
  <c r="K263" i="7"/>
  <c r="K264" i="7"/>
  <c r="K265" i="7"/>
  <c r="K266" i="7"/>
  <c r="K267" i="7"/>
  <c r="K268" i="7"/>
  <c r="K269" i="7"/>
  <c r="K270" i="7"/>
  <c r="K271" i="7"/>
  <c r="K272" i="7"/>
  <c r="K273" i="7"/>
  <c r="K274" i="7"/>
  <c r="K275" i="7"/>
  <c r="K276" i="7"/>
  <c r="K277" i="7"/>
  <c r="K278" i="7"/>
  <c r="K279" i="7"/>
  <c r="K280" i="7"/>
  <c r="K281" i="7"/>
  <c r="K282" i="7"/>
  <c r="K283" i="7"/>
  <c r="K284" i="7"/>
  <c r="K285" i="7"/>
  <c r="K286" i="7"/>
  <c r="K287" i="7"/>
  <c r="K288" i="7"/>
  <c r="K289" i="7"/>
  <c r="K290" i="7"/>
  <c r="K291" i="7"/>
  <c r="K292" i="7"/>
  <c r="K293" i="7"/>
  <c r="K294" i="7"/>
  <c r="K295" i="7"/>
  <c r="K296" i="7"/>
  <c r="K297" i="7"/>
  <c r="K298" i="7"/>
  <c r="K299" i="7"/>
  <c r="K300" i="7"/>
  <c r="K301" i="7"/>
  <c r="K302" i="7"/>
  <c r="K303" i="7"/>
  <c r="K304" i="7"/>
  <c r="K305" i="7"/>
  <c r="K306" i="7"/>
  <c r="K307" i="7"/>
  <c r="K308" i="7"/>
  <c r="K309" i="7"/>
  <c r="K310" i="7"/>
  <c r="K311" i="7"/>
  <c r="K312" i="7"/>
  <c r="K313" i="7"/>
  <c r="K314" i="7"/>
  <c r="K315" i="7"/>
  <c r="K316" i="7"/>
  <c r="K317" i="7"/>
  <c r="K318" i="7"/>
  <c r="K319" i="7"/>
  <c r="K320" i="7"/>
  <c r="K321" i="7"/>
  <c r="K322" i="7"/>
  <c r="K323" i="7"/>
  <c r="K324" i="7"/>
  <c r="K325" i="7"/>
  <c r="K326" i="7"/>
  <c r="K327" i="7"/>
  <c r="K328" i="7"/>
  <c r="K329" i="7"/>
  <c r="K330" i="7"/>
  <c r="K331" i="7"/>
  <c r="K332" i="7"/>
  <c r="K333" i="7"/>
  <c r="K334" i="7"/>
  <c r="K335" i="7"/>
  <c r="K336" i="7"/>
  <c r="K337" i="7"/>
  <c r="K338" i="7"/>
  <c r="K339" i="7"/>
  <c r="K340" i="7"/>
  <c r="K341" i="7"/>
  <c r="K342" i="7"/>
  <c r="K343" i="7"/>
  <c r="K344" i="7"/>
  <c r="K345" i="7"/>
  <c r="K346" i="7"/>
  <c r="K347" i="7"/>
  <c r="K348" i="7"/>
  <c r="K349" i="7"/>
  <c r="K350" i="7"/>
  <c r="K351" i="7"/>
  <c r="K352" i="7"/>
  <c r="K353" i="7"/>
  <c r="K354" i="7"/>
  <c r="K355" i="7"/>
  <c r="K356" i="7"/>
  <c r="K357" i="7"/>
  <c r="K358" i="7"/>
  <c r="K359" i="7"/>
  <c r="K360" i="7"/>
  <c r="K361" i="7"/>
  <c r="K362" i="7"/>
  <c r="K363" i="7"/>
  <c r="K364" i="7"/>
  <c r="K365" i="7"/>
  <c r="K366" i="7"/>
  <c r="K367" i="7"/>
  <c r="K368" i="7"/>
  <c r="K369" i="7"/>
  <c r="K370" i="7"/>
  <c r="K371" i="7"/>
  <c r="K372" i="7"/>
  <c r="K373" i="7"/>
  <c r="K374" i="7"/>
  <c r="K375" i="7"/>
  <c r="K376" i="7"/>
  <c r="K377" i="7"/>
  <c r="K378" i="7"/>
  <c r="K379" i="7"/>
  <c r="K380" i="7"/>
  <c r="K381" i="7"/>
  <c r="K382" i="7"/>
  <c r="K383" i="7"/>
  <c r="K384" i="7"/>
  <c r="K385" i="7"/>
  <c r="K386" i="7"/>
  <c r="K387" i="7"/>
  <c r="K388" i="7"/>
  <c r="K389" i="7"/>
  <c r="K390" i="7"/>
  <c r="K391" i="7"/>
  <c r="K392" i="7"/>
  <c r="K393" i="7"/>
  <c r="K394" i="7"/>
  <c r="K395" i="7"/>
  <c r="K396" i="7"/>
  <c r="K397" i="7"/>
  <c r="K398" i="7"/>
  <c r="K399" i="7"/>
  <c r="K400" i="7"/>
  <c r="K401" i="7"/>
  <c r="K402" i="7"/>
  <c r="K403" i="7"/>
  <c r="K404" i="7"/>
  <c r="K405" i="7"/>
  <c r="K406" i="7"/>
  <c r="K407" i="7"/>
  <c r="K408" i="7"/>
  <c r="K409" i="7"/>
  <c r="K410" i="7"/>
  <c r="K411" i="7"/>
  <c r="K412" i="7"/>
  <c r="K413" i="7"/>
  <c r="K414" i="7"/>
  <c r="K415" i="7"/>
  <c r="K416" i="7"/>
  <c r="K417" i="7"/>
  <c r="K418" i="7"/>
  <c r="K419" i="7"/>
  <c r="K420" i="7"/>
  <c r="K421" i="7"/>
  <c r="K422" i="7"/>
  <c r="K423" i="7"/>
  <c r="K424" i="7"/>
  <c r="K425" i="7"/>
  <c r="K426" i="7"/>
  <c r="K427" i="7"/>
  <c r="K428" i="7"/>
  <c r="K429" i="7"/>
  <c r="K430" i="7"/>
  <c r="K431" i="7"/>
  <c r="K432" i="7"/>
  <c r="K433" i="7"/>
  <c r="K434" i="7"/>
  <c r="K435" i="7"/>
  <c r="K436" i="7"/>
  <c r="K437" i="7"/>
  <c r="K438" i="7"/>
  <c r="K439" i="7"/>
  <c r="K440" i="7"/>
  <c r="K441" i="7"/>
  <c r="K442" i="7"/>
  <c r="K443" i="7"/>
  <c r="K444" i="7"/>
  <c r="K445" i="7"/>
  <c r="K446" i="7"/>
  <c r="K447" i="7"/>
  <c r="K448" i="7"/>
  <c r="K449" i="7"/>
  <c r="K450" i="7"/>
  <c r="K451" i="7"/>
  <c r="K452" i="7"/>
  <c r="K453" i="7"/>
  <c r="K454" i="7"/>
  <c r="K455" i="7"/>
  <c r="K456" i="7"/>
  <c r="K457" i="7"/>
  <c r="K458" i="7"/>
  <c r="K459" i="7"/>
  <c r="K460" i="7"/>
  <c r="K461" i="7"/>
  <c r="K462" i="7"/>
  <c r="K463" i="7"/>
  <c r="K464" i="7"/>
  <c r="K465" i="7"/>
  <c r="K466" i="7"/>
  <c r="K467" i="7"/>
  <c r="K468" i="7"/>
  <c r="K469" i="7"/>
  <c r="K470" i="7"/>
  <c r="K471" i="7"/>
  <c r="K472" i="7"/>
  <c r="K473" i="7"/>
  <c r="K474" i="7"/>
  <c r="K475" i="7"/>
  <c r="K476" i="7"/>
  <c r="K477" i="7"/>
  <c r="K478" i="7"/>
  <c r="K479" i="7"/>
  <c r="K480" i="7"/>
  <c r="K481" i="7"/>
  <c r="K482" i="7"/>
  <c r="K483" i="7"/>
  <c r="K484" i="7"/>
  <c r="K485" i="7"/>
  <c r="K486" i="7"/>
  <c r="L486" i="7" s="1"/>
  <c r="K487" i="7"/>
  <c r="K488" i="7"/>
  <c r="K489" i="7"/>
  <c r="K490" i="7"/>
  <c r="K491" i="7"/>
  <c r="K492" i="7"/>
  <c r="K493" i="7"/>
  <c r="K494" i="7"/>
  <c r="K495" i="7"/>
  <c r="K496" i="7"/>
  <c r="K497" i="7"/>
  <c r="K498" i="7"/>
  <c r="K499" i="7"/>
  <c r="K500" i="7"/>
  <c r="K501" i="7"/>
  <c r="K502" i="7"/>
  <c r="K503" i="7"/>
  <c r="K504" i="7"/>
  <c r="K505" i="7"/>
  <c r="K506" i="7"/>
  <c r="K507" i="7"/>
  <c r="K508" i="7"/>
  <c r="K509" i="7"/>
  <c r="K510" i="7"/>
  <c r="K511" i="7"/>
  <c r="K512" i="7"/>
  <c r="K513" i="7"/>
  <c r="K514" i="7"/>
  <c r="K515" i="7"/>
  <c r="K516" i="7"/>
  <c r="K517" i="7"/>
  <c r="K518" i="7"/>
  <c r="K519" i="7"/>
  <c r="K520" i="7"/>
  <c r="K521" i="7"/>
  <c r="K522" i="7"/>
  <c r="L522" i="7" s="1"/>
  <c r="K523" i="7"/>
  <c r="K524" i="7"/>
  <c r="K525" i="7"/>
  <c r="K526" i="7"/>
  <c r="K527" i="7"/>
  <c r="K528" i="7"/>
  <c r="K529" i="7"/>
  <c r="K530" i="7"/>
  <c r="K531" i="7"/>
  <c r="K532" i="7"/>
  <c r="K533" i="7"/>
  <c r="K534" i="7"/>
  <c r="K535" i="7"/>
  <c r="K536" i="7"/>
  <c r="K537" i="7"/>
  <c r="K538" i="7"/>
  <c r="K539" i="7"/>
  <c r="K540" i="7"/>
  <c r="K541" i="7"/>
  <c r="K542" i="7"/>
  <c r="K543" i="7"/>
  <c r="K544" i="7"/>
  <c r="K545" i="7"/>
  <c r="K546" i="7"/>
  <c r="L546" i="7" s="1"/>
  <c r="K547" i="7"/>
  <c r="K548" i="7"/>
  <c r="K549" i="7"/>
  <c r="K550" i="7"/>
  <c r="K551" i="7"/>
  <c r="K552" i="7"/>
  <c r="K553" i="7"/>
  <c r="K554" i="7"/>
  <c r="K555" i="7"/>
  <c r="K556" i="7"/>
  <c r="K557" i="7"/>
  <c r="K558" i="7"/>
  <c r="K559" i="7"/>
  <c r="K560" i="7"/>
  <c r="K561" i="7"/>
  <c r="K562" i="7"/>
  <c r="K563" i="7"/>
  <c r="K564" i="7"/>
  <c r="K565" i="7"/>
  <c r="K566" i="7"/>
  <c r="K567" i="7"/>
  <c r="K568" i="7"/>
  <c r="K569" i="7"/>
  <c r="K570" i="7"/>
  <c r="K571" i="7"/>
  <c r="K572" i="7"/>
  <c r="K573" i="7"/>
  <c r="K574" i="7"/>
  <c r="K575" i="7"/>
  <c r="K576" i="7"/>
  <c r="K577" i="7"/>
  <c r="K578" i="7"/>
  <c r="K579" i="7"/>
  <c r="K580" i="7"/>
  <c r="K581" i="7"/>
  <c r="K582" i="7"/>
  <c r="K583" i="7"/>
  <c r="K584" i="7"/>
  <c r="K585" i="7"/>
  <c r="K586" i="7"/>
  <c r="K587" i="7"/>
  <c r="K588" i="7"/>
  <c r="K589" i="7"/>
  <c r="K590" i="7"/>
  <c r="K591" i="7"/>
  <c r="K592" i="7"/>
  <c r="K593" i="7"/>
  <c r="K594" i="7"/>
  <c r="L594" i="7" s="1"/>
  <c r="K595" i="7"/>
  <c r="K596" i="7"/>
  <c r="K597" i="7"/>
  <c r="K598" i="7"/>
  <c r="K599" i="7"/>
  <c r="K600" i="7"/>
  <c r="K601" i="7"/>
  <c r="K602" i="7"/>
  <c r="K603" i="7"/>
  <c r="K604" i="7"/>
  <c r="K605" i="7"/>
  <c r="K606" i="7"/>
  <c r="K607" i="7"/>
  <c r="K608" i="7"/>
  <c r="K609" i="7"/>
  <c r="K610" i="7"/>
  <c r="K611" i="7"/>
  <c r="K612" i="7"/>
  <c r="K613" i="7"/>
  <c r="K614" i="7"/>
  <c r="K615" i="7"/>
  <c r="K616" i="7"/>
  <c r="K617" i="7"/>
  <c r="K618" i="7"/>
  <c r="K619" i="7"/>
  <c r="K620" i="7"/>
  <c r="K621" i="7"/>
  <c r="K622" i="7"/>
  <c r="K623" i="7"/>
  <c r="K624" i="7"/>
  <c r="K625" i="7"/>
  <c r="K626" i="7"/>
  <c r="K627" i="7"/>
  <c r="K628" i="7"/>
  <c r="K629" i="7"/>
  <c r="K630" i="7"/>
  <c r="L630" i="7" s="1"/>
  <c r="K631" i="7"/>
  <c r="K632" i="7"/>
  <c r="K633" i="7"/>
  <c r="K634" i="7"/>
  <c r="K635" i="7"/>
  <c r="K636" i="7"/>
  <c r="K637" i="7"/>
  <c r="K638" i="7"/>
  <c r="K639" i="7"/>
  <c r="K640" i="7"/>
  <c r="K641" i="7"/>
  <c r="K642" i="7"/>
  <c r="K643" i="7"/>
  <c r="K644" i="7"/>
  <c r="K645" i="7"/>
  <c r="K646" i="7"/>
  <c r="K647" i="7"/>
  <c r="K648" i="7"/>
  <c r="K649" i="7"/>
  <c r="K650" i="7"/>
  <c r="K651" i="7"/>
  <c r="K652" i="7"/>
  <c r="K653" i="7"/>
  <c r="K654" i="7"/>
  <c r="L654" i="7" s="1"/>
  <c r="K655" i="7"/>
  <c r="K656" i="7"/>
  <c r="K657" i="7"/>
  <c r="K658" i="7"/>
  <c r="K659" i="7"/>
  <c r="K660" i="7"/>
  <c r="K661" i="7"/>
  <c r="K662" i="7"/>
  <c r="K663" i="7"/>
  <c r="K664" i="7"/>
  <c r="K665" i="7"/>
  <c r="K666" i="7"/>
  <c r="L666" i="7" s="1"/>
  <c r="K667" i="7"/>
  <c r="K668" i="7"/>
  <c r="K669" i="7"/>
  <c r="K670" i="7"/>
  <c r="K671" i="7"/>
  <c r="K672" i="7"/>
  <c r="K673" i="7"/>
  <c r="K674" i="7"/>
  <c r="K675" i="7"/>
  <c r="K676" i="7"/>
  <c r="K677" i="7"/>
  <c r="K678" i="7"/>
  <c r="K679" i="7"/>
  <c r="K680" i="7"/>
  <c r="K681" i="7"/>
  <c r="K682" i="7"/>
  <c r="K683" i="7"/>
  <c r="K684" i="7"/>
  <c r="K685" i="7"/>
  <c r="K686" i="7"/>
  <c r="K687" i="7"/>
  <c r="K688" i="7"/>
  <c r="K689" i="7"/>
  <c r="K690" i="7"/>
  <c r="K691" i="7"/>
  <c r="K692" i="7"/>
  <c r="K693" i="7"/>
  <c r="K694" i="7"/>
  <c r="K695" i="7"/>
  <c r="K696" i="7"/>
  <c r="K697" i="7"/>
  <c r="K698" i="7"/>
  <c r="K699" i="7"/>
  <c r="K700" i="7"/>
  <c r="K701" i="7"/>
  <c r="K702" i="7"/>
  <c r="K703" i="7"/>
  <c r="K704" i="7"/>
  <c r="K705" i="7"/>
  <c r="K706" i="7"/>
  <c r="K707" i="7"/>
  <c r="K708" i="7"/>
  <c r="K709" i="7"/>
  <c r="K710" i="7"/>
  <c r="K711" i="7"/>
  <c r="K712" i="7"/>
  <c r="K713" i="7"/>
  <c r="K714" i="7"/>
  <c r="K715" i="7"/>
  <c r="K716" i="7"/>
  <c r="K717" i="7"/>
  <c r="K718" i="7"/>
  <c r="K719" i="7"/>
  <c r="K720" i="7"/>
  <c r="K721" i="7"/>
  <c r="K722" i="7"/>
  <c r="K723" i="7"/>
  <c r="K724" i="7"/>
  <c r="K725" i="7"/>
  <c r="K726" i="7"/>
  <c r="K727" i="7"/>
  <c r="K728" i="7"/>
  <c r="K729" i="7"/>
  <c r="K730" i="7"/>
  <c r="K731" i="7"/>
  <c r="K732" i="7"/>
  <c r="K733" i="7"/>
  <c r="K734" i="7"/>
  <c r="K735" i="7"/>
  <c r="K736" i="7"/>
  <c r="K737" i="7"/>
  <c r="K738" i="7"/>
  <c r="K739" i="7"/>
  <c r="K740" i="7"/>
  <c r="K741" i="7"/>
  <c r="K742" i="7"/>
  <c r="K743" i="7"/>
  <c r="K744" i="7"/>
  <c r="K745" i="7"/>
  <c r="K746" i="7"/>
  <c r="K747" i="7"/>
  <c r="K748" i="7"/>
  <c r="K749" i="7"/>
  <c r="K750" i="7"/>
  <c r="K751" i="7"/>
  <c r="K752" i="7"/>
  <c r="K753" i="7"/>
  <c r="K754" i="7"/>
  <c r="K755" i="7"/>
  <c r="K756" i="7"/>
  <c r="K757" i="7"/>
  <c r="K758" i="7"/>
  <c r="K759" i="7"/>
  <c r="K760" i="7"/>
  <c r="K761" i="7"/>
  <c r="K762" i="7"/>
  <c r="K763" i="7"/>
  <c r="K764" i="7"/>
  <c r="K765" i="7"/>
  <c r="K766" i="7"/>
  <c r="K767" i="7"/>
  <c r="K768" i="7"/>
  <c r="K769" i="7"/>
  <c r="K770" i="7"/>
  <c r="K771" i="7"/>
  <c r="K772" i="7"/>
  <c r="K773" i="7"/>
  <c r="K774" i="7"/>
  <c r="K775" i="7"/>
  <c r="K776" i="7"/>
  <c r="K777" i="7"/>
  <c r="K778" i="7"/>
  <c r="K779" i="7"/>
  <c r="K780" i="7"/>
  <c r="K781" i="7"/>
  <c r="K782" i="7"/>
  <c r="K783" i="7"/>
  <c r="K784" i="7"/>
  <c r="K785" i="7"/>
  <c r="K786" i="7"/>
  <c r="K787" i="7"/>
  <c r="K788" i="7"/>
  <c r="K789" i="7"/>
  <c r="K790" i="7"/>
  <c r="K791" i="7"/>
  <c r="K792" i="7"/>
  <c r="K793" i="7"/>
  <c r="K794" i="7"/>
  <c r="K795" i="7"/>
  <c r="K796" i="7"/>
  <c r="K797" i="7"/>
  <c r="K798" i="7"/>
  <c r="L798" i="7" s="1"/>
  <c r="K799" i="7"/>
  <c r="K800" i="7"/>
  <c r="K801" i="7"/>
  <c r="K802" i="7"/>
  <c r="K803" i="7"/>
  <c r="K804" i="7"/>
  <c r="K805" i="7"/>
  <c r="K806" i="7"/>
  <c r="K807" i="7"/>
  <c r="K808" i="7"/>
  <c r="K809" i="7"/>
  <c r="K810" i="7"/>
  <c r="K811" i="7"/>
  <c r="K812" i="7"/>
  <c r="K813" i="7"/>
  <c r="K814" i="7"/>
  <c r="K815" i="7"/>
  <c r="K816" i="7"/>
  <c r="K817" i="7"/>
  <c r="K818" i="7"/>
  <c r="K819" i="7"/>
  <c r="K820" i="7"/>
  <c r="K821" i="7"/>
  <c r="K822" i="7"/>
  <c r="K823" i="7"/>
  <c r="K824" i="7"/>
  <c r="K825" i="7"/>
  <c r="K826" i="7"/>
  <c r="K827" i="7"/>
  <c r="K828" i="7"/>
  <c r="K829" i="7"/>
  <c r="K830" i="7"/>
  <c r="K831" i="7"/>
  <c r="K832" i="7"/>
  <c r="K833" i="7"/>
  <c r="K834" i="7"/>
  <c r="K835" i="7"/>
  <c r="K836" i="7"/>
  <c r="K837" i="7"/>
  <c r="K838" i="7"/>
  <c r="K839" i="7"/>
  <c r="K840" i="7"/>
  <c r="K841" i="7"/>
  <c r="K842" i="7"/>
  <c r="K843" i="7"/>
  <c r="K844" i="7"/>
  <c r="K845" i="7"/>
  <c r="K846" i="7"/>
  <c r="K847" i="7"/>
  <c r="K848" i="7"/>
  <c r="K849" i="7"/>
  <c r="K850" i="7"/>
  <c r="K851" i="7"/>
  <c r="K852" i="7"/>
  <c r="K853" i="7"/>
  <c r="K854" i="7"/>
  <c r="K855" i="7"/>
  <c r="K856" i="7"/>
  <c r="K857" i="7"/>
  <c r="K858" i="7"/>
  <c r="K859" i="7"/>
  <c r="K860" i="7"/>
  <c r="K861" i="7"/>
  <c r="K862" i="7"/>
  <c r="K863" i="7"/>
  <c r="K864" i="7"/>
  <c r="K865" i="7"/>
  <c r="K866" i="7"/>
  <c r="K867" i="7"/>
  <c r="K868" i="7"/>
  <c r="K869" i="7"/>
  <c r="K870" i="7"/>
  <c r="K871" i="7"/>
  <c r="K872" i="7"/>
  <c r="K873" i="7"/>
  <c r="K874" i="7"/>
  <c r="K875" i="7"/>
  <c r="K876" i="7"/>
  <c r="K877" i="7"/>
  <c r="K878" i="7"/>
  <c r="K879" i="7"/>
  <c r="K880" i="7"/>
  <c r="K881" i="7"/>
  <c r="K882" i="7"/>
  <c r="K883" i="7"/>
  <c r="K884" i="7"/>
  <c r="K885" i="7"/>
  <c r="K886" i="7"/>
  <c r="K887" i="7"/>
  <c r="K888" i="7"/>
  <c r="K889" i="7"/>
  <c r="K890" i="7"/>
  <c r="K891" i="7"/>
  <c r="K892" i="7"/>
  <c r="K893" i="7"/>
  <c r="K894" i="7"/>
  <c r="K895" i="7"/>
  <c r="K896" i="7"/>
  <c r="K897" i="7"/>
  <c r="K898" i="7"/>
  <c r="K899" i="7"/>
  <c r="K900" i="7"/>
  <c r="K901" i="7"/>
  <c r="K902" i="7"/>
  <c r="K903" i="7"/>
  <c r="K904" i="7"/>
  <c r="K905" i="7"/>
  <c r="K906" i="7"/>
  <c r="K907" i="7"/>
  <c r="K908" i="7"/>
  <c r="K909" i="7"/>
  <c r="K910" i="7"/>
  <c r="K911" i="7"/>
  <c r="K912" i="7"/>
  <c r="K913" i="7"/>
  <c r="K914" i="7"/>
  <c r="K915" i="7"/>
  <c r="K916" i="7"/>
  <c r="K917" i="7"/>
  <c r="K918" i="7"/>
  <c r="K919" i="7"/>
  <c r="K920" i="7"/>
  <c r="K921" i="7"/>
  <c r="K922" i="7"/>
  <c r="K923" i="7"/>
  <c r="K924" i="7"/>
  <c r="K925" i="7"/>
  <c r="K926" i="7"/>
  <c r="K927" i="7"/>
  <c r="K928" i="7"/>
  <c r="K929" i="7"/>
  <c r="K930" i="7"/>
  <c r="K931" i="7"/>
  <c r="K932" i="7"/>
  <c r="K933" i="7"/>
  <c r="K934" i="7"/>
  <c r="K935" i="7"/>
  <c r="K936" i="7"/>
  <c r="K937" i="7"/>
  <c r="K938" i="7"/>
  <c r="K939" i="7"/>
  <c r="K940" i="7"/>
  <c r="K941" i="7"/>
  <c r="K942" i="7"/>
  <c r="K943" i="7"/>
  <c r="K944" i="7"/>
  <c r="K945" i="7"/>
  <c r="K946" i="7"/>
  <c r="K947" i="7"/>
  <c r="K948" i="7"/>
  <c r="K949" i="7"/>
  <c r="K950" i="7"/>
  <c r="K951" i="7"/>
  <c r="K952" i="7"/>
  <c r="K953" i="7"/>
  <c r="K954" i="7"/>
  <c r="L954" i="7" s="1"/>
  <c r="K955" i="7"/>
  <c r="K956" i="7"/>
  <c r="K957" i="7"/>
  <c r="K958" i="7"/>
  <c r="K959" i="7"/>
  <c r="K960" i="7"/>
  <c r="K961" i="7"/>
  <c r="K962" i="7"/>
  <c r="K963" i="7"/>
  <c r="K964" i="7"/>
  <c r="K965" i="7"/>
  <c r="K966" i="7"/>
  <c r="K967" i="7"/>
  <c r="K968" i="7"/>
  <c r="K969" i="7"/>
  <c r="K970" i="7"/>
  <c r="K971" i="7"/>
  <c r="K972" i="7"/>
  <c r="K973" i="7"/>
  <c r="K974" i="7"/>
  <c r="K975" i="7"/>
  <c r="K976" i="7"/>
  <c r="K977" i="7"/>
  <c r="K978" i="7"/>
  <c r="K979" i="7"/>
  <c r="K980" i="7"/>
  <c r="K981" i="7"/>
  <c r="K982" i="7"/>
  <c r="K983" i="7"/>
  <c r="K984" i="7"/>
  <c r="K985" i="7"/>
  <c r="K986" i="7"/>
  <c r="K987" i="7"/>
  <c r="K988" i="7"/>
  <c r="K989" i="7"/>
  <c r="K990" i="7"/>
  <c r="K991" i="7"/>
  <c r="K992" i="7"/>
  <c r="K993" i="7"/>
  <c r="K994" i="7"/>
  <c r="K995" i="7"/>
  <c r="K996" i="7"/>
  <c r="K997" i="7"/>
  <c r="K998" i="7"/>
  <c r="K999" i="7"/>
  <c r="K1000" i="7"/>
  <c r="K1001" i="7"/>
  <c r="K1002" i="7"/>
  <c r="K1003" i="7"/>
  <c r="K1004" i="7"/>
  <c r="K1005" i="7"/>
  <c r="K1006" i="7"/>
  <c r="K1007" i="7"/>
  <c r="K1008" i="7"/>
  <c r="K1009" i="7"/>
  <c r="K1010" i="7"/>
  <c r="K1011" i="7"/>
  <c r="K1012" i="7"/>
  <c r="K1013" i="7"/>
  <c r="K1014" i="7"/>
  <c r="K1015" i="7"/>
  <c r="K1016" i="7"/>
  <c r="K1017" i="7"/>
  <c r="K1018" i="7"/>
  <c r="K1019" i="7"/>
  <c r="K1020" i="7"/>
  <c r="K1021" i="7"/>
  <c r="K1022" i="7"/>
  <c r="K1023" i="7"/>
  <c r="K1024" i="7"/>
  <c r="K1025" i="7"/>
  <c r="K1026" i="7"/>
  <c r="K1027" i="7"/>
  <c r="K1028" i="7"/>
  <c r="K1029" i="7"/>
  <c r="K1030" i="7"/>
  <c r="K1031" i="7"/>
  <c r="K1032" i="7"/>
  <c r="K1033" i="7"/>
  <c r="K1034" i="7"/>
  <c r="K1035" i="7"/>
  <c r="K1036" i="7"/>
  <c r="K1037" i="7"/>
  <c r="K1038" i="7"/>
  <c r="L1038" i="7" s="1"/>
  <c r="K1039" i="7"/>
  <c r="K1040" i="7"/>
  <c r="K1041" i="7"/>
  <c r="K1042" i="7"/>
  <c r="K1043" i="7"/>
  <c r="K1044" i="7"/>
  <c r="K1045" i="7"/>
  <c r="K1046" i="7"/>
  <c r="K1047" i="7"/>
  <c r="K1048" i="7"/>
  <c r="K1049" i="7"/>
  <c r="K1050" i="7"/>
  <c r="K1051" i="7"/>
  <c r="K1052" i="7"/>
  <c r="K1053" i="7"/>
  <c r="K1054" i="7"/>
  <c r="K1055" i="7"/>
  <c r="K1056" i="7"/>
  <c r="K1057" i="7"/>
  <c r="K1058" i="7"/>
  <c r="K1059" i="7"/>
  <c r="K1060" i="7"/>
  <c r="K1061" i="7"/>
  <c r="K1062" i="7"/>
  <c r="K1063" i="7"/>
  <c r="K1064" i="7"/>
  <c r="K1065" i="7"/>
  <c r="K1066" i="7"/>
  <c r="K1067" i="7"/>
  <c r="K1068" i="7"/>
  <c r="K1069" i="7"/>
  <c r="K1070" i="7"/>
  <c r="K1071" i="7"/>
  <c r="K1072" i="7"/>
  <c r="K1073" i="7"/>
  <c r="K1074" i="7"/>
  <c r="K1075" i="7"/>
  <c r="K1076" i="7"/>
  <c r="K1077" i="7"/>
  <c r="K1078" i="7"/>
  <c r="K1079" i="7"/>
  <c r="K1080" i="7"/>
  <c r="K1081" i="7"/>
  <c r="K1082" i="7"/>
  <c r="K1083" i="7"/>
  <c r="K1084" i="7"/>
  <c r="K1085" i="7"/>
  <c r="K1086" i="7"/>
  <c r="K1087" i="7"/>
  <c r="K1088" i="7"/>
  <c r="K1089" i="7"/>
  <c r="K1090" i="7"/>
  <c r="K1091" i="7"/>
  <c r="K1092" i="7"/>
  <c r="K1093" i="7"/>
  <c r="K1094" i="7"/>
  <c r="K1095" i="7"/>
  <c r="K1096" i="7"/>
  <c r="K1097" i="7"/>
  <c r="K1098" i="7"/>
  <c r="K1099" i="7"/>
  <c r="K1100" i="7"/>
  <c r="K1101" i="7"/>
  <c r="K1102" i="7"/>
  <c r="K1103" i="7"/>
  <c r="K1104" i="7"/>
  <c r="K1105" i="7"/>
  <c r="K1106" i="7"/>
  <c r="K1107" i="7"/>
  <c r="K1108" i="7"/>
  <c r="K1109" i="7"/>
  <c r="K1110" i="7"/>
  <c r="K1111" i="7"/>
  <c r="K1112" i="7"/>
  <c r="K1113" i="7"/>
  <c r="K1114" i="7"/>
  <c r="K1115" i="7"/>
  <c r="K1116" i="7"/>
  <c r="K1117" i="7"/>
  <c r="K1118" i="7"/>
  <c r="K1119" i="7"/>
  <c r="K1120" i="7"/>
  <c r="K1121" i="7"/>
  <c r="K1122" i="7"/>
  <c r="K1123" i="7"/>
  <c r="K1124" i="7"/>
  <c r="K1125" i="7"/>
  <c r="K1126" i="7"/>
  <c r="K1127" i="7"/>
  <c r="K1128" i="7"/>
  <c r="K1129" i="7"/>
  <c r="K1130" i="7"/>
  <c r="K1131" i="7"/>
  <c r="K1132" i="7"/>
  <c r="K1133" i="7"/>
  <c r="K1134" i="7"/>
  <c r="K1135" i="7"/>
  <c r="K1136" i="7"/>
  <c r="K1137" i="7"/>
  <c r="K1138" i="7"/>
  <c r="K1139" i="7"/>
  <c r="K1140" i="7"/>
  <c r="K1141" i="7"/>
  <c r="K1142" i="7"/>
  <c r="K1143" i="7"/>
  <c r="K1144" i="7"/>
  <c r="K1145" i="7"/>
  <c r="K1146" i="7"/>
  <c r="K1147" i="7"/>
  <c r="K1148" i="7"/>
  <c r="K1149" i="7"/>
  <c r="K1150" i="7"/>
  <c r="K1151" i="7"/>
  <c r="K1152" i="7"/>
  <c r="K1153" i="7"/>
  <c r="K1154" i="7"/>
  <c r="K1155" i="7"/>
  <c r="K1156" i="7"/>
  <c r="K1157" i="7"/>
  <c r="K1158" i="7"/>
  <c r="K1159" i="7"/>
  <c r="K1160" i="7"/>
  <c r="K1161" i="7"/>
  <c r="K1162" i="7"/>
  <c r="K1163" i="7"/>
  <c r="K1164" i="7"/>
  <c r="K1165" i="7"/>
  <c r="K1166" i="7"/>
  <c r="K1167" i="7"/>
  <c r="K1168" i="7"/>
  <c r="K1169" i="7"/>
  <c r="K1170" i="7"/>
  <c r="K1171" i="7"/>
  <c r="K1172" i="7"/>
  <c r="K1173" i="7"/>
  <c r="K1174" i="7"/>
  <c r="K1175" i="7"/>
  <c r="K1176" i="7"/>
  <c r="K1177" i="7"/>
  <c r="K1178" i="7"/>
  <c r="K1179" i="7"/>
  <c r="K1180" i="7"/>
  <c r="K1181" i="7"/>
  <c r="K1182" i="7"/>
  <c r="K1183" i="7"/>
  <c r="K1184" i="7"/>
  <c r="K1185" i="7"/>
  <c r="K1186" i="7"/>
  <c r="K1187" i="7"/>
  <c r="K1188" i="7"/>
  <c r="K1189" i="7"/>
  <c r="K1190" i="7"/>
  <c r="K1191" i="7"/>
  <c r="K1192" i="7"/>
  <c r="K1193" i="7"/>
  <c r="K1194" i="7"/>
  <c r="K1195" i="7"/>
  <c r="K1196" i="7"/>
  <c r="K1197" i="7"/>
  <c r="K1198" i="7"/>
  <c r="K1199" i="7"/>
  <c r="K1200" i="7"/>
  <c r="K1201" i="7"/>
  <c r="K1202" i="7"/>
  <c r="K1203" i="7"/>
  <c r="K1204" i="7"/>
  <c r="K1205" i="7"/>
  <c r="K1206" i="7"/>
  <c r="K1207" i="7"/>
  <c r="K1208" i="7"/>
  <c r="K1209" i="7"/>
  <c r="K1210" i="7"/>
  <c r="K1211" i="7"/>
  <c r="K1212" i="7"/>
  <c r="K1213" i="7"/>
  <c r="K1214" i="7"/>
  <c r="K1215" i="7"/>
  <c r="K1216" i="7"/>
  <c r="K1217" i="7"/>
  <c r="K1218" i="7"/>
  <c r="K1219" i="7"/>
  <c r="K1220" i="7"/>
  <c r="K1221" i="7"/>
  <c r="K1222" i="7"/>
  <c r="K1223" i="7"/>
  <c r="K1224" i="7"/>
  <c r="K1225" i="7"/>
  <c r="K1226" i="7"/>
  <c r="K1227" i="7"/>
  <c r="K1228" i="7"/>
  <c r="K1229" i="7"/>
  <c r="K1230" i="7"/>
  <c r="K1231" i="7"/>
  <c r="K1232" i="7"/>
  <c r="K1233" i="7"/>
  <c r="K1234" i="7"/>
  <c r="K1235" i="7"/>
  <c r="K1236" i="7"/>
  <c r="K1237" i="7"/>
  <c r="K1238" i="7"/>
  <c r="K1239" i="7"/>
  <c r="K1240" i="7"/>
  <c r="K1241" i="7"/>
  <c r="K1242" i="7"/>
  <c r="K1243" i="7"/>
  <c r="K1244" i="7"/>
  <c r="K1245" i="7"/>
  <c r="K1246" i="7"/>
  <c r="K1247" i="7"/>
  <c r="K1248" i="7"/>
  <c r="K1249" i="7"/>
  <c r="K1250" i="7"/>
  <c r="K1251" i="7"/>
  <c r="K1252" i="7"/>
  <c r="K1253" i="7"/>
  <c r="K1254" i="7"/>
  <c r="K1255" i="7"/>
  <c r="K1256" i="7"/>
  <c r="K1257" i="7"/>
  <c r="K1258" i="7"/>
  <c r="K1259" i="7"/>
  <c r="K1260" i="7"/>
  <c r="K1261" i="7"/>
  <c r="K1262" i="7"/>
  <c r="K1263" i="7"/>
  <c r="K1264" i="7"/>
  <c r="K1265" i="7"/>
  <c r="K1266" i="7"/>
  <c r="K1267" i="7"/>
  <c r="K1268" i="7"/>
  <c r="K1269" i="7"/>
  <c r="K1270" i="7"/>
  <c r="K1271" i="7"/>
  <c r="K1272" i="7"/>
  <c r="K1273" i="7"/>
  <c r="K1274" i="7"/>
  <c r="K1275" i="7"/>
  <c r="K1276" i="7"/>
  <c r="K1277" i="7"/>
  <c r="K1278" i="7"/>
  <c r="K1279" i="7"/>
  <c r="K1280" i="7"/>
  <c r="K1281" i="7"/>
  <c r="K1282" i="7"/>
  <c r="K1283" i="7"/>
  <c r="K1284" i="7"/>
  <c r="K1285" i="7"/>
  <c r="K1286" i="7"/>
  <c r="K1287" i="7"/>
  <c r="K1288" i="7"/>
  <c r="K1289" i="7"/>
  <c r="K1290" i="7"/>
  <c r="K1291" i="7"/>
  <c r="K1292" i="7"/>
  <c r="K1293" i="7"/>
  <c r="K1294" i="7"/>
  <c r="K1295" i="7"/>
  <c r="K1296" i="7"/>
  <c r="K1297" i="7"/>
  <c r="K1298" i="7"/>
  <c r="K1299" i="7"/>
  <c r="K1300" i="7"/>
  <c r="K1301" i="7"/>
  <c r="K1302" i="7"/>
  <c r="K1303" i="7"/>
  <c r="K1304" i="7"/>
  <c r="K1305" i="7"/>
  <c r="K1306" i="7"/>
  <c r="K1307" i="7"/>
  <c r="K1308" i="7"/>
  <c r="K1309" i="7"/>
  <c r="K1310" i="7"/>
  <c r="K1311" i="7"/>
  <c r="K1312" i="7"/>
  <c r="K1313" i="7"/>
  <c r="K1314" i="7"/>
  <c r="K1315" i="7"/>
  <c r="K1316" i="7"/>
  <c r="K1317" i="7"/>
  <c r="K1318" i="7"/>
  <c r="K1319" i="7"/>
  <c r="K1320" i="7"/>
  <c r="K1321" i="7"/>
  <c r="K1322" i="7"/>
  <c r="K1323" i="7"/>
  <c r="K1324" i="7"/>
  <c r="K1325" i="7"/>
  <c r="K1326" i="7"/>
  <c r="K1327" i="7"/>
  <c r="K1328" i="7"/>
  <c r="K1329" i="7"/>
  <c r="K1330" i="7"/>
  <c r="K1331" i="7"/>
  <c r="K1332" i="7"/>
  <c r="K1333" i="7"/>
  <c r="K1334" i="7"/>
  <c r="K1335" i="7"/>
  <c r="K1336" i="7"/>
  <c r="K1337" i="7"/>
  <c r="K1338" i="7"/>
  <c r="K1339" i="7"/>
  <c r="K1340" i="7"/>
  <c r="K1341" i="7"/>
  <c r="K1342" i="7"/>
  <c r="K1343" i="7"/>
  <c r="K1344" i="7"/>
  <c r="K1345" i="7"/>
  <c r="K1346" i="7"/>
  <c r="K1347" i="7"/>
  <c r="K1348" i="7"/>
  <c r="K1349" i="7"/>
  <c r="K1350" i="7"/>
  <c r="K1351" i="7"/>
  <c r="K1352" i="7"/>
  <c r="K1353" i="7"/>
  <c r="K1354" i="7"/>
  <c r="K1355" i="7"/>
  <c r="K1356" i="7"/>
  <c r="K1357" i="7"/>
  <c r="K1358" i="7"/>
  <c r="K1359" i="7"/>
  <c r="K1360" i="7"/>
  <c r="K1361" i="7"/>
  <c r="K1362" i="7"/>
  <c r="K1363" i="7"/>
  <c r="K1364" i="7"/>
  <c r="K1365" i="7"/>
  <c r="K1366" i="7"/>
  <c r="K1367" i="7"/>
  <c r="K1368" i="7"/>
  <c r="K1369" i="7"/>
  <c r="K1370" i="7"/>
  <c r="K1371" i="7"/>
  <c r="K1372" i="7"/>
  <c r="K1373" i="7"/>
  <c r="K1374" i="7"/>
  <c r="K1375" i="7"/>
  <c r="K1376" i="7"/>
  <c r="K1377" i="7"/>
  <c r="K1378" i="7"/>
  <c r="K1379" i="7"/>
  <c r="K1380" i="7"/>
  <c r="K1381" i="7"/>
  <c r="K1382" i="7"/>
  <c r="K1383" i="7"/>
  <c r="K1384" i="7"/>
  <c r="K1385" i="7"/>
  <c r="K1386" i="7"/>
  <c r="K1387" i="7"/>
  <c r="K1388" i="7"/>
  <c r="K1389" i="7"/>
  <c r="K1390" i="7"/>
  <c r="K1391" i="7"/>
  <c r="K1392" i="7"/>
  <c r="K1393" i="7"/>
  <c r="K1394" i="7"/>
  <c r="K1395" i="7"/>
  <c r="K1396" i="7"/>
  <c r="K1397" i="7"/>
  <c r="K1398" i="7"/>
  <c r="K1399" i="7"/>
  <c r="K1400" i="7"/>
  <c r="K1401" i="7"/>
  <c r="K1402" i="7"/>
  <c r="K1403" i="7"/>
  <c r="K1404" i="7"/>
  <c r="K1405" i="7"/>
  <c r="K1406" i="7"/>
  <c r="K1407" i="7"/>
  <c r="K1408" i="7"/>
  <c r="K1409" i="7"/>
  <c r="K1410" i="7"/>
  <c r="K1411" i="7"/>
  <c r="K1412" i="7"/>
  <c r="K1413" i="7"/>
  <c r="K1414" i="7"/>
  <c r="K1415" i="7"/>
  <c r="K1416" i="7"/>
  <c r="K1417" i="7"/>
  <c r="K1418" i="7"/>
  <c r="K1419" i="7"/>
  <c r="K1420" i="7"/>
  <c r="K1421" i="7"/>
  <c r="K1422" i="7"/>
  <c r="K1423" i="7"/>
  <c r="K1424" i="7"/>
  <c r="K1425" i="7"/>
  <c r="K1426" i="7"/>
  <c r="K1427" i="7"/>
  <c r="K1428" i="7"/>
  <c r="K1429" i="7"/>
  <c r="K1430" i="7"/>
  <c r="K1431" i="7"/>
  <c r="K1432" i="7"/>
  <c r="K1433" i="7"/>
  <c r="K1434" i="7"/>
  <c r="K1435" i="7"/>
  <c r="K1436" i="7"/>
  <c r="K1437" i="7"/>
  <c r="K1438" i="7"/>
  <c r="K1439" i="7"/>
  <c r="K1440" i="7"/>
  <c r="K1441" i="7"/>
  <c r="K1442" i="7"/>
  <c r="K1443" i="7"/>
  <c r="K1444" i="7"/>
  <c r="K1445" i="7"/>
  <c r="K1446" i="7"/>
  <c r="K1447" i="7"/>
  <c r="K1448" i="7"/>
  <c r="K1449" i="7"/>
  <c r="K1450" i="7"/>
  <c r="K1451" i="7"/>
  <c r="K1452" i="7"/>
  <c r="K1453" i="7"/>
  <c r="K1454" i="7"/>
  <c r="K1455" i="7"/>
  <c r="K1456" i="7"/>
  <c r="K1457" i="7"/>
  <c r="K1458" i="7"/>
  <c r="K1459" i="7"/>
  <c r="K1460" i="7"/>
  <c r="K1461" i="7"/>
  <c r="K1462" i="7"/>
  <c r="K1463" i="7"/>
  <c r="K1464" i="7"/>
  <c r="K1465" i="7"/>
  <c r="K1466" i="7"/>
  <c r="K1467" i="7"/>
  <c r="K1468" i="7"/>
  <c r="K1469" i="7"/>
  <c r="K1470" i="7"/>
  <c r="K1471" i="7"/>
  <c r="K1472" i="7"/>
  <c r="K1473" i="7"/>
  <c r="K1474" i="7"/>
  <c r="K1475" i="7"/>
  <c r="K1476" i="7"/>
  <c r="K1477" i="7"/>
  <c r="K1478" i="7"/>
  <c r="K1479" i="7"/>
  <c r="K1480" i="7"/>
  <c r="K1481" i="7"/>
  <c r="K1482" i="7"/>
  <c r="K1483" i="7"/>
  <c r="K1484" i="7"/>
  <c r="K1485" i="7"/>
  <c r="K1486" i="7"/>
  <c r="K1487" i="7"/>
  <c r="K1488" i="7"/>
  <c r="K1489" i="7"/>
  <c r="K1490" i="7"/>
  <c r="K1491" i="7"/>
  <c r="K1492" i="7"/>
  <c r="K1493" i="7"/>
  <c r="K1494" i="7"/>
  <c r="K1495" i="7"/>
  <c r="K1496" i="7"/>
  <c r="K1497" i="7"/>
  <c r="K1498" i="7"/>
  <c r="K1499" i="7"/>
  <c r="K1500" i="7"/>
  <c r="K1501" i="7"/>
  <c r="K1502" i="7"/>
  <c r="K1503" i="7"/>
  <c r="K1504" i="7"/>
  <c r="K1505" i="7"/>
  <c r="K1506" i="7"/>
  <c r="K1507" i="7"/>
  <c r="K1508" i="7"/>
  <c r="K1509" i="7"/>
  <c r="K1510" i="7"/>
  <c r="K1511" i="7"/>
  <c r="K1512" i="7"/>
  <c r="K1513" i="7"/>
  <c r="K1514" i="7"/>
  <c r="K1515" i="7"/>
  <c r="K1516" i="7"/>
  <c r="K1517" i="7"/>
  <c r="K1518" i="7"/>
  <c r="K1519" i="7"/>
  <c r="K1520" i="7"/>
  <c r="K1521" i="7"/>
  <c r="K1522" i="7"/>
  <c r="K1523" i="7"/>
  <c r="K1524" i="7"/>
  <c r="K1525" i="7"/>
  <c r="K1526" i="7"/>
  <c r="K1527" i="7"/>
  <c r="K1528" i="7"/>
  <c r="K1529" i="7"/>
  <c r="K1530" i="7"/>
  <c r="K1531" i="7"/>
  <c r="K1532" i="7"/>
  <c r="K1533" i="7"/>
  <c r="K1534" i="7"/>
  <c r="K1535" i="7"/>
  <c r="K1536" i="7"/>
  <c r="K1537" i="7"/>
  <c r="K1538" i="7"/>
  <c r="K1539" i="7"/>
  <c r="K1540" i="7"/>
  <c r="K1541" i="7"/>
  <c r="K1542" i="7"/>
  <c r="K1543" i="7"/>
  <c r="K1544" i="7"/>
  <c r="K1545" i="7"/>
  <c r="K1546" i="7"/>
  <c r="K1547" i="7"/>
  <c r="K1548" i="7"/>
  <c r="K1549" i="7"/>
  <c r="K1550" i="7"/>
  <c r="K1551" i="7"/>
  <c r="K1552" i="7"/>
  <c r="K1553" i="7"/>
  <c r="K1554" i="7"/>
  <c r="K1555" i="7"/>
  <c r="K1556" i="7"/>
  <c r="K1557" i="7"/>
  <c r="K1558" i="7"/>
  <c r="K1559" i="7"/>
  <c r="K1560" i="7"/>
  <c r="K1561" i="7"/>
  <c r="K1562" i="7"/>
  <c r="K1563" i="7"/>
  <c r="K1564" i="7"/>
  <c r="K1565" i="7"/>
  <c r="K1566" i="7"/>
  <c r="K1567" i="7"/>
  <c r="K1568" i="7"/>
  <c r="K1569" i="7"/>
  <c r="K1570" i="7"/>
  <c r="K1571" i="7"/>
  <c r="K1572" i="7"/>
  <c r="K1573" i="7"/>
  <c r="K1574" i="7"/>
  <c r="K1575" i="7"/>
  <c r="K1576" i="7"/>
  <c r="K1577" i="7"/>
  <c r="K1578" i="7"/>
  <c r="K1579" i="7"/>
  <c r="K1580" i="7"/>
  <c r="K1581" i="7"/>
  <c r="K1582" i="7"/>
  <c r="K1583" i="7"/>
  <c r="K1584" i="7"/>
  <c r="K1585" i="7"/>
  <c r="K1586" i="7"/>
  <c r="K1587" i="7"/>
  <c r="K1588" i="7"/>
  <c r="K1589" i="7"/>
  <c r="K1590" i="7"/>
  <c r="K1591" i="7"/>
  <c r="K1592" i="7"/>
  <c r="K1593" i="7"/>
  <c r="K1594" i="7"/>
  <c r="K1595" i="7"/>
  <c r="K1596" i="7"/>
  <c r="K1597" i="7"/>
  <c r="K1598" i="7"/>
  <c r="K1599" i="7"/>
  <c r="K1600" i="7"/>
  <c r="K1601" i="7"/>
  <c r="K1602" i="7"/>
  <c r="K1603" i="7"/>
  <c r="K1604" i="7"/>
  <c r="K1605" i="7"/>
  <c r="K1606" i="7"/>
  <c r="K1607" i="7"/>
  <c r="K1608" i="7"/>
  <c r="K1609" i="7"/>
  <c r="K1610" i="7"/>
  <c r="K1611" i="7"/>
  <c r="K1612" i="7"/>
  <c r="K1613" i="7"/>
  <c r="K1614" i="7"/>
  <c r="K1615" i="7"/>
  <c r="K1616" i="7"/>
  <c r="K1617" i="7"/>
  <c r="K1618" i="7"/>
  <c r="K1619" i="7"/>
  <c r="K1620" i="7"/>
  <c r="K1621" i="7"/>
  <c r="K1622" i="7"/>
  <c r="K1623" i="7"/>
  <c r="K1624" i="7"/>
  <c r="K1625" i="7"/>
  <c r="K1626" i="7"/>
  <c r="K1627" i="7"/>
  <c r="K1628" i="7"/>
  <c r="K1629" i="7"/>
  <c r="K1630" i="7"/>
  <c r="K1631" i="7"/>
  <c r="K1632" i="7"/>
  <c r="K1633" i="7"/>
  <c r="K1634" i="7"/>
  <c r="K1635" i="7"/>
  <c r="K1636" i="7"/>
  <c r="K1637" i="7"/>
  <c r="K1638" i="7"/>
  <c r="K1639" i="7"/>
  <c r="K1640" i="7"/>
  <c r="K1641" i="7"/>
  <c r="K1642" i="7"/>
  <c r="K1643" i="7"/>
  <c r="K1644" i="7"/>
  <c r="K1645" i="7"/>
  <c r="K1646" i="7"/>
  <c r="K1647" i="7"/>
  <c r="K1648" i="7"/>
  <c r="K1649" i="7"/>
  <c r="K1650" i="7"/>
  <c r="K1651" i="7"/>
  <c r="K1652" i="7"/>
  <c r="K1653" i="7"/>
  <c r="K1654" i="7"/>
  <c r="K1655" i="7"/>
  <c r="K1656" i="7"/>
  <c r="K1657" i="7"/>
  <c r="K1658" i="7"/>
  <c r="K1659" i="7"/>
  <c r="K1660" i="7"/>
  <c r="K1661" i="7"/>
  <c r="K1662" i="7"/>
  <c r="K1663" i="7"/>
  <c r="K1664" i="7"/>
  <c r="K1665" i="7"/>
  <c r="K1666" i="7"/>
  <c r="K1667" i="7"/>
  <c r="K1668" i="7"/>
  <c r="K1669" i="7"/>
  <c r="K1670" i="7"/>
  <c r="K1671" i="7"/>
  <c r="K1672" i="7"/>
  <c r="K1673" i="7"/>
  <c r="K1674" i="7"/>
  <c r="K1675" i="7"/>
  <c r="K1676" i="7"/>
  <c r="K1677" i="7"/>
  <c r="K1678" i="7"/>
  <c r="K1679" i="7"/>
  <c r="K1680" i="7"/>
  <c r="K1681" i="7"/>
  <c r="K1682" i="7"/>
  <c r="K1683" i="7"/>
  <c r="K1684" i="7"/>
  <c r="K1685" i="7"/>
  <c r="K1686" i="7"/>
  <c r="K1687" i="7"/>
  <c r="K1688" i="7"/>
  <c r="K1689" i="7"/>
  <c r="K1690" i="7"/>
  <c r="K1691" i="7"/>
  <c r="K1692" i="7"/>
  <c r="K1693" i="7"/>
  <c r="K1694" i="7"/>
  <c r="K1695" i="7"/>
  <c r="K1696" i="7"/>
  <c r="K1697" i="7"/>
  <c r="K1698" i="7"/>
  <c r="K1699" i="7"/>
  <c r="K1700" i="7"/>
  <c r="K1701" i="7"/>
  <c r="K1702" i="7"/>
  <c r="K1703" i="7"/>
  <c r="K1704" i="7"/>
  <c r="K1705" i="7"/>
  <c r="K1706" i="7"/>
  <c r="K1707" i="7"/>
  <c r="K1708" i="7"/>
  <c r="K1709" i="7"/>
  <c r="K1710" i="7"/>
  <c r="K1711" i="7"/>
  <c r="K1712" i="7"/>
  <c r="K1713" i="7"/>
  <c r="K1714" i="7"/>
  <c r="K1715" i="7"/>
  <c r="K1716" i="7"/>
  <c r="K1717" i="7"/>
  <c r="K1718" i="7"/>
  <c r="K1719" i="7"/>
  <c r="K1720" i="7"/>
  <c r="K1721" i="7"/>
  <c r="K1722" i="7"/>
  <c r="K1723" i="7"/>
  <c r="K1724" i="7"/>
  <c r="K1725" i="7"/>
  <c r="K1726" i="7"/>
  <c r="K1727" i="7"/>
  <c r="K1728" i="7"/>
  <c r="K1729" i="7"/>
  <c r="K1730" i="7"/>
  <c r="K1731" i="7"/>
  <c r="K1732" i="7"/>
  <c r="K1733" i="7"/>
  <c r="K1734" i="7"/>
  <c r="K1735" i="7"/>
  <c r="K1736" i="7"/>
  <c r="K1737" i="7"/>
  <c r="K1738" i="7"/>
  <c r="K1739" i="7"/>
  <c r="K1740" i="7"/>
  <c r="K1741" i="7"/>
  <c r="K1742" i="7"/>
  <c r="K1743" i="7"/>
  <c r="K1744" i="7"/>
  <c r="K1745" i="7"/>
  <c r="K1746" i="7"/>
  <c r="K1747" i="7"/>
  <c r="K1748" i="7"/>
  <c r="K1749" i="7"/>
  <c r="K1750" i="7"/>
  <c r="K1751" i="7"/>
  <c r="K1752" i="7"/>
  <c r="K1753" i="7"/>
  <c r="K1754" i="7"/>
  <c r="K1755" i="7"/>
  <c r="K1756" i="7"/>
  <c r="K1757" i="7"/>
  <c r="K1758" i="7"/>
  <c r="K1759" i="7"/>
  <c r="K1760" i="7"/>
  <c r="K1761" i="7"/>
  <c r="K1762" i="7"/>
  <c r="K1763" i="7"/>
  <c r="K1764" i="7"/>
  <c r="K1765" i="7"/>
  <c r="K1766" i="7"/>
  <c r="K1767" i="7"/>
  <c r="K1768" i="7"/>
  <c r="K1769" i="7"/>
  <c r="K1770" i="7"/>
  <c r="K1771" i="7"/>
  <c r="K1772" i="7"/>
  <c r="K1773" i="7"/>
  <c r="K1774" i="7"/>
  <c r="K1775" i="7"/>
  <c r="K1776" i="7"/>
  <c r="K1777" i="7"/>
  <c r="K1778" i="7"/>
  <c r="K1779" i="7"/>
  <c r="K1780" i="7"/>
  <c r="K1781" i="7"/>
  <c r="K1782" i="7"/>
  <c r="K1783" i="7"/>
  <c r="K1784" i="7"/>
  <c r="K1785" i="7"/>
  <c r="K1786" i="7"/>
  <c r="K1787" i="7"/>
  <c r="K1788" i="7"/>
  <c r="K1789" i="7"/>
  <c r="K1790" i="7"/>
  <c r="K1791" i="7"/>
  <c r="K1792" i="7"/>
  <c r="K1793" i="7"/>
  <c r="K1794" i="7"/>
  <c r="K1795" i="7"/>
  <c r="K1796" i="7"/>
  <c r="K1797" i="7"/>
  <c r="K1798" i="7"/>
  <c r="K1799" i="7"/>
  <c r="K1800" i="7"/>
  <c r="K1801" i="7"/>
  <c r="K1802" i="7"/>
  <c r="K1803" i="7"/>
  <c r="K1804" i="7"/>
  <c r="K1805" i="7"/>
  <c r="K1806" i="7"/>
  <c r="K1807" i="7"/>
  <c r="K1808" i="7"/>
  <c r="K1809" i="7"/>
  <c r="K1810" i="7"/>
  <c r="K1811" i="7"/>
  <c r="K1812" i="7"/>
  <c r="K1813" i="7"/>
  <c r="K1814" i="7"/>
  <c r="K1815" i="7"/>
  <c r="K1816" i="7"/>
  <c r="K1817" i="7"/>
  <c r="K1818" i="7"/>
  <c r="K1819" i="7"/>
  <c r="K1820" i="7"/>
  <c r="K1821" i="7"/>
  <c r="K1822" i="7"/>
  <c r="K1823" i="7"/>
  <c r="K1824" i="7"/>
  <c r="K1825" i="7"/>
  <c r="K1826" i="7"/>
  <c r="K1827" i="7"/>
  <c r="K1828" i="7"/>
  <c r="K1829" i="7"/>
  <c r="K1830" i="7"/>
  <c r="K1831" i="7"/>
  <c r="K1832" i="7"/>
  <c r="K1833" i="7"/>
  <c r="K1834" i="7"/>
  <c r="K1835" i="7"/>
  <c r="K1836" i="7"/>
  <c r="K1837" i="7"/>
  <c r="K1838" i="7"/>
  <c r="K1839" i="7"/>
  <c r="K1840" i="7"/>
  <c r="K1841" i="7"/>
  <c r="K1842" i="7"/>
  <c r="K1843" i="7"/>
  <c r="K1844" i="7"/>
  <c r="K1845" i="7"/>
  <c r="K1846" i="7"/>
  <c r="K1847" i="7"/>
  <c r="K1848" i="7"/>
  <c r="K1849" i="7"/>
  <c r="K1850" i="7"/>
  <c r="K1851" i="7"/>
  <c r="K1852" i="7"/>
  <c r="K1853" i="7"/>
  <c r="K1854" i="7"/>
  <c r="L1854" i="7" s="1"/>
  <c r="K1855" i="7"/>
  <c r="K1856" i="7"/>
  <c r="K1857" i="7"/>
  <c r="K1858" i="7"/>
  <c r="K1859" i="7"/>
  <c r="K1860" i="7"/>
  <c r="K1861" i="7"/>
  <c r="K1862" i="7"/>
  <c r="K1863" i="7"/>
  <c r="K1864" i="7"/>
  <c r="K1865" i="7"/>
  <c r="K1866" i="7"/>
  <c r="K1867" i="7"/>
  <c r="K1868" i="7"/>
  <c r="K1869" i="7"/>
  <c r="K1870" i="7"/>
  <c r="K1871" i="7"/>
  <c r="K1872" i="7"/>
  <c r="K1873" i="7"/>
  <c r="K1874" i="7"/>
  <c r="K1875" i="7"/>
  <c r="K1876" i="7"/>
  <c r="K1877" i="7"/>
  <c r="K1878" i="7"/>
  <c r="K1879" i="7"/>
  <c r="K1880" i="7"/>
  <c r="K1881" i="7"/>
  <c r="K1882" i="7"/>
  <c r="K1883" i="7"/>
  <c r="K1884" i="7"/>
  <c r="K1885" i="7"/>
  <c r="K1886" i="7"/>
  <c r="K1887" i="7"/>
  <c r="K1888" i="7"/>
  <c r="K1889" i="7"/>
  <c r="K1890" i="7"/>
  <c r="K1891" i="7"/>
  <c r="K1892" i="7"/>
  <c r="K1893" i="7"/>
  <c r="K1894" i="7"/>
  <c r="K1895" i="7"/>
  <c r="K1896" i="7"/>
  <c r="K1897" i="7"/>
  <c r="K1898" i="7"/>
  <c r="K1899" i="7"/>
  <c r="K1900" i="7"/>
  <c r="K1901" i="7"/>
  <c r="K1902" i="7"/>
  <c r="K1903" i="7"/>
  <c r="K1904" i="7"/>
  <c r="K1905" i="7"/>
  <c r="K1906" i="7"/>
  <c r="K1907" i="7"/>
  <c r="K1908" i="7"/>
  <c r="K1909" i="7"/>
  <c r="K1910" i="7"/>
  <c r="K1911" i="7"/>
  <c r="K1912" i="7"/>
  <c r="K1913" i="7"/>
  <c r="K1914" i="7"/>
  <c r="K1915" i="7"/>
  <c r="K1916" i="7"/>
  <c r="K1917" i="7"/>
  <c r="K1918" i="7"/>
  <c r="K1919" i="7"/>
  <c r="K1920" i="7"/>
  <c r="K1921" i="7"/>
  <c r="K1922" i="7"/>
  <c r="K1923" i="7"/>
  <c r="K1924" i="7"/>
  <c r="K1925" i="7"/>
  <c r="K1926" i="7"/>
  <c r="K1927" i="7"/>
  <c r="K1928" i="7"/>
  <c r="K1929" i="7"/>
  <c r="K1930" i="7"/>
  <c r="K1931" i="7"/>
  <c r="K1932" i="7"/>
  <c r="K1933" i="7"/>
  <c r="K1934" i="7"/>
  <c r="K1935" i="7"/>
  <c r="K1936" i="7"/>
  <c r="K1937" i="7"/>
  <c r="K1938" i="7"/>
  <c r="K1939" i="7"/>
  <c r="K1940" i="7"/>
  <c r="K1941" i="7"/>
  <c r="K1942" i="7"/>
  <c r="K1943" i="7"/>
  <c r="K1944" i="7"/>
  <c r="K1945" i="7"/>
  <c r="K1946" i="7"/>
  <c r="K1947" i="7"/>
  <c r="K1948" i="7"/>
  <c r="K1949" i="7"/>
  <c r="K1950" i="7"/>
  <c r="K1951" i="7"/>
  <c r="K1952" i="7"/>
  <c r="K1953" i="7"/>
  <c r="K1954" i="7"/>
  <c r="K1955" i="7"/>
  <c r="K1956" i="7"/>
  <c r="K1957" i="7"/>
  <c r="K1958" i="7"/>
  <c r="K1959" i="7"/>
  <c r="K1960" i="7"/>
  <c r="K1961" i="7"/>
  <c r="K1962" i="7"/>
  <c r="K1963" i="7"/>
  <c r="K1964" i="7"/>
  <c r="K1965" i="7"/>
  <c r="K1966" i="7"/>
  <c r="K1967" i="7"/>
  <c r="K1968" i="7"/>
  <c r="K1969" i="7"/>
  <c r="K1970" i="7"/>
  <c r="K1971" i="7"/>
  <c r="K1972" i="7"/>
  <c r="K1973" i="7"/>
  <c r="K1974" i="7"/>
  <c r="K1975" i="7"/>
  <c r="K1976" i="7"/>
  <c r="K1977" i="7"/>
  <c r="K1978" i="7"/>
  <c r="K1979" i="7"/>
  <c r="K1980" i="7"/>
  <c r="K1981" i="7"/>
  <c r="K1982" i="7"/>
  <c r="K1983" i="7"/>
  <c r="K1984" i="7"/>
  <c r="K1985" i="7"/>
  <c r="K1986" i="7"/>
  <c r="K1987" i="7"/>
  <c r="K1988" i="7"/>
  <c r="K1989" i="7"/>
  <c r="K1990" i="7"/>
  <c r="K1991" i="7"/>
  <c r="K1992" i="7"/>
  <c r="K1993" i="7"/>
  <c r="K1994" i="7"/>
  <c r="K1995" i="7"/>
  <c r="K1996" i="7"/>
  <c r="K1997" i="7"/>
  <c r="K1998" i="7"/>
  <c r="K1999" i="7"/>
  <c r="K2000" i="7"/>
  <c r="K2001" i="7"/>
  <c r="K2002" i="7"/>
  <c r="K2003" i="7"/>
  <c r="K2004" i="7"/>
  <c r="K2005" i="7"/>
  <c r="K2006" i="7"/>
  <c r="K2007" i="7"/>
  <c r="K2008" i="7"/>
  <c r="K2009" i="7"/>
  <c r="K2010" i="7"/>
  <c r="K2011" i="7"/>
  <c r="K2012" i="7"/>
  <c r="K2013" i="7"/>
  <c r="K2014" i="7"/>
  <c r="K2015" i="7"/>
  <c r="K2016" i="7"/>
  <c r="K2017" i="7"/>
  <c r="K2018" i="7"/>
  <c r="K2019" i="7"/>
  <c r="K2020" i="7"/>
  <c r="K2021" i="7"/>
  <c r="K2022" i="7"/>
  <c r="K2023" i="7"/>
  <c r="K2024" i="7"/>
  <c r="K2025" i="7"/>
  <c r="K2026" i="7"/>
  <c r="K2027" i="7"/>
  <c r="K2028" i="7"/>
  <c r="K2029" i="7"/>
  <c r="K2030" i="7"/>
  <c r="K2031" i="7"/>
  <c r="K2032" i="7"/>
  <c r="K2033" i="7"/>
  <c r="K2034" i="7"/>
  <c r="K2035" i="7"/>
  <c r="K2036" i="7"/>
  <c r="K2037" i="7"/>
  <c r="K2038" i="7"/>
  <c r="K2039" i="7"/>
  <c r="K2040" i="7"/>
  <c r="K2041" i="7"/>
  <c r="K2042" i="7"/>
  <c r="K2043" i="7"/>
  <c r="K2044" i="7"/>
  <c r="K2045" i="7"/>
  <c r="K2046" i="7"/>
  <c r="K2047" i="7"/>
  <c r="K2048" i="7"/>
  <c r="K3" i="7"/>
  <c r="J4" i="7"/>
  <c r="L4" i="7" s="1"/>
  <c r="J5" i="7"/>
  <c r="J6" i="7"/>
  <c r="J7" i="7"/>
  <c r="J8" i="7"/>
  <c r="J9" i="7"/>
  <c r="J10" i="7"/>
  <c r="J11" i="7"/>
  <c r="J12" i="7"/>
  <c r="L12" i="7" s="1"/>
  <c r="J13" i="7"/>
  <c r="L13" i="7" s="1"/>
  <c r="J14" i="7"/>
  <c r="L14" i="7" s="1"/>
  <c r="J15" i="7"/>
  <c r="J16" i="7"/>
  <c r="L16" i="7" s="1"/>
  <c r="J17" i="7"/>
  <c r="J18" i="7"/>
  <c r="J19" i="7"/>
  <c r="J20" i="7"/>
  <c r="J21" i="7"/>
  <c r="J22" i="7"/>
  <c r="J23" i="7"/>
  <c r="J24" i="7"/>
  <c r="J25" i="7"/>
  <c r="L25" i="7" s="1"/>
  <c r="J26" i="7"/>
  <c r="L26" i="7" s="1"/>
  <c r="J27" i="7"/>
  <c r="J28" i="7"/>
  <c r="L28" i="7" s="1"/>
  <c r="J29" i="7"/>
  <c r="J30" i="7"/>
  <c r="J31" i="7"/>
  <c r="J32" i="7"/>
  <c r="J33" i="7"/>
  <c r="J34" i="7"/>
  <c r="J35" i="7"/>
  <c r="J36" i="7"/>
  <c r="L36" i="7" s="1"/>
  <c r="J37" i="7"/>
  <c r="L37" i="7" s="1"/>
  <c r="J38" i="7"/>
  <c r="L38" i="7" s="1"/>
  <c r="J39" i="7"/>
  <c r="J40" i="7"/>
  <c r="L40" i="7" s="1"/>
  <c r="J41" i="7"/>
  <c r="J42" i="7"/>
  <c r="J43" i="7"/>
  <c r="J44" i="7"/>
  <c r="J45" i="7"/>
  <c r="J46" i="7"/>
  <c r="J47" i="7"/>
  <c r="J48" i="7"/>
  <c r="L48" i="7" s="1"/>
  <c r="J49" i="7"/>
  <c r="L49" i="7" s="1"/>
  <c r="J50" i="7"/>
  <c r="L50" i="7" s="1"/>
  <c r="J51" i="7"/>
  <c r="J52" i="7"/>
  <c r="L52" i="7" s="1"/>
  <c r="J53" i="7"/>
  <c r="J54" i="7"/>
  <c r="J55" i="7"/>
  <c r="J56" i="7"/>
  <c r="J57" i="7"/>
  <c r="J58" i="7"/>
  <c r="J59" i="7"/>
  <c r="J60" i="7"/>
  <c r="L60" i="7" s="1"/>
  <c r="J61" i="7"/>
  <c r="L61" i="7" s="1"/>
  <c r="J62" i="7"/>
  <c r="L62" i="7" s="1"/>
  <c r="J63" i="7"/>
  <c r="J64" i="7"/>
  <c r="J65" i="7"/>
  <c r="J66" i="7"/>
  <c r="J67" i="7"/>
  <c r="J68" i="7"/>
  <c r="J69" i="7"/>
  <c r="J70" i="7"/>
  <c r="J71" i="7"/>
  <c r="J72" i="7"/>
  <c r="L72" i="7" s="1"/>
  <c r="J73" i="7"/>
  <c r="L73" i="7" s="1"/>
  <c r="J74" i="7"/>
  <c r="L74" i="7" s="1"/>
  <c r="J75" i="7"/>
  <c r="J76" i="7"/>
  <c r="L76" i="7" s="1"/>
  <c r="J77" i="7"/>
  <c r="J78" i="7"/>
  <c r="J79" i="7"/>
  <c r="J80" i="7"/>
  <c r="J81" i="7"/>
  <c r="J82" i="7"/>
  <c r="J83" i="7"/>
  <c r="J84" i="7"/>
  <c r="L84" i="7" s="1"/>
  <c r="J85" i="7"/>
  <c r="L85" i="7" s="1"/>
  <c r="J86" i="7"/>
  <c r="L86" i="7" s="1"/>
  <c r="J87" i="7"/>
  <c r="J88" i="7"/>
  <c r="L88" i="7" s="1"/>
  <c r="J89" i="7"/>
  <c r="J90" i="7"/>
  <c r="J91" i="7"/>
  <c r="J92" i="7"/>
  <c r="J93" i="7"/>
  <c r="J94" i="7"/>
  <c r="J95" i="7"/>
  <c r="J96" i="7"/>
  <c r="L96" i="7" s="1"/>
  <c r="J97" i="7"/>
  <c r="L97" i="7" s="1"/>
  <c r="J98" i="7"/>
  <c r="L98" i="7" s="1"/>
  <c r="J99" i="7"/>
  <c r="J100" i="7"/>
  <c r="L100" i="7" s="1"/>
  <c r="J101" i="7"/>
  <c r="J102" i="7"/>
  <c r="J103" i="7"/>
  <c r="J104" i="7"/>
  <c r="J105" i="7"/>
  <c r="J106" i="7"/>
  <c r="J107" i="7"/>
  <c r="J108" i="7"/>
  <c r="L108" i="7" s="1"/>
  <c r="J109" i="7"/>
  <c r="L109" i="7" s="1"/>
  <c r="J110" i="7"/>
  <c r="L110" i="7" s="1"/>
  <c r="J111" i="7"/>
  <c r="J112" i="7"/>
  <c r="L112" i="7" s="1"/>
  <c r="J113" i="7"/>
  <c r="J114" i="7"/>
  <c r="J115" i="7"/>
  <c r="J116" i="7"/>
  <c r="J117" i="7"/>
  <c r="J118" i="7"/>
  <c r="J119" i="7"/>
  <c r="J120" i="7"/>
  <c r="L120" i="7" s="1"/>
  <c r="J121" i="7"/>
  <c r="L121" i="7" s="1"/>
  <c r="J122" i="7"/>
  <c r="L122" i="7" s="1"/>
  <c r="J123" i="7"/>
  <c r="J124" i="7"/>
  <c r="L124" i="7" s="1"/>
  <c r="J125" i="7"/>
  <c r="J126" i="7"/>
  <c r="J127" i="7"/>
  <c r="J128" i="7"/>
  <c r="J129" i="7"/>
  <c r="J130" i="7"/>
  <c r="J131" i="7"/>
  <c r="J132" i="7"/>
  <c r="L132" i="7" s="1"/>
  <c r="J133" i="7"/>
  <c r="L133" i="7" s="1"/>
  <c r="J134" i="7"/>
  <c r="L134" i="7" s="1"/>
  <c r="J135" i="7"/>
  <c r="J136" i="7"/>
  <c r="J137" i="7"/>
  <c r="J138" i="7"/>
  <c r="J139" i="7"/>
  <c r="J140" i="7"/>
  <c r="J141" i="7"/>
  <c r="J142" i="7"/>
  <c r="J143" i="7"/>
  <c r="J144" i="7"/>
  <c r="L144" i="7" s="1"/>
  <c r="J145" i="7"/>
  <c r="L145" i="7" s="1"/>
  <c r="J146" i="7"/>
  <c r="L146" i="7" s="1"/>
  <c r="J147" i="7"/>
  <c r="L147" i="7" s="1"/>
  <c r="J148" i="7"/>
  <c r="J149" i="7"/>
  <c r="J150" i="7"/>
  <c r="J151" i="7"/>
  <c r="J152" i="7"/>
  <c r="J153" i="7"/>
  <c r="J154" i="7"/>
  <c r="J155" i="7"/>
  <c r="J156" i="7"/>
  <c r="L156" i="7" s="1"/>
  <c r="J157" i="7"/>
  <c r="L157" i="7" s="1"/>
  <c r="J158" i="7"/>
  <c r="L158" i="7" s="1"/>
  <c r="J159" i="7"/>
  <c r="L159" i="7" s="1"/>
  <c r="J160" i="7"/>
  <c r="L160" i="7" s="1"/>
  <c r="J161" i="7"/>
  <c r="J162" i="7"/>
  <c r="J163" i="7"/>
  <c r="J164" i="7"/>
  <c r="J165" i="7"/>
  <c r="J166" i="7"/>
  <c r="J167" i="7"/>
  <c r="J168" i="7"/>
  <c r="L168" i="7" s="1"/>
  <c r="J169" i="7"/>
  <c r="L169" i="7" s="1"/>
  <c r="J170" i="7"/>
  <c r="L170" i="7" s="1"/>
  <c r="J171" i="7"/>
  <c r="L171" i="7" s="1"/>
  <c r="J172" i="7"/>
  <c r="L172" i="7" s="1"/>
  <c r="J173" i="7"/>
  <c r="J174" i="7"/>
  <c r="J175" i="7"/>
  <c r="J176" i="7"/>
  <c r="J177" i="7"/>
  <c r="J178" i="7"/>
  <c r="L178" i="7" s="1"/>
  <c r="J179" i="7"/>
  <c r="J180" i="7"/>
  <c r="L180" i="7" s="1"/>
  <c r="J181" i="7"/>
  <c r="J182" i="7"/>
  <c r="J183" i="7"/>
  <c r="L183" i="7" s="1"/>
  <c r="J184" i="7"/>
  <c r="L184" i="7" s="1"/>
  <c r="J185" i="7"/>
  <c r="J186" i="7"/>
  <c r="J187" i="7"/>
  <c r="J188" i="7"/>
  <c r="J189" i="7"/>
  <c r="J190" i="7"/>
  <c r="J191" i="7"/>
  <c r="J192" i="7"/>
  <c r="L192" i="7" s="1"/>
  <c r="J193" i="7"/>
  <c r="L193" i="7" s="1"/>
  <c r="J194" i="7"/>
  <c r="L194" i="7" s="1"/>
  <c r="J195" i="7"/>
  <c r="L195" i="7" s="1"/>
  <c r="J196" i="7"/>
  <c r="L196" i="7" s="1"/>
  <c r="J197" i="7"/>
  <c r="L197" i="7" s="1"/>
  <c r="J198" i="7"/>
  <c r="J199" i="7"/>
  <c r="J200" i="7"/>
  <c r="J201" i="7"/>
  <c r="J202" i="7"/>
  <c r="J203" i="7"/>
  <c r="J204" i="7"/>
  <c r="L204" i="7" s="1"/>
  <c r="J205" i="7"/>
  <c r="L205" i="7" s="1"/>
  <c r="J206" i="7"/>
  <c r="L206" i="7" s="1"/>
  <c r="J207" i="7"/>
  <c r="J208" i="7"/>
  <c r="L208" i="7" s="1"/>
  <c r="J209" i="7"/>
  <c r="L209" i="7" s="1"/>
  <c r="J210" i="7"/>
  <c r="J211" i="7"/>
  <c r="J212" i="7"/>
  <c r="J213" i="7"/>
  <c r="J214" i="7"/>
  <c r="J215" i="7"/>
  <c r="J216" i="7"/>
  <c r="L216" i="7" s="1"/>
  <c r="J217" i="7"/>
  <c r="J218" i="7"/>
  <c r="L218" i="7" s="1"/>
  <c r="J219" i="7"/>
  <c r="J220" i="7"/>
  <c r="L220" i="7" s="1"/>
  <c r="J221" i="7"/>
  <c r="J222" i="7"/>
  <c r="J223" i="7"/>
  <c r="J224" i="7"/>
  <c r="J225" i="7"/>
  <c r="J226" i="7"/>
  <c r="L226" i="7" s="1"/>
  <c r="J227" i="7"/>
  <c r="J228" i="7"/>
  <c r="L228" i="7" s="1"/>
  <c r="J229" i="7"/>
  <c r="L229" i="7" s="1"/>
  <c r="J230" i="7"/>
  <c r="L230" i="7" s="1"/>
  <c r="J231" i="7"/>
  <c r="J232" i="7"/>
  <c r="L232" i="7" s="1"/>
  <c r="J233" i="7"/>
  <c r="J234" i="7"/>
  <c r="J235" i="7"/>
  <c r="L235" i="7" s="1"/>
  <c r="J236" i="7"/>
  <c r="J237" i="7"/>
  <c r="J238" i="7"/>
  <c r="J239" i="7"/>
  <c r="J240" i="7"/>
  <c r="L240" i="7" s="1"/>
  <c r="J241" i="7"/>
  <c r="L241" i="7" s="1"/>
  <c r="J242" i="7"/>
  <c r="L242" i="7" s="1"/>
  <c r="J243" i="7"/>
  <c r="J244" i="7"/>
  <c r="L244" i="7" s="1"/>
  <c r="J245" i="7"/>
  <c r="L245" i="7" s="1"/>
  <c r="J246" i="7"/>
  <c r="J247" i="7"/>
  <c r="J248" i="7"/>
  <c r="J249" i="7"/>
  <c r="J250" i="7"/>
  <c r="J251" i="7"/>
  <c r="J252" i="7"/>
  <c r="L252" i="7" s="1"/>
  <c r="J253" i="7"/>
  <c r="L253" i="7" s="1"/>
  <c r="J254" i="7"/>
  <c r="L254" i="7" s="1"/>
  <c r="J255" i="7"/>
  <c r="L255" i="7" s="1"/>
  <c r="J256" i="7"/>
  <c r="L256" i="7" s="1"/>
  <c r="J257" i="7"/>
  <c r="J258" i="7"/>
  <c r="J259" i="7"/>
  <c r="J260" i="7"/>
  <c r="J261" i="7"/>
  <c r="J262" i="7"/>
  <c r="J263" i="7"/>
  <c r="L263" i="7" s="1"/>
  <c r="J264" i="7"/>
  <c r="J265" i="7"/>
  <c r="L265" i="7" s="1"/>
  <c r="J266" i="7"/>
  <c r="L266" i="7" s="1"/>
  <c r="J267" i="7"/>
  <c r="L267" i="7" s="1"/>
  <c r="J268" i="7"/>
  <c r="L268" i="7" s="1"/>
  <c r="J269" i="7"/>
  <c r="J270" i="7"/>
  <c r="J271" i="7"/>
  <c r="J272" i="7"/>
  <c r="J273" i="7"/>
  <c r="J274" i="7"/>
  <c r="J275" i="7"/>
  <c r="J276" i="7"/>
  <c r="L276" i="7" s="1"/>
  <c r="J277" i="7"/>
  <c r="L277" i="7" s="1"/>
  <c r="J278" i="7"/>
  <c r="L278" i="7" s="1"/>
  <c r="J279" i="7"/>
  <c r="J280" i="7"/>
  <c r="J281" i="7"/>
  <c r="L281" i="7" s="1"/>
  <c r="J282" i="7"/>
  <c r="J283" i="7"/>
  <c r="J284" i="7"/>
  <c r="J285" i="7"/>
  <c r="J286" i="7"/>
  <c r="J287" i="7"/>
  <c r="J288" i="7"/>
  <c r="J289" i="7"/>
  <c r="J290" i="7"/>
  <c r="L290" i="7" s="1"/>
  <c r="J291" i="7"/>
  <c r="J292" i="7"/>
  <c r="L292" i="7" s="1"/>
  <c r="J293" i="7"/>
  <c r="L293" i="7" s="1"/>
  <c r="J294" i="7"/>
  <c r="J295" i="7"/>
  <c r="J296" i="7"/>
  <c r="J297" i="7"/>
  <c r="J298" i="7"/>
  <c r="J299" i="7"/>
  <c r="J300" i="7"/>
  <c r="L300" i="7" s="1"/>
  <c r="J301" i="7"/>
  <c r="L301" i="7" s="1"/>
  <c r="J302" i="7"/>
  <c r="L302" i="7" s="1"/>
  <c r="J303" i="7"/>
  <c r="L303" i="7" s="1"/>
  <c r="J304" i="7"/>
  <c r="J305" i="7"/>
  <c r="J306" i="7"/>
  <c r="J307" i="7"/>
  <c r="L307" i="7" s="1"/>
  <c r="J308" i="7"/>
  <c r="J309" i="7"/>
  <c r="J310" i="7"/>
  <c r="L310" i="7" s="1"/>
  <c r="J311" i="7"/>
  <c r="L311" i="7" s="1"/>
  <c r="J312" i="7"/>
  <c r="J313" i="7"/>
  <c r="L313" i="7" s="1"/>
  <c r="J314" i="7"/>
  <c r="L314" i="7" s="1"/>
  <c r="J315" i="7"/>
  <c r="L315" i="7" s="1"/>
  <c r="J316" i="7"/>
  <c r="L316" i="7" s="1"/>
  <c r="J317" i="7"/>
  <c r="J318" i="7"/>
  <c r="J319" i="7"/>
  <c r="J320" i="7"/>
  <c r="J321" i="7"/>
  <c r="J322" i="7"/>
  <c r="J323" i="7"/>
  <c r="J324" i="7"/>
  <c r="L324" i="7" s="1"/>
  <c r="J325" i="7"/>
  <c r="L325" i="7" s="1"/>
  <c r="J326" i="7"/>
  <c r="L326" i="7" s="1"/>
  <c r="J327" i="7"/>
  <c r="J328" i="7"/>
  <c r="L328" i="7" s="1"/>
  <c r="J329" i="7"/>
  <c r="J330" i="7"/>
  <c r="J331" i="7"/>
  <c r="J332" i="7"/>
  <c r="J333" i="7"/>
  <c r="J334" i="7"/>
  <c r="J335" i="7"/>
  <c r="L335" i="7" s="1"/>
  <c r="J336" i="7"/>
  <c r="L336" i="7" s="1"/>
  <c r="J337" i="7"/>
  <c r="L337" i="7" s="1"/>
  <c r="J338" i="7"/>
  <c r="L338" i="7" s="1"/>
  <c r="J339" i="7"/>
  <c r="J340" i="7"/>
  <c r="L340" i="7" s="1"/>
  <c r="J341" i="7"/>
  <c r="L341" i="7" s="1"/>
  <c r="J342" i="7"/>
  <c r="J343" i="7"/>
  <c r="J344" i="7"/>
  <c r="J345" i="7"/>
  <c r="J346" i="7"/>
  <c r="J347" i="7"/>
  <c r="J348" i="7"/>
  <c r="L348" i="7" s="1"/>
  <c r="J349" i="7"/>
  <c r="L349" i="7" s="1"/>
  <c r="J350" i="7"/>
  <c r="L350" i="7" s="1"/>
  <c r="J351" i="7"/>
  <c r="J352" i="7"/>
  <c r="J353" i="7"/>
  <c r="J354" i="7"/>
  <c r="J355" i="7"/>
  <c r="L355" i="7" s="1"/>
  <c r="J356" i="7"/>
  <c r="J357" i="7"/>
  <c r="J358" i="7"/>
  <c r="J359" i="7"/>
  <c r="L359" i="7" s="1"/>
  <c r="J360" i="7"/>
  <c r="L360" i="7" s="1"/>
  <c r="J361" i="7"/>
  <c r="L361" i="7" s="1"/>
  <c r="J362" i="7"/>
  <c r="L362" i="7" s="1"/>
  <c r="J363" i="7"/>
  <c r="L363" i="7" s="1"/>
  <c r="J364" i="7"/>
  <c r="L364" i="7" s="1"/>
  <c r="J365" i="7"/>
  <c r="J366" i="7"/>
  <c r="J367" i="7"/>
  <c r="J368" i="7"/>
  <c r="J369" i="7"/>
  <c r="J370" i="7"/>
  <c r="J371" i="7"/>
  <c r="J372" i="7"/>
  <c r="L372" i="7" s="1"/>
  <c r="J373" i="7"/>
  <c r="L373" i="7" s="1"/>
  <c r="J374" i="7"/>
  <c r="J375" i="7"/>
  <c r="J376" i="7"/>
  <c r="L376" i="7" s="1"/>
  <c r="J377" i="7"/>
  <c r="L377" i="7" s="1"/>
  <c r="J378" i="7"/>
  <c r="J379" i="7"/>
  <c r="J380" i="7"/>
  <c r="J381" i="7"/>
  <c r="J382" i="7"/>
  <c r="J383" i="7"/>
  <c r="J384" i="7"/>
  <c r="L384" i="7" s="1"/>
  <c r="J385" i="7"/>
  <c r="L385" i="7" s="1"/>
  <c r="J386" i="7"/>
  <c r="L386" i="7" s="1"/>
  <c r="J387" i="7"/>
  <c r="J388" i="7"/>
  <c r="L388" i="7" s="1"/>
  <c r="J389" i="7"/>
  <c r="J390" i="7"/>
  <c r="J391" i="7"/>
  <c r="J392" i="7"/>
  <c r="J393" i="7"/>
  <c r="J394" i="7"/>
  <c r="L394" i="7" s="1"/>
  <c r="J395" i="7"/>
  <c r="J396" i="7"/>
  <c r="L396" i="7" s="1"/>
  <c r="J397" i="7"/>
  <c r="J398" i="7"/>
  <c r="J399" i="7"/>
  <c r="J400" i="7"/>
  <c r="L400" i="7" s="1"/>
  <c r="J401" i="7"/>
  <c r="L401" i="7" s="1"/>
  <c r="J402" i="7"/>
  <c r="J403" i="7"/>
  <c r="J404" i="7"/>
  <c r="J405" i="7"/>
  <c r="J406" i="7"/>
  <c r="J407" i="7"/>
  <c r="J408" i="7"/>
  <c r="L408" i="7" s="1"/>
  <c r="J409" i="7"/>
  <c r="L409" i="7" s="1"/>
  <c r="J410" i="7"/>
  <c r="L410" i="7" s="1"/>
  <c r="J411" i="7"/>
  <c r="J412" i="7"/>
  <c r="L412" i="7" s="1"/>
  <c r="J413" i="7"/>
  <c r="J414" i="7"/>
  <c r="J415" i="7"/>
  <c r="L415" i="7" s="1"/>
  <c r="J416" i="7"/>
  <c r="J417" i="7"/>
  <c r="J418" i="7"/>
  <c r="J419" i="7"/>
  <c r="J420" i="7"/>
  <c r="L420" i="7" s="1"/>
  <c r="J421" i="7"/>
  <c r="L421" i="7" s="1"/>
  <c r="J422" i="7"/>
  <c r="L422" i="7" s="1"/>
  <c r="J423" i="7"/>
  <c r="L423" i="7" s="1"/>
  <c r="J424" i="7"/>
  <c r="L424" i="7" s="1"/>
  <c r="J425" i="7"/>
  <c r="J426" i="7"/>
  <c r="J427" i="7"/>
  <c r="J428" i="7"/>
  <c r="J429" i="7"/>
  <c r="L429" i="7" s="1"/>
  <c r="J430" i="7"/>
  <c r="L430" i="7" s="1"/>
  <c r="J431" i="7"/>
  <c r="L431" i="7" s="1"/>
  <c r="J432" i="7"/>
  <c r="L432" i="7" s="1"/>
  <c r="J433" i="7"/>
  <c r="L433" i="7" s="1"/>
  <c r="J434" i="7"/>
  <c r="L434" i="7" s="1"/>
  <c r="J435" i="7"/>
  <c r="J436" i="7"/>
  <c r="L436" i="7" s="1"/>
  <c r="J437" i="7"/>
  <c r="L437" i="7" s="1"/>
  <c r="J438" i="7"/>
  <c r="J439" i="7"/>
  <c r="J440" i="7"/>
  <c r="J441" i="7"/>
  <c r="J442" i="7"/>
  <c r="J443" i="7"/>
  <c r="J444" i="7"/>
  <c r="L444" i="7" s="1"/>
  <c r="J445" i="7"/>
  <c r="L445" i="7" s="1"/>
  <c r="J446" i="7"/>
  <c r="L446" i="7" s="1"/>
  <c r="J447" i="7"/>
  <c r="J448" i="7"/>
  <c r="L448" i="7" s="1"/>
  <c r="J449" i="7"/>
  <c r="J450" i="7"/>
  <c r="J451" i="7"/>
  <c r="J452" i="7"/>
  <c r="J453" i="7"/>
  <c r="J454" i="7"/>
  <c r="J455" i="7"/>
  <c r="J456" i="7"/>
  <c r="J457" i="7"/>
  <c r="J458" i="7"/>
  <c r="L458" i="7" s="1"/>
  <c r="J459" i="7"/>
  <c r="J460" i="7"/>
  <c r="L460" i="7" s="1"/>
  <c r="J461" i="7"/>
  <c r="J462" i="7"/>
  <c r="J463" i="7"/>
  <c r="J464" i="7"/>
  <c r="J465" i="7"/>
  <c r="L465" i="7" s="1"/>
  <c r="J466" i="7"/>
  <c r="J467" i="7"/>
  <c r="L467" i="7" s="1"/>
  <c r="J468" i="7"/>
  <c r="L468" i="7" s="1"/>
  <c r="J469" i="7"/>
  <c r="L469" i="7" s="1"/>
  <c r="J470" i="7"/>
  <c r="L470" i="7" s="1"/>
  <c r="J471" i="7"/>
  <c r="J472" i="7"/>
  <c r="L472" i="7" s="1"/>
  <c r="J473" i="7"/>
  <c r="L473" i="7" s="1"/>
  <c r="J474" i="7"/>
  <c r="J475" i="7"/>
  <c r="J476" i="7"/>
  <c r="J477" i="7"/>
  <c r="J478" i="7"/>
  <c r="L478" i="7" s="1"/>
  <c r="J479" i="7"/>
  <c r="J480" i="7"/>
  <c r="J481" i="7"/>
  <c r="L481" i="7" s="1"/>
  <c r="J482" i="7"/>
  <c r="L482" i="7" s="1"/>
  <c r="J483" i="7"/>
  <c r="J484" i="7"/>
  <c r="L484" i="7" s="1"/>
  <c r="J485" i="7"/>
  <c r="J486" i="7"/>
  <c r="J487" i="7"/>
  <c r="L487" i="7" s="1"/>
  <c r="J488" i="7"/>
  <c r="J489" i="7"/>
  <c r="J490" i="7"/>
  <c r="J491" i="7"/>
  <c r="J492" i="7"/>
  <c r="J493" i="7"/>
  <c r="L493" i="7" s="1"/>
  <c r="J494" i="7"/>
  <c r="L494" i="7" s="1"/>
  <c r="J495" i="7"/>
  <c r="L495" i="7" s="1"/>
  <c r="J496" i="7"/>
  <c r="L496" i="7" s="1"/>
  <c r="J497" i="7"/>
  <c r="L497" i="7" s="1"/>
  <c r="J498" i="7"/>
  <c r="J499" i="7"/>
  <c r="J500" i="7"/>
  <c r="J501" i="7"/>
  <c r="J502" i="7"/>
  <c r="J503" i="7"/>
  <c r="J504" i="7"/>
  <c r="L504" i="7" s="1"/>
  <c r="J505" i="7"/>
  <c r="L505" i="7" s="1"/>
  <c r="J506" i="7"/>
  <c r="J507" i="7"/>
  <c r="J508" i="7"/>
  <c r="J509" i="7"/>
  <c r="L509" i="7" s="1"/>
  <c r="J510" i="7"/>
  <c r="J511" i="7"/>
  <c r="L511" i="7" s="1"/>
  <c r="J512" i="7"/>
  <c r="J513" i="7"/>
  <c r="J514" i="7"/>
  <c r="J515" i="7"/>
  <c r="L515" i="7" s="1"/>
  <c r="J516" i="7"/>
  <c r="L516" i="7" s="1"/>
  <c r="J517" i="7"/>
  <c r="L517" i="7" s="1"/>
  <c r="J518" i="7"/>
  <c r="L518" i="7" s="1"/>
  <c r="J519" i="7"/>
  <c r="J520" i="7"/>
  <c r="L520" i="7" s="1"/>
  <c r="J521" i="7"/>
  <c r="J522" i="7"/>
  <c r="J523" i="7"/>
  <c r="J524" i="7"/>
  <c r="J525" i="7"/>
  <c r="L525" i="7" s="1"/>
  <c r="J526" i="7"/>
  <c r="J527" i="7"/>
  <c r="J528" i="7"/>
  <c r="L528" i="7" s="1"/>
  <c r="J529" i="7"/>
  <c r="L529" i="7" s="1"/>
  <c r="J530" i="7"/>
  <c r="L530" i="7" s="1"/>
  <c r="J531" i="7"/>
  <c r="J532" i="7"/>
  <c r="J533" i="7"/>
  <c r="L533" i="7" s="1"/>
  <c r="J534" i="7"/>
  <c r="J535" i="7"/>
  <c r="J536" i="7"/>
  <c r="J537" i="7"/>
  <c r="J538" i="7"/>
  <c r="J539" i="7"/>
  <c r="J540" i="7"/>
  <c r="L540" i="7" s="1"/>
  <c r="J541" i="7"/>
  <c r="L541" i="7" s="1"/>
  <c r="J542" i="7"/>
  <c r="L542" i="7" s="1"/>
  <c r="J543" i="7"/>
  <c r="L543" i="7" s="1"/>
  <c r="J544" i="7"/>
  <c r="L544" i="7" s="1"/>
  <c r="J545" i="7"/>
  <c r="L545" i="7" s="1"/>
  <c r="J546" i="7"/>
  <c r="J547" i="7"/>
  <c r="J548" i="7"/>
  <c r="J549" i="7"/>
  <c r="L549" i="7" s="1"/>
  <c r="J550" i="7"/>
  <c r="J551" i="7"/>
  <c r="J552" i="7"/>
  <c r="L552" i="7" s="1"/>
  <c r="J553" i="7"/>
  <c r="L553" i="7" s="1"/>
  <c r="J554" i="7"/>
  <c r="L554" i="7" s="1"/>
  <c r="J555" i="7"/>
  <c r="L555" i="7" s="1"/>
  <c r="J556" i="7"/>
  <c r="J557" i="7"/>
  <c r="L557" i="7" s="1"/>
  <c r="J558" i="7"/>
  <c r="J559" i="7"/>
  <c r="J560" i="7"/>
  <c r="J561" i="7"/>
  <c r="L561" i="7" s="1"/>
  <c r="J562" i="7"/>
  <c r="L562" i="7" s="1"/>
  <c r="J563" i="7"/>
  <c r="L563" i="7" s="1"/>
  <c r="J564" i="7"/>
  <c r="L564" i="7" s="1"/>
  <c r="J565" i="7"/>
  <c r="L565" i="7" s="1"/>
  <c r="J566" i="7"/>
  <c r="L566" i="7" s="1"/>
  <c r="J567" i="7"/>
  <c r="J568" i="7"/>
  <c r="L568" i="7" s="1"/>
  <c r="J569" i="7"/>
  <c r="L569" i="7" s="1"/>
  <c r="J570" i="7"/>
  <c r="J571" i="7"/>
  <c r="J572" i="7"/>
  <c r="J573" i="7"/>
  <c r="J574" i="7"/>
  <c r="J575" i="7"/>
  <c r="J576" i="7"/>
  <c r="L576" i="7" s="1"/>
  <c r="J577" i="7"/>
  <c r="L577" i="7" s="1"/>
  <c r="J578" i="7"/>
  <c r="L578" i="7" s="1"/>
  <c r="J579" i="7"/>
  <c r="J580" i="7"/>
  <c r="L580" i="7" s="1"/>
  <c r="J581" i="7"/>
  <c r="L581" i="7" s="1"/>
  <c r="J582" i="7"/>
  <c r="J583" i="7"/>
  <c r="L583" i="7" s="1"/>
  <c r="J584" i="7"/>
  <c r="J585" i="7"/>
  <c r="J586" i="7"/>
  <c r="J587" i="7"/>
  <c r="J588" i="7"/>
  <c r="L588" i="7" s="1"/>
  <c r="J589" i="7"/>
  <c r="L589" i="7" s="1"/>
  <c r="J590" i="7"/>
  <c r="L590" i="7" s="1"/>
  <c r="J591" i="7"/>
  <c r="J592" i="7"/>
  <c r="J593" i="7"/>
  <c r="J594" i="7"/>
  <c r="J595" i="7"/>
  <c r="L595" i="7" s="1"/>
  <c r="J596" i="7"/>
  <c r="J597" i="7"/>
  <c r="L597" i="7" s="1"/>
  <c r="J598" i="7"/>
  <c r="J599" i="7"/>
  <c r="J600" i="7"/>
  <c r="L600" i="7" s="1"/>
  <c r="J601" i="7"/>
  <c r="L601" i="7" s="1"/>
  <c r="J602" i="7"/>
  <c r="L602" i="7" s="1"/>
  <c r="J603" i="7"/>
  <c r="L603" i="7" s="1"/>
  <c r="J604" i="7"/>
  <c r="J605" i="7"/>
  <c r="L605" i="7" s="1"/>
  <c r="J606" i="7"/>
  <c r="J607" i="7"/>
  <c r="J608" i="7"/>
  <c r="J609" i="7"/>
  <c r="J610" i="7"/>
  <c r="J611" i="7"/>
  <c r="L611" i="7" s="1"/>
  <c r="J612" i="7"/>
  <c r="L612" i="7" s="1"/>
  <c r="J613" i="7"/>
  <c r="L613" i="7" s="1"/>
  <c r="J614" i="7"/>
  <c r="L614" i="7" s="1"/>
  <c r="J615" i="7"/>
  <c r="J616" i="7"/>
  <c r="L616" i="7" s="1"/>
  <c r="J617" i="7"/>
  <c r="J618" i="7"/>
  <c r="J619" i="7"/>
  <c r="L619" i="7" s="1"/>
  <c r="J620" i="7"/>
  <c r="J621" i="7"/>
  <c r="J622" i="7"/>
  <c r="J623" i="7"/>
  <c r="J624" i="7"/>
  <c r="L624" i="7" s="1"/>
  <c r="J625" i="7"/>
  <c r="L625" i="7" s="1"/>
  <c r="J626" i="7"/>
  <c r="J627" i="7"/>
  <c r="L627" i="7" s="1"/>
  <c r="J628" i="7"/>
  <c r="J629" i="7"/>
  <c r="J630" i="7"/>
  <c r="J631" i="7"/>
  <c r="J632" i="7"/>
  <c r="J633" i="7"/>
  <c r="J634" i="7"/>
  <c r="J635" i="7"/>
  <c r="J636" i="7"/>
  <c r="L636" i="7" s="1"/>
  <c r="J637" i="7"/>
  <c r="L637" i="7" s="1"/>
  <c r="J638" i="7"/>
  <c r="L638" i="7" s="1"/>
  <c r="J639" i="7"/>
  <c r="J640" i="7"/>
  <c r="L640" i="7" s="1"/>
  <c r="J641" i="7"/>
  <c r="L641" i="7" s="1"/>
  <c r="J642" i="7"/>
  <c r="J643" i="7"/>
  <c r="J644" i="7"/>
  <c r="J645" i="7"/>
  <c r="J646" i="7"/>
  <c r="L646" i="7" s="1"/>
  <c r="J647" i="7"/>
  <c r="J648" i="7"/>
  <c r="L648" i="7" s="1"/>
  <c r="J649" i="7"/>
  <c r="L649" i="7" s="1"/>
  <c r="J650" i="7"/>
  <c r="L650" i="7" s="1"/>
  <c r="J651" i="7"/>
  <c r="J652" i="7"/>
  <c r="L652" i="7" s="1"/>
  <c r="J653" i="7"/>
  <c r="J654" i="7"/>
  <c r="J655" i="7"/>
  <c r="L655" i="7" s="1"/>
  <c r="J656" i="7"/>
  <c r="J657" i="7"/>
  <c r="J658" i="7"/>
  <c r="J659" i="7"/>
  <c r="J660" i="7"/>
  <c r="L660" i="7" s="1"/>
  <c r="J661" i="7"/>
  <c r="L661" i="7" s="1"/>
  <c r="J662" i="7"/>
  <c r="L662" i="7" s="1"/>
  <c r="J663" i="7"/>
  <c r="J664" i="7"/>
  <c r="L664" i="7" s="1"/>
  <c r="J665" i="7"/>
  <c r="L665" i="7" s="1"/>
  <c r="J666" i="7"/>
  <c r="J667" i="7"/>
  <c r="J668" i="7"/>
  <c r="J669" i="7"/>
  <c r="L669" i="7" s="1"/>
  <c r="J670" i="7"/>
  <c r="J671" i="7"/>
  <c r="J672" i="7"/>
  <c r="L672" i="7" s="1"/>
  <c r="J673" i="7"/>
  <c r="L673" i="7" s="1"/>
  <c r="J674" i="7"/>
  <c r="L674" i="7" s="1"/>
  <c r="J675" i="7"/>
  <c r="J676" i="7"/>
  <c r="J677" i="7"/>
  <c r="J678" i="7"/>
  <c r="J679" i="7"/>
  <c r="J680" i="7"/>
  <c r="J681" i="7"/>
  <c r="J682" i="7"/>
  <c r="J683" i="7"/>
  <c r="J684" i="7"/>
  <c r="J685" i="7"/>
  <c r="L685" i="7" s="1"/>
  <c r="J686" i="7"/>
  <c r="L686" i="7" s="1"/>
  <c r="J687" i="7"/>
  <c r="J688" i="7"/>
  <c r="L688" i="7" s="1"/>
  <c r="J689" i="7"/>
  <c r="L689" i="7" s="1"/>
  <c r="J690" i="7"/>
  <c r="J691" i="7"/>
  <c r="J692" i="7"/>
  <c r="J693" i="7"/>
  <c r="J694" i="7"/>
  <c r="J695" i="7"/>
  <c r="L695" i="7" s="1"/>
  <c r="J696" i="7"/>
  <c r="L696" i="7" s="1"/>
  <c r="J697" i="7"/>
  <c r="L697" i="7" s="1"/>
  <c r="J698" i="7"/>
  <c r="J699" i="7"/>
  <c r="J700" i="7"/>
  <c r="L700" i="7" s="1"/>
  <c r="J701" i="7"/>
  <c r="J702" i="7"/>
  <c r="J703" i="7"/>
  <c r="L703" i="7" s="1"/>
  <c r="J704" i="7"/>
  <c r="J705" i="7"/>
  <c r="L705" i="7" s="1"/>
  <c r="J706" i="7"/>
  <c r="L706" i="7" s="1"/>
  <c r="J707" i="7"/>
  <c r="L707" i="7" s="1"/>
  <c r="J708" i="7"/>
  <c r="L708" i="7" s="1"/>
  <c r="J709" i="7"/>
  <c r="L709" i="7" s="1"/>
  <c r="J710" i="7"/>
  <c r="L710" i="7" s="1"/>
  <c r="J711" i="7"/>
  <c r="L711" i="7" s="1"/>
  <c r="J712" i="7"/>
  <c r="L712" i="7" s="1"/>
  <c r="J713" i="7"/>
  <c r="L713" i="7" s="1"/>
  <c r="J714" i="7"/>
  <c r="J715" i="7"/>
  <c r="J716" i="7"/>
  <c r="J717" i="7"/>
  <c r="J718" i="7"/>
  <c r="J719" i="7"/>
  <c r="J720" i="7"/>
  <c r="L720" i="7" s="1"/>
  <c r="J721" i="7"/>
  <c r="J722" i="7"/>
  <c r="L722" i="7" s="1"/>
  <c r="J723" i="7"/>
  <c r="J724" i="7"/>
  <c r="L724" i="7" s="1"/>
  <c r="J725" i="7"/>
  <c r="L725" i="7" s="1"/>
  <c r="J726" i="7"/>
  <c r="J727" i="7"/>
  <c r="L727" i="7" s="1"/>
  <c r="J728" i="7"/>
  <c r="J729" i="7"/>
  <c r="J730" i="7"/>
  <c r="J731" i="7"/>
  <c r="J732" i="7"/>
  <c r="L732" i="7" s="1"/>
  <c r="J733" i="7"/>
  <c r="L733" i="7" s="1"/>
  <c r="J734" i="7"/>
  <c r="L734" i="7" s="1"/>
  <c r="J735" i="7"/>
  <c r="J736" i="7"/>
  <c r="L736" i="7" s="1"/>
  <c r="J737" i="7"/>
  <c r="J738" i="7"/>
  <c r="J739" i="7"/>
  <c r="L739" i="7" s="1"/>
  <c r="J740" i="7"/>
  <c r="J741" i="7"/>
  <c r="J742" i="7"/>
  <c r="J743" i="7"/>
  <c r="J744" i="7"/>
  <c r="L744" i="7" s="1"/>
  <c r="J745" i="7"/>
  <c r="L745" i="7" s="1"/>
  <c r="J746" i="7"/>
  <c r="J747" i="7"/>
  <c r="J748" i="7"/>
  <c r="L748" i="7" s="1"/>
  <c r="J749" i="7"/>
  <c r="L749" i="7" s="1"/>
  <c r="J750" i="7"/>
  <c r="J751" i="7"/>
  <c r="J752" i="7"/>
  <c r="J753" i="7"/>
  <c r="J754" i="7"/>
  <c r="J755" i="7"/>
  <c r="J756" i="7"/>
  <c r="L756" i="7" s="1"/>
  <c r="J757" i="7"/>
  <c r="L757" i="7" s="1"/>
  <c r="J758" i="7"/>
  <c r="L758" i="7" s="1"/>
  <c r="J759" i="7"/>
  <c r="J760" i="7"/>
  <c r="L760" i="7" s="1"/>
  <c r="J761" i="7"/>
  <c r="L761" i="7" s="1"/>
  <c r="J762" i="7"/>
  <c r="J763" i="7"/>
  <c r="J764" i="7"/>
  <c r="J765" i="7"/>
  <c r="J766" i="7"/>
  <c r="J767" i="7"/>
  <c r="J768" i="7"/>
  <c r="L768" i="7" s="1"/>
  <c r="J769" i="7"/>
  <c r="L769" i="7" s="1"/>
  <c r="J770" i="7"/>
  <c r="L770" i="7" s="1"/>
  <c r="J771" i="7"/>
  <c r="J772" i="7"/>
  <c r="L772" i="7" s="1"/>
  <c r="J773" i="7"/>
  <c r="J774" i="7"/>
  <c r="J775" i="7"/>
  <c r="L775" i="7" s="1"/>
  <c r="J776" i="7"/>
  <c r="J777" i="7"/>
  <c r="J778" i="7"/>
  <c r="L778" i="7" s="1"/>
  <c r="J779" i="7"/>
  <c r="J780" i="7"/>
  <c r="L780" i="7" s="1"/>
  <c r="J781" i="7"/>
  <c r="J782" i="7"/>
  <c r="L782" i="7" s="1"/>
  <c r="J783" i="7"/>
  <c r="L783" i="7" s="1"/>
  <c r="J784" i="7"/>
  <c r="L784" i="7" s="1"/>
  <c r="J785" i="7"/>
  <c r="L785" i="7" s="1"/>
  <c r="J786" i="7"/>
  <c r="J787" i="7"/>
  <c r="J788" i="7"/>
  <c r="J789" i="7"/>
  <c r="L789" i="7" s="1"/>
  <c r="J790" i="7"/>
  <c r="J791" i="7"/>
  <c r="J792" i="7"/>
  <c r="L792" i="7" s="1"/>
  <c r="J793" i="7"/>
  <c r="L793" i="7" s="1"/>
  <c r="J794" i="7"/>
  <c r="L794" i="7" s="1"/>
  <c r="J795" i="7"/>
  <c r="J796" i="7"/>
  <c r="L796" i="7" s="1"/>
  <c r="J797" i="7"/>
  <c r="L797" i="7" s="1"/>
  <c r="J798" i="7"/>
  <c r="J799" i="7"/>
  <c r="J800" i="7"/>
  <c r="J801" i="7"/>
  <c r="J802" i="7"/>
  <c r="J803" i="7"/>
  <c r="J804" i="7"/>
  <c r="L804" i="7" s="1"/>
  <c r="J805" i="7"/>
  <c r="L805" i="7" s="1"/>
  <c r="J806" i="7"/>
  <c r="J807" i="7"/>
  <c r="J808" i="7"/>
  <c r="J809" i="7"/>
  <c r="J810" i="7"/>
  <c r="L810" i="7" s="1"/>
  <c r="J811" i="7"/>
  <c r="J812" i="7"/>
  <c r="J813" i="7"/>
  <c r="L813" i="7" s="1"/>
  <c r="J814" i="7"/>
  <c r="J815" i="7"/>
  <c r="L815" i="7" s="1"/>
  <c r="J816" i="7"/>
  <c r="L816" i="7" s="1"/>
  <c r="J817" i="7"/>
  <c r="L817" i="7" s="1"/>
  <c r="J818" i="7"/>
  <c r="L818" i="7" s="1"/>
  <c r="J819" i="7"/>
  <c r="J820" i="7"/>
  <c r="L820" i="7" s="1"/>
  <c r="J821" i="7"/>
  <c r="L821" i="7" s="1"/>
  <c r="J822" i="7"/>
  <c r="J823" i="7"/>
  <c r="J824" i="7"/>
  <c r="J825" i="7"/>
  <c r="J826" i="7"/>
  <c r="L826" i="7" s="1"/>
  <c r="J827" i="7"/>
  <c r="J828" i="7"/>
  <c r="L828" i="7" s="1"/>
  <c r="J829" i="7"/>
  <c r="L829" i="7" s="1"/>
  <c r="J830" i="7"/>
  <c r="L830" i="7" s="1"/>
  <c r="J831" i="7"/>
  <c r="L831" i="7" s="1"/>
  <c r="J832" i="7"/>
  <c r="L832" i="7" s="1"/>
  <c r="J833" i="7"/>
  <c r="J834" i="7"/>
  <c r="J835" i="7"/>
  <c r="J836" i="7"/>
  <c r="J837" i="7"/>
  <c r="L837" i="7" s="1"/>
  <c r="J838" i="7"/>
  <c r="L838" i="7" s="1"/>
  <c r="J839" i="7"/>
  <c r="J840" i="7"/>
  <c r="L840" i="7" s="1"/>
  <c r="J841" i="7"/>
  <c r="J842" i="7"/>
  <c r="L842" i="7" s="1"/>
  <c r="J843" i="7"/>
  <c r="L843" i="7" s="1"/>
  <c r="J844" i="7"/>
  <c r="L844" i="7" s="1"/>
  <c r="J845" i="7"/>
  <c r="L845" i="7" s="1"/>
  <c r="J846" i="7"/>
  <c r="J847" i="7"/>
  <c r="L847" i="7" s="1"/>
  <c r="J848" i="7"/>
  <c r="J849" i="7"/>
  <c r="J850" i="7"/>
  <c r="L850" i="7" s="1"/>
  <c r="J851" i="7"/>
  <c r="J852" i="7"/>
  <c r="L852" i="7" s="1"/>
  <c r="J853" i="7"/>
  <c r="L853" i="7" s="1"/>
  <c r="J854" i="7"/>
  <c r="J855" i="7"/>
  <c r="L855" i="7" s="1"/>
  <c r="J856" i="7"/>
  <c r="L856" i="7" s="1"/>
  <c r="J857" i="7"/>
  <c r="J858" i="7"/>
  <c r="J859" i="7"/>
  <c r="L859" i="7" s="1"/>
  <c r="J860" i="7"/>
  <c r="J861" i="7"/>
  <c r="J862" i="7"/>
  <c r="L862" i="7" s="1"/>
  <c r="J863" i="7"/>
  <c r="J864" i="7"/>
  <c r="L864" i="7" s="1"/>
  <c r="J865" i="7"/>
  <c r="J866" i="7"/>
  <c r="L866" i="7" s="1"/>
  <c r="J867" i="7"/>
  <c r="J868" i="7"/>
  <c r="L868" i="7" s="1"/>
  <c r="J869" i="7"/>
  <c r="L869" i="7" s="1"/>
  <c r="J870" i="7"/>
  <c r="J871" i="7"/>
  <c r="J872" i="7"/>
  <c r="J873" i="7"/>
  <c r="L873" i="7" s="1"/>
  <c r="J874" i="7"/>
  <c r="L874" i="7" s="1"/>
  <c r="J875" i="7"/>
  <c r="J876" i="7"/>
  <c r="L876" i="7" s="1"/>
  <c r="J877" i="7"/>
  <c r="L877" i="7" s="1"/>
  <c r="J878" i="7"/>
  <c r="L878" i="7" s="1"/>
  <c r="J879" i="7"/>
  <c r="L879" i="7" s="1"/>
  <c r="J880" i="7"/>
  <c r="L880" i="7" s="1"/>
  <c r="J881" i="7"/>
  <c r="J882" i="7"/>
  <c r="J883" i="7"/>
  <c r="J884" i="7"/>
  <c r="J885" i="7"/>
  <c r="J886" i="7"/>
  <c r="L886" i="7" s="1"/>
  <c r="J887" i="7"/>
  <c r="J888" i="7"/>
  <c r="L888" i="7" s="1"/>
  <c r="J889" i="7"/>
  <c r="J890" i="7"/>
  <c r="L890" i="7" s="1"/>
  <c r="J891" i="7"/>
  <c r="L891" i="7" s="1"/>
  <c r="J892" i="7"/>
  <c r="L892" i="7" s="1"/>
  <c r="J893" i="7"/>
  <c r="L893" i="7" s="1"/>
  <c r="J894" i="7"/>
  <c r="J895" i="7"/>
  <c r="J896" i="7"/>
  <c r="J897" i="7"/>
  <c r="J898" i="7"/>
  <c r="L898" i="7" s="1"/>
  <c r="J899" i="7"/>
  <c r="J900" i="7"/>
  <c r="L900" i="7" s="1"/>
  <c r="J901" i="7"/>
  <c r="J902" i="7"/>
  <c r="J903" i="7"/>
  <c r="L903" i="7" s="1"/>
  <c r="J904" i="7"/>
  <c r="L904" i="7" s="1"/>
  <c r="J905" i="7"/>
  <c r="J906" i="7"/>
  <c r="J907" i="7"/>
  <c r="J908" i="7"/>
  <c r="J909" i="7"/>
  <c r="L909" i="7" s="1"/>
  <c r="J910" i="7"/>
  <c r="L910" i="7" s="1"/>
  <c r="J911" i="7"/>
  <c r="L911" i="7" s="1"/>
  <c r="J912" i="7"/>
  <c r="L912" i="7" s="1"/>
  <c r="J913" i="7"/>
  <c r="J914" i="7"/>
  <c r="L914" i="7" s="1"/>
  <c r="J915" i="7"/>
  <c r="J916" i="7"/>
  <c r="L916" i="7" s="1"/>
  <c r="J917" i="7"/>
  <c r="J918" i="7"/>
  <c r="J919" i="7"/>
  <c r="L919" i="7" s="1"/>
  <c r="J920" i="7"/>
  <c r="J921" i="7"/>
  <c r="J922" i="7"/>
  <c r="J923" i="7"/>
  <c r="L923" i="7" s="1"/>
  <c r="J924" i="7"/>
  <c r="L924" i="7" s="1"/>
  <c r="J925" i="7"/>
  <c r="L925" i="7" s="1"/>
  <c r="J926" i="7"/>
  <c r="L926" i="7" s="1"/>
  <c r="J927" i="7"/>
  <c r="J928" i="7"/>
  <c r="L928" i="7" s="1"/>
  <c r="J929" i="7"/>
  <c r="L929" i="7" s="1"/>
  <c r="J930" i="7"/>
  <c r="J931" i="7"/>
  <c r="L931" i="7" s="1"/>
  <c r="J932" i="7"/>
  <c r="J933" i="7"/>
  <c r="L933" i="7" s="1"/>
  <c r="J934" i="7"/>
  <c r="J935" i="7"/>
  <c r="J936" i="7"/>
  <c r="L936" i="7" s="1"/>
  <c r="J937" i="7"/>
  <c r="L937" i="7" s="1"/>
  <c r="J938" i="7"/>
  <c r="L938" i="7" s="1"/>
  <c r="J939" i="7"/>
  <c r="L939" i="7" s="1"/>
  <c r="J940" i="7"/>
  <c r="L940" i="7" s="1"/>
  <c r="J941" i="7"/>
  <c r="L941" i="7" s="1"/>
  <c r="J942" i="7"/>
  <c r="J943" i="7"/>
  <c r="L943" i="7" s="1"/>
  <c r="J944" i="7"/>
  <c r="J945" i="7"/>
  <c r="J946" i="7"/>
  <c r="L946" i="7" s="1"/>
  <c r="J947" i="7"/>
  <c r="L947" i="7" s="1"/>
  <c r="J948" i="7"/>
  <c r="L948" i="7" s="1"/>
  <c r="J949" i="7"/>
  <c r="L949" i="7" s="1"/>
  <c r="J950" i="7"/>
  <c r="L950" i="7" s="1"/>
  <c r="J951" i="7"/>
  <c r="L951" i="7" s="1"/>
  <c r="J952" i="7"/>
  <c r="L952" i="7" s="1"/>
  <c r="J953" i="7"/>
  <c r="J954" i="7"/>
  <c r="J955" i="7"/>
  <c r="J956" i="7"/>
  <c r="J957" i="7"/>
  <c r="J958" i="7"/>
  <c r="L958" i="7" s="1"/>
  <c r="J959" i="7"/>
  <c r="J960" i="7"/>
  <c r="L960" i="7" s="1"/>
  <c r="J961" i="7"/>
  <c r="L961" i="7" s="1"/>
  <c r="J962" i="7"/>
  <c r="L962" i="7" s="1"/>
  <c r="J963" i="7"/>
  <c r="J964" i="7"/>
  <c r="L964" i="7" s="1"/>
  <c r="J965" i="7"/>
  <c r="J966" i="7"/>
  <c r="L966" i="7" s="1"/>
  <c r="J967" i="7"/>
  <c r="L967" i="7" s="1"/>
  <c r="J968" i="7"/>
  <c r="J969" i="7"/>
  <c r="L969" i="7" s="1"/>
  <c r="J970" i="7"/>
  <c r="L970" i="7" s="1"/>
  <c r="J971" i="7"/>
  <c r="J972" i="7"/>
  <c r="L972" i="7" s="1"/>
  <c r="J973" i="7"/>
  <c r="L973" i="7" s="1"/>
  <c r="J974" i="7"/>
  <c r="L974" i="7" s="1"/>
  <c r="J975" i="7"/>
  <c r="J976" i="7"/>
  <c r="L976" i="7" s="1"/>
  <c r="J977" i="7"/>
  <c r="L977" i="7" s="1"/>
  <c r="J978" i="7"/>
  <c r="J979" i="7"/>
  <c r="J980" i="7"/>
  <c r="J981" i="7"/>
  <c r="J982" i="7"/>
  <c r="J983" i="7"/>
  <c r="L983" i="7" s="1"/>
  <c r="J984" i="7"/>
  <c r="L984" i="7" s="1"/>
  <c r="J985" i="7"/>
  <c r="J986" i="7"/>
  <c r="L986" i="7" s="1"/>
  <c r="J987" i="7"/>
  <c r="L987" i="7" s="1"/>
  <c r="J988" i="7"/>
  <c r="L988" i="7" s="1"/>
  <c r="J989" i="7"/>
  <c r="L989" i="7" s="1"/>
  <c r="J990" i="7"/>
  <c r="J991" i="7"/>
  <c r="J992" i="7"/>
  <c r="J993" i="7"/>
  <c r="J994" i="7"/>
  <c r="L994" i="7" s="1"/>
  <c r="J995" i="7"/>
  <c r="L995" i="7" s="1"/>
  <c r="J996" i="7"/>
  <c r="L996" i="7" s="1"/>
  <c r="J997" i="7"/>
  <c r="L997" i="7" s="1"/>
  <c r="J998" i="7"/>
  <c r="L998" i="7" s="1"/>
  <c r="J999" i="7"/>
  <c r="J1000" i="7"/>
  <c r="L1000" i="7" s="1"/>
  <c r="J1001" i="7"/>
  <c r="L1001" i="7" s="1"/>
  <c r="J1002" i="7"/>
  <c r="J1003" i="7"/>
  <c r="L1003" i="7" s="1"/>
  <c r="J1004" i="7"/>
  <c r="J1005" i="7"/>
  <c r="J1006" i="7"/>
  <c r="J1007" i="7"/>
  <c r="J1008" i="7"/>
  <c r="L1008" i="7" s="1"/>
  <c r="J1009" i="7"/>
  <c r="J1010" i="7"/>
  <c r="L1010" i="7" s="1"/>
  <c r="J1011" i="7"/>
  <c r="L1011" i="7" s="1"/>
  <c r="J1012" i="7"/>
  <c r="L1012" i="7" s="1"/>
  <c r="J1013" i="7"/>
  <c r="L1013" i="7" s="1"/>
  <c r="J1014" i="7"/>
  <c r="J1015" i="7"/>
  <c r="J1016" i="7"/>
  <c r="J1017" i="7"/>
  <c r="L1017" i="7" s="1"/>
  <c r="J1018" i="7"/>
  <c r="L1018" i="7" s="1"/>
  <c r="J1019" i="7"/>
  <c r="J1020" i="7"/>
  <c r="L1020" i="7" s="1"/>
  <c r="J1021" i="7"/>
  <c r="L1021" i="7" s="1"/>
  <c r="J1022" i="7"/>
  <c r="L1022" i="7" s="1"/>
  <c r="J1023" i="7"/>
  <c r="L1023" i="7" s="1"/>
  <c r="J1024" i="7"/>
  <c r="L1024" i="7" s="1"/>
  <c r="J1025" i="7"/>
  <c r="L1025" i="7" s="1"/>
  <c r="J1026" i="7"/>
  <c r="J1027" i="7"/>
  <c r="J1028" i="7"/>
  <c r="J1029" i="7"/>
  <c r="L1029" i="7" s="1"/>
  <c r="J1030" i="7"/>
  <c r="L1030" i="7" s="1"/>
  <c r="J1031" i="7"/>
  <c r="J1032" i="7"/>
  <c r="J1033" i="7"/>
  <c r="J1034" i="7"/>
  <c r="L1034" i="7" s="1"/>
  <c r="J1035" i="7"/>
  <c r="J1036" i="7"/>
  <c r="L1036" i="7" s="1"/>
  <c r="J1037" i="7"/>
  <c r="L1037" i="7" s="1"/>
  <c r="J1038" i="7"/>
  <c r="J1039" i="7"/>
  <c r="J1040" i="7"/>
  <c r="J1041" i="7"/>
  <c r="J1042" i="7"/>
  <c r="J1043" i="7"/>
  <c r="J1044" i="7"/>
  <c r="L1044" i="7" s="1"/>
  <c r="J1045" i="7"/>
  <c r="L1045" i="7" s="1"/>
  <c r="J1046" i="7"/>
  <c r="L1046" i="7" s="1"/>
  <c r="J1047" i="7"/>
  <c r="J1048" i="7"/>
  <c r="L1048" i="7" s="1"/>
  <c r="J1049" i="7"/>
  <c r="L1049" i="7" s="1"/>
  <c r="J1050" i="7"/>
  <c r="J1051" i="7"/>
  <c r="L1051" i="7" s="1"/>
  <c r="J1052" i="7"/>
  <c r="J1053" i="7"/>
  <c r="J1054" i="7"/>
  <c r="J1055" i="7"/>
  <c r="L1055" i="7" s="1"/>
  <c r="J1056" i="7"/>
  <c r="L1056" i="7" s="1"/>
  <c r="J1057" i="7"/>
  <c r="L1057" i="7" s="1"/>
  <c r="J1058" i="7"/>
  <c r="L1058" i="7" s="1"/>
  <c r="J1059" i="7"/>
  <c r="J1060" i="7"/>
  <c r="L1060" i="7" s="1"/>
  <c r="J1061" i="7"/>
  <c r="L1061" i="7" s="1"/>
  <c r="J1062" i="7"/>
  <c r="J1063" i="7"/>
  <c r="J1064" i="7"/>
  <c r="J1065" i="7"/>
  <c r="L1065" i="7" s="1"/>
  <c r="J1066" i="7"/>
  <c r="J1067" i="7"/>
  <c r="J1068" i="7"/>
  <c r="L1068" i="7" s="1"/>
  <c r="J1069" i="7"/>
  <c r="L1069" i="7" s="1"/>
  <c r="J1070" i="7"/>
  <c r="L1070" i="7" s="1"/>
  <c r="J1071" i="7"/>
  <c r="J1072" i="7"/>
  <c r="L1072" i="7" s="1"/>
  <c r="J1073" i="7"/>
  <c r="J1074" i="7"/>
  <c r="J1075" i="7"/>
  <c r="L1075" i="7" s="1"/>
  <c r="J1076" i="7"/>
  <c r="J1077" i="7"/>
  <c r="L1077" i="7" s="1"/>
  <c r="J1078" i="7"/>
  <c r="J1079" i="7"/>
  <c r="L1079" i="7" s="1"/>
  <c r="J1080" i="7"/>
  <c r="L1080" i="7" s="1"/>
  <c r="J1081" i="7"/>
  <c r="L1081" i="7" s="1"/>
  <c r="J1082" i="7"/>
  <c r="L1082" i="7" s="1"/>
  <c r="J1083" i="7"/>
  <c r="L1083" i="7" s="1"/>
  <c r="J1084" i="7"/>
  <c r="L1084" i="7" s="1"/>
  <c r="J1085" i="7"/>
  <c r="J1086" i="7"/>
  <c r="L1086" i="7" s="1"/>
  <c r="J1087" i="7"/>
  <c r="J1088" i="7"/>
  <c r="J1089" i="7"/>
  <c r="J1090" i="7"/>
  <c r="L1090" i="7" s="1"/>
  <c r="J1091" i="7"/>
  <c r="J1092" i="7"/>
  <c r="L1092" i="7" s="1"/>
  <c r="J1093" i="7"/>
  <c r="L1093" i="7" s="1"/>
  <c r="J1094" i="7"/>
  <c r="L1094" i="7" s="1"/>
  <c r="J1095" i="7"/>
  <c r="L1095" i="7" s="1"/>
  <c r="J1096" i="7"/>
  <c r="L1096" i="7" s="1"/>
  <c r="J1097" i="7"/>
  <c r="J1098" i="7"/>
  <c r="L1098" i="7" s="1"/>
  <c r="J1099" i="7"/>
  <c r="J1100" i="7"/>
  <c r="J1101" i="7"/>
  <c r="J1102" i="7"/>
  <c r="L1102" i="7" s="1"/>
  <c r="J1103" i="7"/>
  <c r="L1103" i="7" s="1"/>
  <c r="J1104" i="7"/>
  <c r="L1104" i="7" s="1"/>
  <c r="J1105" i="7"/>
  <c r="L1105" i="7" s="1"/>
  <c r="J1106" i="7"/>
  <c r="L1106" i="7" s="1"/>
  <c r="J1107" i="7"/>
  <c r="L1107" i="7" s="1"/>
  <c r="J1108" i="7"/>
  <c r="L1108" i="7" s="1"/>
  <c r="J1109" i="7"/>
  <c r="J1110" i="7"/>
  <c r="L1110" i="7" s="1"/>
  <c r="J1111" i="7"/>
  <c r="L1111" i="7" s="1"/>
  <c r="J1112" i="7"/>
  <c r="J1113" i="7"/>
  <c r="J1114" i="7"/>
  <c r="J1115" i="7"/>
  <c r="J1116" i="7"/>
  <c r="L1116" i="7" s="1"/>
  <c r="J1117" i="7"/>
  <c r="J1118" i="7"/>
  <c r="L1118" i="7" s="1"/>
  <c r="J1119" i="7"/>
  <c r="J1120" i="7"/>
  <c r="L1120" i="7" s="1"/>
  <c r="J1121" i="7"/>
  <c r="L1121" i="7" s="1"/>
  <c r="J1122" i="7"/>
  <c r="L1122" i="7" s="1"/>
  <c r="J1123" i="7"/>
  <c r="J1124" i="7"/>
  <c r="J1125" i="7"/>
  <c r="L1125" i="7" s="1"/>
  <c r="J1126" i="7"/>
  <c r="L1126" i="7" s="1"/>
  <c r="J1127" i="7"/>
  <c r="J1128" i="7"/>
  <c r="J1129" i="7"/>
  <c r="L1129" i="7" s="1"/>
  <c r="J1130" i="7"/>
  <c r="J1131" i="7"/>
  <c r="J1132" i="7"/>
  <c r="L1132" i="7" s="1"/>
  <c r="J1133" i="7"/>
  <c r="L1133" i="7" s="1"/>
  <c r="J1134" i="7"/>
  <c r="J1135" i="7"/>
  <c r="L1135" i="7" s="1"/>
  <c r="J1136" i="7"/>
  <c r="J1137" i="7"/>
  <c r="L1137" i="7" s="1"/>
  <c r="J1138" i="7"/>
  <c r="L1138" i="7" s="1"/>
  <c r="J1139" i="7"/>
  <c r="J1140" i="7"/>
  <c r="L1140" i="7" s="1"/>
  <c r="J1141" i="7"/>
  <c r="J1142" i="7"/>
  <c r="L1142" i="7" s="1"/>
  <c r="J1143" i="7"/>
  <c r="J1144" i="7"/>
  <c r="L1144" i="7" s="1"/>
  <c r="J1145" i="7"/>
  <c r="L1145" i="7" s="1"/>
  <c r="J1146" i="7"/>
  <c r="J1147" i="7"/>
  <c r="J1148" i="7"/>
  <c r="J1149" i="7"/>
  <c r="J1150" i="7"/>
  <c r="J1151" i="7"/>
  <c r="J1152" i="7"/>
  <c r="L1152" i="7" s="1"/>
  <c r="J1153" i="7"/>
  <c r="L1153" i="7" s="1"/>
  <c r="J1154" i="7"/>
  <c r="L1154" i="7" s="1"/>
  <c r="J1155" i="7"/>
  <c r="L1155" i="7" s="1"/>
  <c r="J1156" i="7"/>
  <c r="L1156" i="7" s="1"/>
  <c r="J1157" i="7"/>
  <c r="L1157" i="7" s="1"/>
  <c r="J1158" i="7"/>
  <c r="J1159" i="7"/>
  <c r="J1160" i="7"/>
  <c r="J1161" i="7"/>
  <c r="J1162" i="7"/>
  <c r="J1163" i="7"/>
  <c r="J1164" i="7"/>
  <c r="L1164" i="7" s="1"/>
  <c r="J1165" i="7"/>
  <c r="L1165" i="7" s="1"/>
  <c r="J1166" i="7"/>
  <c r="L1166" i="7" s="1"/>
  <c r="J1167" i="7"/>
  <c r="J1168" i="7"/>
  <c r="J1169" i="7"/>
  <c r="J1170" i="7"/>
  <c r="J1171" i="7"/>
  <c r="J1172" i="7"/>
  <c r="J1173" i="7"/>
  <c r="L1173" i="7" s="1"/>
  <c r="J1174" i="7"/>
  <c r="L1174" i="7" s="1"/>
  <c r="J1175" i="7"/>
  <c r="J1176" i="7"/>
  <c r="L1176" i="7" s="1"/>
  <c r="J1177" i="7"/>
  <c r="L1177" i="7" s="1"/>
  <c r="J1178" i="7"/>
  <c r="L1178" i="7" s="1"/>
  <c r="J1179" i="7"/>
  <c r="J1180" i="7"/>
  <c r="L1180" i="7" s="1"/>
  <c r="J1181" i="7"/>
  <c r="L1181" i="7" s="1"/>
  <c r="J1182" i="7"/>
  <c r="J1183" i="7"/>
  <c r="L1183" i="7" s="1"/>
  <c r="J1184" i="7"/>
  <c r="J1185" i="7"/>
  <c r="J1186" i="7"/>
  <c r="J1187" i="7"/>
  <c r="J1188" i="7"/>
  <c r="L1188" i="7" s="1"/>
  <c r="J1189" i="7"/>
  <c r="L1189" i="7" s="1"/>
  <c r="J1190" i="7"/>
  <c r="L1190" i="7" s="1"/>
  <c r="J1191" i="7"/>
  <c r="L1191" i="7" s="1"/>
  <c r="J1192" i="7"/>
  <c r="L1192" i="7" s="1"/>
  <c r="J1193" i="7"/>
  <c r="J1194" i="7"/>
  <c r="J1195" i="7"/>
  <c r="J1196" i="7"/>
  <c r="J1197" i="7"/>
  <c r="L1197" i="7" s="1"/>
  <c r="J1198" i="7"/>
  <c r="J1199" i="7"/>
  <c r="J1200" i="7"/>
  <c r="L1200" i="7" s="1"/>
  <c r="J1201" i="7"/>
  <c r="L1201" i="7" s="1"/>
  <c r="J1202" i="7"/>
  <c r="L1202" i="7" s="1"/>
  <c r="J1203" i="7"/>
  <c r="J1204" i="7"/>
  <c r="L1204" i="7" s="1"/>
  <c r="J1205" i="7"/>
  <c r="L1205" i="7" s="1"/>
  <c r="J1206" i="7"/>
  <c r="J1207" i="7"/>
  <c r="L1207" i="7" s="1"/>
  <c r="J1208" i="7"/>
  <c r="J1209" i="7"/>
  <c r="J1210" i="7"/>
  <c r="L1210" i="7" s="1"/>
  <c r="J1211" i="7"/>
  <c r="L1211" i="7" s="1"/>
  <c r="J1212" i="7"/>
  <c r="L1212" i="7" s="1"/>
  <c r="J1213" i="7"/>
  <c r="L1213" i="7" s="1"/>
  <c r="J1214" i="7"/>
  <c r="L1214" i="7" s="1"/>
  <c r="J1215" i="7"/>
  <c r="L1215" i="7" s="1"/>
  <c r="J1216" i="7"/>
  <c r="L1216" i="7" s="1"/>
  <c r="J1217" i="7"/>
  <c r="L1217" i="7" s="1"/>
  <c r="J1218" i="7"/>
  <c r="J1219" i="7"/>
  <c r="J1220" i="7"/>
  <c r="J1221" i="7"/>
  <c r="J1222" i="7"/>
  <c r="J1223" i="7"/>
  <c r="L1223" i="7" s="1"/>
  <c r="J1224" i="7"/>
  <c r="L1224" i="7" s="1"/>
  <c r="J1225" i="7"/>
  <c r="L1225" i="7" s="1"/>
  <c r="J1226" i="7"/>
  <c r="L1226" i="7" s="1"/>
  <c r="J1227" i="7"/>
  <c r="L1227" i="7" s="1"/>
  <c r="J1228" i="7"/>
  <c r="L1228" i="7" s="1"/>
  <c r="J1229" i="7"/>
  <c r="L1229" i="7" s="1"/>
  <c r="J1230" i="7"/>
  <c r="L1230" i="7" s="1"/>
  <c r="J1231" i="7"/>
  <c r="L1231" i="7" s="1"/>
  <c r="J1232" i="7"/>
  <c r="J1233" i="7"/>
  <c r="J1234" i="7"/>
  <c r="L1234" i="7" s="1"/>
  <c r="J1235" i="7"/>
  <c r="L1235" i="7" s="1"/>
  <c r="J1236" i="7"/>
  <c r="L1236" i="7" s="1"/>
  <c r="J1237" i="7"/>
  <c r="L1237" i="7" s="1"/>
  <c r="J1238" i="7"/>
  <c r="L1238" i="7" s="1"/>
  <c r="J1239" i="7"/>
  <c r="L1239" i="7" s="1"/>
  <c r="J1240" i="7"/>
  <c r="L1240" i="7" s="1"/>
  <c r="J1241" i="7"/>
  <c r="J1242" i="7"/>
  <c r="J1243" i="7"/>
  <c r="J1244" i="7"/>
  <c r="J1245" i="7"/>
  <c r="J1246" i="7"/>
  <c r="L1246" i="7" s="1"/>
  <c r="J1247" i="7"/>
  <c r="L1247" i="7" s="1"/>
  <c r="J1248" i="7"/>
  <c r="L1248" i="7" s="1"/>
  <c r="J1249" i="7"/>
  <c r="L1249" i="7" s="1"/>
  <c r="J1250" i="7"/>
  <c r="L1250" i="7" s="1"/>
  <c r="J1251" i="7"/>
  <c r="J1252" i="7"/>
  <c r="L1252" i="7" s="1"/>
  <c r="J1253" i="7"/>
  <c r="L1253" i="7" s="1"/>
  <c r="J1254" i="7"/>
  <c r="J1255" i="7"/>
  <c r="J1256" i="7"/>
  <c r="J1257" i="7"/>
  <c r="J1258" i="7"/>
  <c r="J1259" i="7"/>
  <c r="L1259" i="7" s="1"/>
  <c r="J1260" i="7"/>
  <c r="L1260" i="7" s="1"/>
  <c r="J1261" i="7"/>
  <c r="L1261" i="7" s="1"/>
  <c r="J1262" i="7"/>
  <c r="L1262" i="7" s="1"/>
  <c r="J1263" i="7"/>
  <c r="L1263" i="7" s="1"/>
  <c r="J1264" i="7"/>
  <c r="L1264" i="7" s="1"/>
  <c r="J1265" i="7"/>
  <c r="L1265" i="7" s="1"/>
  <c r="J1266" i="7"/>
  <c r="J1267" i="7"/>
  <c r="J1268" i="7"/>
  <c r="J1269" i="7"/>
  <c r="L1269" i="7" s="1"/>
  <c r="J1270" i="7"/>
  <c r="L1270" i="7" s="1"/>
  <c r="J1271" i="7"/>
  <c r="L1271" i="7" s="1"/>
  <c r="J1272" i="7"/>
  <c r="L1272" i="7" s="1"/>
  <c r="J1273" i="7"/>
  <c r="L1273" i="7" s="1"/>
  <c r="J1274" i="7"/>
  <c r="L1274" i="7" s="1"/>
  <c r="J1275" i="7"/>
  <c r="L1275" i="7" s="1"/>
  <c r="J1276" i="7"/>
  <c r="J1277" i="7"/>
  <c r="L1277" i="7" s="1"/>
  <c r="J1278" i="7"/>
  <c r="L1278" i="7" s="1"/>
  <c r="J1279" i="7"/>
  <c r="J1280" i="7"/>
  <c r="J1281" i="7"/>
  <c r="L1281" i="7" s="1"/>
  <c r="J1282" i="7"/>
  <c r="J1283" i="7"/>
  <c r="L1283" i="7" s="1"/>
  <c r="J1284" i="7"/>
  <c r="L1284" i="7" s="1"/>
  <c r="J1285" i="7"/>
  <c r="J1286" i="7"/>
  <c r="L1286" i="7" s="1"/>
  <c r="J1287" i="7"/>
  <c r="J1288" i="7"/>
  <c r="L1288" i="7" s="1"/>
  <c r="J1289" i="7"/>
  <c r="J1290" i="7"/>
  <c r="J1291" i="7"/>
  <c r="L1291" i="7" s="1"/>
  <c r="J1292" i="7"/>
  <c r="J1293" i="7"/>
  <c r="J1294" i="7"/>
  <c r="L1294" i="7" s="1"/>
  <c r="J1295" i="7"/>
  <c r="L1295" i="7" s="1"/>
  <c r="J1296" i="7"/>
  <c r="L1296" i="7" s="1"/>
  <c r="J1297" i="7"/>
  <c r="L1297" i="7" s="1"/>
  <c r="J1298" i="7"/>
  <c r="J1299" i="7"/>
  <c r="J1300" i="7"/>
  <c r="L1300" i="7" s="1"/>
  <c r="J1301" i="7"/>
  <c r="L1301" i="7" s="1"/>
  <c r="J1302" i="7"/>
  <c r="L1302" i="7" s="1"/>
  <c r="J1303" i="7"/>
  <c r="L1303" i="7" s="1"/>
  <c r="J1304" i="7"/>
  <c r="J1305" i="7"/>
  <c r="J1306" i="7"/>
  <c r="L1306" i="7" s="1"/>
  <c r="J1307" i="7"/>
  <c r="L1307" i="7" s="1"/>
  <c r="J1308" i="7"/>
  <c r="L1308" i="7" s="1"/>
  <c r="J1309" i="7"/>
  <c r="L1309" i="7" s="1"/>
  <c r="J1310" i="7"/>
  <c r="L1310" i="7" s="1"/>
  <c r="J1311" i="7"/>
  <c r="L1311" i="7" s="1"/>
  <c r="J1312" i="7"/>
  <c r="L1312" i="7" s="1"/>
  <c r="J1313" i="7"/>
  <c r="L1313" i="7" s="1"/>
  <c r="J1314" i="7"/>
  <c r="J1315" i="7"/>
  <c r="L1315" i="7" s="1"/>
  <c r="J1316" i="7"/>
  <c r="J1317" i="7"/>
  <c r="J1318" i="7"/>
  <c r="L1318" i="7" s="1"/>
  <c r="J1319" i="7"/>
  <c r="J1320" i="7"/>
  <c r="L1320" i="7" s="1"/>
  <c r="J1321" i="7"/>
  <c r="L1321" i="7" s="1"/>
  <c r="J1322" i="7"/>
  <c r="L1322" i="7" s="1"/>
  <c r="J1323" i="7"/>
  <c r="L1323" i="7" s="1"/>
  <c r="J1324" i="7"/>
  <c r="L1324" i="7" s="1"/>
  <c r="J1325" i="7"/>
  <c r="J1326" i="7"/>
  <c r="J1327" i="7"/>
  <c r="J1328" i="7"/>
  <c r="J1329" i="7"/>
  <c r="J1330" i="7"/>
  <c r="J1331" i="7"/>
  <c r="J1332" i="7"/>
  <c r="L1332" i="7" s="1"/>
  <c r="J1333" i="7"/>
  <c r="L1333" i="7" s="1"/>
  <c r="J1334" i="7"/>
  <c r="L1334" i="7" s="1"/>
  <c r="J1335" i="7"/>
  <c r="L1335" i="7" s="1"/>
  <c r="J1336" i="7"/>
  <c r="L1336" i="7" s="1"/>
  <c r="J1337" i="7"/>
  <c r="L1337" i="7" s="1"/>
  <c r="J1338" i="7"/>
  <c r="J1339" i="7"/>
  <c r="L1339" i="7" s="1"/>
  <c r="J1340" i="7"/>
  <c r="J1341" i="7"/>
  <c r="J1342" i="7"/>
  <c r="L1342" i="7" s="1"/>
  <c r="J1343" i="7"/>
  <c r="L1343" i="7" s="1"/>
  <c r="J1344" i="7"/>
  <c r="L1344" i="7" s="1"/>
  <c r="J1345" i="7"/>
  <c r="L1345" i="7" s="1"/>
  <c r="J1346" i="7"/>
  <c r="L1346" i="7" s="1"/>
  <c r="J1347" i="7"/>
  <c r="J1348" i="7"/>
  <c r="J1349" i="7"/>
  <c r="L1349" i="7" s="1"/>
  <c r="J1350" i="7"/>
  <c r="L1350" i="7" s="1"/>
  <c r="J1351" i="7"/>
  <c r="J1352" i="7"/>
  <c r="L1352" i="7" s="1"/>
  <c r="J1353" i="7"/>
  <c r="J1354" i="7"/>
  <c r="L1354" i="7" s="1"/>
  <c r="J1355" i="7"/>
  <c r="J1356" i="7"/>
  <c r="L1356" i="7" s="1"/>
  <c r="J1357" i="7"/>
  <c r="L1357" i="7" s="1"/>
  <c r="J1358" i="7"/>
  <c r="L1358" i="7" s="1"/>
  <c r="J1359" i="7"/>
  <c r="J1360" i="7"/>
  <c r="L1360" i="7" s="1"/>
  <c r="J1361" i="7"/>
  <c r="L1361" i="7" s="1"/>
  <c r="J1362" i="7"/>
  <c r="L1362" i="7" s="1"/>
  <c r="J1363" i="7"/>
  <c r="L1363" i="7" s="1"/>
  <c r="J1364" i="7"/>
  <c r="J1365" i="7"/>
  <c r="J1366" i="7"/>
  <c r="J1367" i="7"/>
  <c r="J1368" i="7"/>
  <c r="L1368" i="7" s="1"/>
  <c r="J1369" i="7"/>
  <c r="L1369" i="7" s="1"/>
  <c r="J1370" i="7"/>
  <c r="L1370" i="7" s="1"/>
  <c r="J1371" i="7"/>
  <c r="J1372" i="7"/>
  <c r="L1372" i="7" s="1"/>
  <c r="J1373" i="7"/>
  <c r="L1373" i="7" s="1"/>
  <c r="J1374" i="7"/>
  <c r="L1374" i="7" s="1"/>
  <c r="J1375" i="7"/>
  <c r="L1375" i="7" s="1"/>
  <c r="J1376" i="7"/>
  <c r="J1377" i="7"/>
  <c r="L1377" i="7" s="1"/>
  <c r="J1378" i="7"/>
  <c r="J1379" i="7"/>
  <c r="J1380" i="7"/>
  <c r="L1380" i="7" s="1"/>
  <c r="J1381" i="7"/>
  <c r="L1381" i="7" s="1"/>
  <c r="J1382" i="7"/>
  <c r="L1382" i="7" s="1"/>
  <c r="J1383" i="7"/>
  <c r="J1384" i="7"/>
  <c r="L1384" i="7" s="1"/>
  <c r="J1385" i="7"/>
  <c r="L1385" i="7" s="1"/>
  <c r="J1386" i="7"/>
  <c r="J1387" i="7"/>
  <c r="L1387" i="7" s="1"/>
  <c r="J1388" i="7"/>
  <c r="J1389" i="7"/>
  <c r="L1389" i="7" s="1"/>
  <c r="J1390" i="7"/>
  <c r="L1390" i="7" s="1"/>
  <c r="J1391" i="7"/>
  <c r="L1391" i="7" s="1"/>
  <c r="J1392" i="7"/>
  <c r="L1392" i="7" s="1"/>
  <c r="J1393" i="7"/>
  <c r="L1393" i="7" s="1"/>
  <c r="J1394" i="7"/>
  <c r="L1394" i="7" s="1"/>
  <c r="J1395" i="7"/>
  <c r="J1396" i="7"/>
  <c r="L1396" i="7" s="1"/>
  <c r="J1397" i="7"/>
  <c r="J1398" i="7"/>
  <c r="J1399" i="7"/>
  <c r="L1399" i="7" s="1"/>
  <c r="J1400" i="7"/>
  <c r="J1401" i="7"/>
  <c r="L1401" i="7" s="1"/>
  <c r="J1402" i="7"/>
  <c r="L1402" i="7" s="1"/>
  <c r="J1403" i="7"/>
  <c r="L1403" i="7" s="1"/>
  <c r="J1404" i="7"/>
  <c r="L1404" i="7" s="1"/>
  <c r="J1405" i="7"/>
  <c r="L1405" i="7" s="1"/>
  <c r="J1406" i="7"/>
  <c r="L1406" i="7" s="1"/>
  <c r="J1407" i="7"/>
  <c r="J1408" i="7"/>
  <c r="J1409" i="7"/>
  <c r="L1409" i="7" s="1"/>
  <c r="J1410" i="7"/>
  <c r="J1411" i="7"/>
  <c r="L1411" i="7" s="1"/>
  <c r="J1412" i="7"/>
  <c r="L1412" i="7" s="1"/>
  <c r="J1413" i="7"/>
  <c r="L1413" i="7" s="1"/>
  <c r="J1414" i="7"/>
  <c r="L1414" i="7" s="1"/>
  <c r="J1415" i="7"/>
  <c r="J1416" i="7"/>
  <c r="L1416" i="7" s="1"/>
  <c r="J1417" i="7"/>
  <c r="L1417" i="7" s="1"/>
  <c r="J1418" i="7"/>
  <c r="L1418" i="7" s="1"/>
  <c r="J1419" i="7"/>
  <c r="L1419" i="7" s="1"/>
  <c r="J1420" i="7"/>
  <c r="J1421" i="7"/>
  <c r="J1422" i="7"/>
  <c r="J1423" i="7"/>
  <c r="L1423" i="7" s="1"/>
  <c r="J1424" i="7"/>
  <c r="J1425" i="7"/>
  <c r="L1425" i="7" s="1"/>
  <c r="J1426" i="7"/>
  <c r="L1426" i="7" s="1"/>
  <c r="J1427" i="7"/>
  <c r="L1427" i="7" s="1"/>
  <c r="J1428" i="7"/>
  <c r="L1428" i="7" s="1"/>
  <c r="J1429" i="7"/>
  <c r="L1429" i="7" s="1"/>
  <c r="J1430" i="7"/>
  <c r="L1430" i="7" s="1"/>
  <c r="J1431" i="7"/>
  <c r="J1432" i="7"/>
  <c r="L1432" i="7" s="1"/>
  <c r="J1433" i="7"/>
  <c r="L1433" i="7" s="1"/>
  <c r="J1434" i="7"/>
  <c r="L1434" i="7" s="1"/>
  <c r="J1435" i="7"/>
  <c r="L1435" i="7" s="1"/>
  <c r="J1436" i="7"/>
  <c r="J1437" i="7"/>
  <c r="J1438" i="7"/>
  <c r="J1439" i="7"/>
  <c r="L1439" i="7" s="1"/>
  <c r="J1440" i="7"/>
  <c r="L1440" i="7" s="1"/>
  <c r="J1441" i="7"/>
  <c r="L1441" i="7" s="1"/>
  <c r="J1442" i="7"/>
  <c r="L1442" i="7" s="1"/>
  <c r="J1443" i="7"/>
  <c r="J1444" i="7"/>
  <c r="L1444" i="7" s="1"/>
  <c r="J1445" i="7"/>
  <c r="L1445" i="7" s="1"/>
  <c r="J1446" i="7"/>
  <c r="L1446" i="7" s="1"/>
  <c r="J1447" i="7"/>
  <c r="J1448" i="7"/>
  <c r="J1449" i="7"/>
  <c r="J1450" i="7"/>
  <c r="L1450" i="7" s="1"/>
  <c r="J1451" i="7"/>
  <c r="L1451" i="7" s="1"/>
  <c r="J1452" i="7"/>
  <c r="L1452" i="7" s="1"/>
  <c r="J1453" i="7"/>
  <c r="L1453" i="7" s="1"/>
  <c r="J1454" i="7"/>
  <c r="L1454" i="7" s="1"/>
  <c r="J1455" i="7"/>
  <c r="J1456" i="7"/>
  <c r="L1456" i="7" s="1"/>
  <c r="J1457" i="7"/>
  <c r="L1457" i="7" s="1"/>
  <c r="J1458" i="7"/>
  <c r="J1459" i="7"/>
  <c r="L1459" i="7" s="1"/>
  <c r="J1460" i="7"/>
  <c r="J1461" i="7"/>
  <c r="J1462" i="7"/>
  <c r="J1463" i="7"/>
  <c r="L1463" i="7" s="1"/>
  <c r="J1464" i="7"/>
  <c r="L1464" i="7" s="1"/>
  <c r="J1465" i="7"/>
  <c r="L1465" i="7" s="1"/>
  <c r="J1466" i="7"/>
  <c r="L1466" i="7" s="1"/>
  <c r="J1467" i="7"/>
  <c r="J1468" i="7"/>
  <c r="L1468" i="7" s="1"/>
  <c r="J1469" i="7"/>
  <c r="L1469" i="7" s="1"/>
  <c r="J1470" i="7"/>
  <c r="J1471" i="7"/>
  <c r="L1471" i="7" s="1"/>
  <c r="J1472" i="7"/>
  <c r="J1473" i="7"/>
  <c r="J1474" i="7"/>
  <c r="L1474" i="7" s="1"/>
  <c r="J1475" i="7"/>
  <c r="L1475" i="7" s="1"/>
  <c r="J1476" i="7"/>
  <c r="L1476" i="7" s="1"/>
  <c r="J1477" i="7"/>
  <c r="L1477" i="7" s="1"/>
  <c r="J1478" i="7"/>
  <c r="L1478" i="7" s="1"/>
  <c r="J1479" i="7"/>
  <c r="L1479" i="7" s="1"/>
  <c r="J1480" i="7"/>
  <c r="L1480" i="7" s="1"/>
  <c r="J1481" i="7"/>
  <c r="L1481" i="7" s="1"/>
  <c r="J1482" i="7"/>
  <c r="L1482" i="7" s="1"/>
  <c r="J1483" i="7"/>
  <c r="L1483" i="7" s="1"/>
  <c r="J1484" i="7"/>
  <c r="J1485" i="7"/>
  <c r="L1485" i="7" s="1"/>
  <c r="J1486" i="7"/>
  <c r="J1487" i="7"/>
  <c r="L1487" i="7" s="1"/>
  <c r="J1488" i="7"/>
  <c r="L1488" i="7" s="1"/>
  <c r="J1489" i="7"/>
  <c r="L1489" i="7" s="1"/>
  <c r="J1490" i="7"/>
  <c r="L1490" i="7" s="1"/>
  <c r="J1491" i="7"/>
  <c r="L1491" i="7" s="1"/>
  <c r="J1492" i="7"/>
  <c r="L1492" i="7" s="1"/>
  <c r="J1493" i="7"/>
  <c r="L1493" i="7" s="1"/>
  <c r="J1494" i="7"/>
  <c r="J1495" i="7"/>
  <c r="J1496" i="7"/>
  <c r="J1497" i="7"/>
  <c r="J1498" i="7"/>
  <c r="J1499" i="7"/>
  <c r="L1499" i="7" s="1"/>
  <c r="J1500" i="7"/>
  <c r="L1500" i="7" s="1"/>
  <c r="J1501" i="7"/>
  <c r="L1501" i="7" s="1"/>
  <c r="J1502" i="7"/>
  <c r="L1502" i="7" s="1"/>
  <c r="J1503" i="7"/>
  <c r="L1503" i="7" s="1"/>
  <c r="J1504" i="7"/>
  <c r="L1504" i="7" s="1"/>
  <c r="J1505" i="7"/>
  <c r="L1505" i="7" s="1"/>
  <c r="J1506" i="7"/>
  <c r="J1507" i="7"/>
  <c r="L1507" i="7" s="1"/>
  <c r="J1508" i="7"/>
  <c r="J1509" i="7"/>
  <c r="J1510" i="7"/>
  <c r="J1511" i="7"/>
  <c r="L1511" i="7" s="1"/>
  <c r="J1512" i="7"/>
  <c r="L1512" i="7" s="1"/>
  <c r="J1513" i="7"/>
  <c r="L1513" i="7" s="1"/>
  <c r="J1514" i="7"/>
  <c r="L1514" i="7" s="1"/>
  <c r="J1515" i="7"/>
  <c r="L1515" i="7" s="1"/>
  <c r="J1516" i="7"/>
  <c r="L1516" i="7" s="1"/>
  <c r="J1517" i="7"/>
  <c r="J1518" i="7"/>
  <c r="J1519" i="7"/>
  <c r="L1519" i="7" s="1"/>
  <c r="J1520" i="7"/>
  <c r="L1520" i="7" s="1"/>
  <c r="J1521" i="7"/>
  <c r="J1522" i="7"/>
  <c r="J1523" i="7"/>
  <c r="L1523" i="7" s="1"/>
  <c r="J1524" i="7"/>
  <c r="L1524" i="7" s="1"/>
  <c r="J1525" i="7"/>
  <c r="L1525" i="7" s="1"/>
  <c r="J1526" i="7"/>
  <c r="L1526" i="7" s="1"/>
  <c r="J1527" i="7"/>
  <c r="L1527" i="7" s="1"/>
  <c r="J1528" i="7"/>
  <c r="L1528" i="7" s="1"/>
  <c r="J1529" i="7"/>
  <c r="L1529" i="7" s="1"/>
  <c r="J1530" i="7"/>
  <c r="J1531" i="7"/>
  <c r="L1531" i="7" s="1"/>
  <c r="J1532" i="7"/>
  <c r="J1533" i="7"/>
  <c r="J1534" i="7"/>
  <c r="L1534" i="7" s="1"/>
  <c r="J1535" i="7"/>
  <c r="L1535" i="7" s="1"/>
  <c r="J1536" i="7"/>
  <c r="L1536" i="7" s="1"/>
  <c r="J1537" i="7"/>
  <c r="L1537" i="7" s="1"/>
  <c r="J1538" i="7"/>
  <c r="L1538" i="7" s="1"/>
  <c r="J1539" i="7"/>
  <c r="L1539" i="7" s="1"/>
  <c r="J1540" i="7"/>
  <c r="L1540" i="7" s="1"/>
  <c r="J1541" i="7"/>
  <c r="L1541" i="7" s="1"/>
  <c r="J1542" i="7"/>
  <c r="L1542" i="7" s="1"/>
  <c r="J1543" i="7"/>
  <c r="L1543" i="7" s="1"/>
  <c r="J1544" i="7"/>
  <c r="J1545" i="7"/>
  <c r="J1546" i="7"/>
  <c r="L1546" i="7" s="1"/>
  <c r="J1547" i="7"/>
  <c r="L1547" i="7" s="1"/>
  <c r="J1548" i="7"/>
  <c r="L1548" i="7" s="1"/>
  <c r="J1549" i="7"/>
  <c r="L1549" i="7" s="1"/>
  <c r="J1550" i="7"/>
  <c r="L1550" i="7" s="1"/>
  <c r="J1551" i="7"/>
  <c r="L1551" i="7" s="1"/>
  <c r="J1552" i="7"/>
  <c r="L1552" i="7" s="1"/>
  <c r="J1553" i="7"/>
  <c r="J1554" i="7"/>
  <c r="J1555" i="7"/>
  <c r="L1555" i="7" s="1"/>
  <c r="J1556" i="7"/>
  <c r="L1556" i="7" s="1"/>
  <c r="J1557" i="7"/>
  <c r="L1557" i="7" s="1"/>
  <c r="J1558" i="7"/>
  <c r="L1558" i="7" s="1"/>
  <c r="J1559" i="7"/>
  <c r="L1559" i="7" s="1"/>
  <c r="J1560" i="7"/>
  <c r="L1560" i="7" s="1"/>
  <c r="J1561" i="7"/>
  <c r="L1561" i="7" s="1"/>
  <c r="J1562" i="7"/>
  <c r="L1562" i="7" s="1"/>
  <c r="J1563" i="7"/>
  <c r="L1563" i="7" s="1"/>
  <c r="J1564" i="7"/>
  <c r="L1564" i="7" s="1"/>
  <c r="J1565" i="7"/>
  <c r="J1566" i="7"/>
  <c r="J1567" i="7"/>
  <c r="L1567" i="7" s="1"/>
  <c r="J1568" i="7"/>
  <c r="J1569" i="7"/>
  <c r="L1569" i="7" s="1"/>
  <c r="J1570" i="7"/>
  <c r="L1570" i="7" s="1"/>
  <c r="J1571" i="7"/>
  <c r="L1571" i="7" s="1"/>
  <c r="J1572" i="7"/>
  <c r="L1572" i="7" s="1"/>
  <c r="J1573" i="7"/>
  <c r="L1573" i="7" s="1"/>
  <c r="J1574" i="7"/>
  <c r="L1574" i="7" s="1"/>
  <c r="J1575" i="7"/>
  <c r="J1576" i="7"/>
  <c r="L1576" i="7" s="1"/>
  <c r="J1577" i="7"/>
  <c r="L1577" i="7" s="1"/>
  <c r="J1578" i="7"/>
  <c r="J1579" i="7"/>
  <c r="L1579" i="7" s="1"/>
  <c r="J1580" i="7"/>
  <c r="J1581" i="7"/>
  <c r="J1582" i="7"/>
  <c r="L1582" i="7" s="1"/>
  <c r="J1583" i="7"/>
  <c r="J1584" i="7"/>
  <c r="L1584" i="7" s="1"/>
  <c r="J1585" i="7"/>
  <c r="L1585" i="7" s="1"/>
  <c r="J1586" i="7"/>
  <c r="L1586" i="7" s="1"/>
  <c r="J1587" i="7"/>
  <c r="L1587" i="7" s="1"/>
  <c r="J1588" i="7"/>
  <c r="L1588" i="7" s="1"/>
  <c r="J1589" i="7"/>
  <c r="L1589" i="7" s="1"/>
  <c r="J1590" i="7"/>
  <c r="L1590" i="7" s="1"/>
  <c r="J1591" i="7"/>
  <c r="J1592" i="7"/>
  <c r="J1593" i="7"/>
  <c r="J1594" i="7"/>
  <c r="J1595" i="7"/>
  <c r="L1595" i="7" s="1"/>
  <c r="J1596" i="7"/>
  <c r="L1596" i="7" s="1"/>
  <c r="J1597" i="7"/>
  <c r="L1597" i="7" s="1"/>
  <c r="J1598" i="7"/>
  <c r="L1598" i="7" s="1"/>
  <c r="J1599" i="7"/>
  <c r="L1599" i="7" s="1"/>
  <c r="J1600" i="7"/>
  <c r="J1601" i="7"/>
  <c r="L1601" i="7" s="1"/>
  <c r="J1602" i="7"/>
  <c r="L1602" i="7" s="1"/>
  <c r="J1603" i="7"/>
  <c r="J1604" i="7"/>
  <c r="J1605" i="7"/>
  <c r="J1606" i="7"/>
  <c r="J1607" i="7"/>
  <c r="L1607" i="7" s="1"/>
  <c r="J1608" i="7"/>
  <c r="L1608" i="7" s="1"/>
  <c r="J1609" i="7"/>
  <c r="L1609" i="7" s="1"/>
  <c r="J1610" i="7"/>
  <c r="L1610" i="7" s="1"/>
  <c r="J1611" i="7"/>
  <c r="L1611" i="7" s="1"/>
  <c r="J1612" i="7"/>
  <c r="L1612" i="7" s="1"/>
  <c r="J1613" i="7"/>
  <c r="L1613" i="7" s="1"/>
  <c r="J1614" i="7"/>
  <c r="J1615" i="7"/>
  <c r="J1616" i="7"/>
  <c r="J1617" i="7"/>
  <c r="L1617" i="7" s="1"/>
  <c r="J1618" i="7"/>
  <c r="J1619" i="7"/>
  <c r="L1619" i="7" s="1"/>
  <c r="J1620" i="7"/>
  <c r="L1620" i="7" s="1"/>
  <c r="J1621" i="7"/>
  <c r="L1621" i="7" s="1"/>
  <c r="J1622" i="7"/>
  <c r="L1622" i="7" s="1"/>
  <c r="J1623" i="7"/>
  <c r="L1623" i="7" s="1"/>
  <c r="J1624" i="7"/>
  <c r="L1624" i="7" s="1"/>
  <c r="J1625" i="7"/>
  <c r="L1625" i="7" s="1"/>
  <c r="J1626" i="7"/>
  <c r="L1626" i="7" s="1"/>
  <c r="J1627" i="7"/>
  <c r="L1627" i="7" s="1"/>
  <c r="J1628" i="7"/>
  <c r="J1629" i="7"/>
  <c r="L1629" i="7" s="1"/>
  <c r="J1630" i="7"/>
  <c r="J1631" i="7"/>
  <c r="J1632" i="7"/>
  <c r="L1632" i="7" s="1"/>
  <c r="J1633" i="7"/>
  <c r="L1633" i="7" s="1"/>
  <c r="J1634" i="7"/>
  <c r="L1634" i="7" s="1"/>
  <c r="J1635" i="7"/>
  <c r="L1635" i="7" s="1"/>
  <c r="J1636" i="7"/>
  <c r="L1636" i="7" s="1"/>
  <c r="J1637" i="7"/>
  <c r="J1638" i="7"/>
  <c r="L1638" i="7" s="1"/>
  <c r="J1639" i="7"/>
  <c r="L1639" i="7" s="1"/>
  <c r="J1640" i="7"/>
  <c r="J1641" i="7"/>
  <c r="L1641" i="7" s="1"/>
  <c r="J1642" i="7"/>
  <c r="L1642" i="7" s="1"/>
  <c r="J1643" i="7"/>
  <c r="L1643" i="7" s="1"/>
  <c r="J1644" i="7"/>
  <c r="J1645" i="7"/>
  <c r="L1645" i="7" s="1"/>
  <c r="J1646" i="7"/>
  <c r="L1646" i="7" s="1"/>
  <c r="J1647" i="7"/>
  <c r="L1647" i="7" s="1"/>
  <c r="J1648" i="7"/>
  <c r="L1648" i="7" s="1"/>
  <c r="J1649" i="7"/>
  <c r="L1649" i="7" s="1"/>
  <c r="J1650" i="7"/>
  <c r="L1650" i="7" s="1"/>
  <c r="J1651" i="7"/>
  <c r="L1651" i="7" s="1"/>
  <c r="J1652" i="7"/>
  <c r="J1653" i="7"/>
  <c r="J1654" i="7"/>
  <c r="J1655" i="7"/>
  <c r="L1655" i="7" s="1"/>
  <c r="J1656" i="7"/>
  <c r="J1657" i="7"/>
  <c r="L1657" i="7" s="1"/>
  <c r="J1658" i="7"/>
  <c r="L1658" i="7" s="1"/>
  <c r="J1659" i="7"/>
  <c r="L1659" i="7" s="1"/>
  <c r="J1660" i="7"/>
  <c r="L1660" i="7" s="1"/>
  <c r="J1661" i="7"/>
  <c r="L1661" i="7" s="1"/>
  <c r="J1662" i="7"/>
  <c r="L1662" i="7" s="1"/>
  <c r="J1663" i="7"/>
  <c r="J1664" i="7"/>
  <c r="J1665" i="7"/>
  <c r="L1665" i="7" s="1"/>
  <c r="J1666" i="7"/>
  <c r="L1666" i="7" s="1"/>
  <c r="J1667" i="7"/>
  <c r="J1668" i="7"/>
  <c r="L1668" i="7" s="1"/>
  <c r="J1669" i="7"/>
  <c r="L1669" i="7" s="1"/>
  <c r="J1670" i="7"/>
  <c r="L1670" i="7" s="1"/>
  <c r="J1671" i="7"/>
  <c r="J1672" i="7"/>
  <c r="L1672" i="7" s="1"/>
  <c r="J1673" i="7"/>
  <c r="L1673" i="7" s="1"/>
  <c r="J1674" i="7"/>
  <c r="L1674" i="7" s="1"/>
  <c r="J1675" i="7"/>
  <c r="L1675" i="7" s="1"/>
  <c r="J1676" i="7"/>
  <c r="J1677" i="7"/>
  <c r="J1678" i="7"/>
  <c r="J1679" i="7"/>
  <c r="J1680" i="7"/>
  <c r="L1680" i="7" s="1"/>
  <c r="J1681" i="7"/>
  <c r="L1681" i="7" s="1"/>
  <c r="J1682" i="7"/>
  <c r="L1682" i="7" s="1"/>
  <c r="J1683" i="7"/>
  <c r="L1683" i="7" s="1"/>
  <c r="J1684" i="7"/>
  <c r="L1684" i="7" s="1"/>
  <c r="J1685" i="7"/>
  <c r="L1685" i="7" s="1"/>
  <c r="J1686" i="7"/>
  <c r="L1686" i="7" s="1"/>
  <c r="J1687" i="7"/>
  <c r="L1687" i="7" s="1"/>
  <c r="J1688" i="7"/>
  <c r="J1689" i="7"/>
  <c r="J1690" i="7"/>
  <c r="J1691" i="7"/>
  <c r="L1691" i="7" s="1"/>
  <c r="J1692" i="7"/>
  <c r="L1692" i="7" s="1"/>
  <c r="J1693" i="7"/>
  <c r="L1693" i="7" s="1"/>
  <c r="J1694" i="7"/>
  <c r="L1694" i="7" s="1"/>
  <c r="J1695" i="7"/>
  <c r="J1696" i="7"/>
  <c r="L1696" i="7" s="1"/>
  <c r="J1697" i="7"/>
  <c r="L1697" i="7" s="1"/>
  <c r="J1698" i="7"/>
  <c r="L1698" i="7" s="1"/>
  <c r="J1699" i="7"/>
  <c r="L1699" i="7" s="1"/>
  <c r="J1700" i="7"/>
  <c r="J1701" i="7"/>
  <c r="J1702" i="7"/>
  <c r="J1703" i="7"/>
  <c r="L1703" i="7" s="1"/>
  <c r="J1704" i="7"/>
  <c r="J1705" i="7"/>
  <c r="L1705" i="7" s="1"/>
  <c r="J1706" i="7"/>
  <c r="L1706" i="7" s="1"/>
  <c r="J1707" i="7"/>
  <c r="L1707" i="7" s="1"/>
  <c r="J1708" i="7"/>
  <c r="L1708" i="7" s="1"/>
  <c r="J1709" i="7"/>
  <c r="L1709" i="7" s="1"/>
  <c r="J1710" i="7"/>
  <c r="L1710" i="7" s="1"/>
  <c r="J1711" i="7"/>
  <c r="L1711" i="7" s="1"/>
  <c r="J1712" i="7"/>
  <c r="J1713" i="7"/>
  <c r="L1713" i="7" s="1"/>
  <c r="J1714" i="7"/>
  <c r="J1715" i="7"/>
  <c r="L1715" i="7" s="1"/>
  <c r="J1716" i="7"/>
  <c r="J1717" i="7"/>
  <c r="L1717" i="7" s="1"/>
  <c r="J1718" i="7"/>
  <c r="L1718" i="7" s="1"/>
  <c r="J1719" i="7"/>
  <c r="J1720" i="7"/>
  <c r="L1720" i="7" s="1"/>
  <c r="J1721" i="7"/>
  <c r="J1722" i="7"/>
  <c r="J1723" i="7"/>
  <c r="L1723" i="7" s="1"/>
  <c r="J1724" i="7"/>
  <c r="J1725" i="7"/>
  <c r="J1726" i="7"/>
  <c r="L1726" i="7" s="1"/>
  <c r="J1727" i="7"/>
  <c r="L1727" i="7" s="1"/>
  <c r="J1728" i="7"/>
  <c r="L1728" i="7" s="1"/>
  <c r="J1729" i="7"/>
  <c r="J1730" i="7"/>
  <c r="L1730" i="7" s="1"/>
  <c r="J1731" i="7"/>
  <c r="J1732" i="7"/>
  <c r="L1732" i="7" s="1"/>
  <c r="J1733" i="7"/>
  <c r="L1733" i="7" s="1"/>
  <c r="J1734" i="7"/>
  <c r="L1734" i="7" s="1"/>
  <c r="J1735" i="7"/>
  <c r="L1735" i="7" s="1"/>
  <c r="J1736" i="7"/>
  <c r="J1737" i="7"/>
  <c r="J1738" i="7"/>
  <c r="L1738" i="7" s="1"/>
  <c r="J1739" i="7"/>
  <c r="L1739" i="7" s="1"/>
  <c r="J1740" i="7"/>
  <c r="L1740" i="7" s="1"/>
  <c r="J1741" i="7"/>
  <c r="L1741" i="7" s="1"/>
  <c r="J1742" i="7"/>
  <c r="J1743" i="7"/>
  <c r="J1744" i="7"/>
  <c r="L1744" i="7" s="1"/>
  <c r="J1745" i="7"/>
  <c r="J1746" i="7"/>
  <c r="L1746" i="7" s="1"/>
  <c r="J1747" i="7"/>
  <c r="J1748" i="7"/>
  <c r="J1749" i="7"/>
  <c r="J1750" i="7"/>
  <c r="L1750" i="7" s="1"/>
  <c r="J1751" i="7"/>
  <c r="J1752" i="7"/>
  <c r="L1752" i="7" s="1"/>
  <c r="J1753" i="7"/>
  <c r="L1753" i="7" s="1"/>
  <c r="J1754" i="7"/>
  <c r="L1754" i="7" s="1"/>
  <c r="J1755" i="7"/>
  <c r="L1755" i="7" s="1"/>
  <c r="J1756" i="7"/>
  <c r="L1756" i="7" s="1"/>
  <c r="J1757" i="7"/>
  <c r="L1757" i="7" s="1"/>
  <c r="J1758" i="7"/>
  <c r="J1759" i="7"/>
  <c r="J1760" i="7"/>
  <c r="J1761" i="7"/>
  <c r="J1762" i="7"/>
  <c r="L1762" i="7" s="1"/>
  <c r="J1763" i="7"/>
  <c r="L1763" i="7" s="1"/>
  <c r="J1764" i="7"/>
  <c r="J1765" i="7"/>
  <c r="L1765" i="7" s="1"/>
  <c r="J1766" i="7"/>
  <c r="L1766" i="7" s="1"/>
  <c r="J1767" i="7"/>
  <c r="L1767" i="7" s="1"/>
  <c r="J1768" i="7"/>
  <c r="L1768" i="7" s="1"/>
  <c r="J1769" i="7"/>
  <c r="L1769" i="7" s="1"/>
  <c r="J1770" i="7"/>
  <c r="L1770" i="7" s="1"/>
  <c r="J1771" i="7"/>
  <c r="L1771" i="7" s="1"/>
  <c r="J1772" i="7"/>
  <c r="J1773" i="7"/>
  <c r="J1774" i="7"/>
  <c r="J1775" i="7"/>
  <c r="L1775" i="7" s="1"/>
  <c r="J1776" i="7"/>
  <c r="L1776" i="7" s="1"/>
  <c r="J1777" i="7"/>
  <c r="L1777" i="7" s="1"/>
  <c r="J1778" i="7"/>
  <c r="L1778" i="7" s="1"/>
  <c r="J1779" i="7"/>
  <c r="L1779" i="7" s="1"/>
  <c r="J1780" i="7"/>
  <c r="L1780" i="7" s="1"/>
  <c r="J1781" i="7"/>
  <c r="L1781" i="7" s="1"/>
  <c r="J1782" i="7"/>
  <c r="L1782" i="7" s="1"/>
  <c r="J1783" i="7"/>
  <c r="L1783" i="7" s="1"/>
  <c r="J1784" i="7"/>
  <c r="J1785" i="7"/>
  <c r="J1786" i="7"/>
  <c r="J1787" i="7"/>
  <c r="L1787" i="7" s="1"/>
  <c r="J1788" i="7"/>
  <c r="L1788" i="7" s="1"/>
  <c r="J1789" i="7"/>
  <c r="L1789" i="7" s="1"/>
  <c r="J1790" i="7"/>
  <c r="L1790" i="7" s="1"/>
  <c r="J1791" i="7"/>
  <c r="L1791" i="7" s="1"/>
  <c r="J1792" i="7"/>
  <c r="L1792" i="7" s="1"/>
  <c r="J1793" i="7"/>
  <c r="L1793" i="7" s="1"/>
  <c r="J1794" i="7"/>
  <c r="L1794" i="7" s="1"/>
  <c r="J1795" i="7"/>
  <c r="J1796" i="7"/>
  <c r="J1797" i="7"/>
  <c r="J1798" i="7"/>
  <c r="L1798" i="7" s="1"/>
  <c r="J1799" i="7"/>
  <c r="L1799" i="7" s="1"/>
  <c r="J1800" i="7"/>
  <c r="L1800" i="7" s="1"/>
  <c r="J1801" i="7"/>
  <c r="L1801" i="7" s="1"/>
  <c r="J1802" i="7"/>
  <c r="L1802" i="7" s="1"/>
  <c r="J1803" i="7"/>
  <c r="J1804" i="7"/>
  <c r="L1804" i="7" s="1"/>
  <c r="J1805" i="7"/>
  <c r="L1805" i="7" s="1"/>
  <c r="J1806" i="7"/>
  <c r="L1806" i="7" s="1"/>
  <c r="J1807" i="7"/>
  <c r="L1807" i="7" s="1"/>
  <c r="J1808" i="7"/>
  <c r="J1809" i="7"/>
  <c r="J1810" i="7"/>
  <c r="L1810" i="7" s="1"/>
  <c r="J1811" i="7"/>
  <c r="L1811" i="7" s="1"/>
  <c r="J1812" i="7"/>
  <c r="L1812" i="7" s="1"/>
  <c r="J1813" i="7"/>
  <c r="L1813" i="7" s="1"/>
  <c r="J1814" i="7"/>
  <c r="L1814" i="7" s="1"/>
  <c r="J1815" i="7"/>
  <c r="L1815" i="7" s="1"/>
  <c r="J1816" i="7"/>
  <c r="J1817" i="7"/>
  <c r="L1817" i="7" s="1"/>
  <c r="J1818" i="7"/>
  <c r="L1818" i="7" s="1"/>
  <c r="J1819" i="7"/>
  <c r="J1820" i="7"/>
  <c r="J1821" i="7"/>
  <c r="J1822" i="7"/>
  <c r="L1822" i="7" s="1"/>
  <c r="J1823" i="7"/>
  <c r="J1824" i="7"/>
  <c r="L1824" i="7" s="1"/>
  <c r="J1825" i="7"/>
  <c r="L1825" i="7" s="1"/>
  <c r="J1826" i="7"/>
  <c r="L1826" i="7" s="1"/>
  <c r="J1827" i="7"/>
  <c r="L1827" i="7" s="1"/>
  <c r="J1828" i="7"/>
  <c r="L1828" i="7" s="1"/>
  <c r="J1829" i="7"/>
  <c r="L1829" i="7" s="1"/>
  <c r="J1830" i="7"/>
  <c r="L1830" i="7" s="1"/>
  <c r="J1831" i="7"/>
  <c r="L1831" i="7" s="1"/>
  <c r="J1832" i="7"/>
  <c r="J1833" i="7"/>
  <c r="L1833" i="7" s="1"/>
  <c r="J1834" i="7"/>
  <c r="J1835" i="7"/>
  <c r="L1835" i="7" s="1"/>
  <c r="J1836" i="7"/>
  <c r="L1836" i="7" s="1"/>
  <c r="J1837" i="7"/>
  <c r="L1837" i="7" s="1"/>
  <c r="J1838" i="7"/>
  <c r="L1838" i="7" s="1"/>
  <c r="J1839" i="7"/>
  <c r="L1839" i="7" s="1"/>
  <c r="J1840" i="7"/>
  <c r="L1840" i="7" s="1"/>
  <c r="J1841" i="7"/>
  <c r="L1841" i="7" s="1"/>
  <c r="J1842" i="7"/>
  <c r="J1843" i="7"/>
  <c r="L1843" i="7" s="1"/>
  <c r="J1844" i="7"/>
  <c r="J1845" i="7"/>
  <c r="J1846" i="7"/>
  <c r="L1846" i="7" s="1"/>
  <c r="J1847" i="7"/>
  <c r="L1847" i="7" s="1"/>
  <c r="J1848" i="7"/>
  <c r="L1848" i="7" s="1"/>
  <c r="J1849" i="7"/>
  <c r="L1849" i="7" s="1"/>
  <c r="J1850" i="7"/>
  <c r="L1850" i="7" s="1"/>
  <c r="J1851" i="7"/>
  <c r="L1851" i="7" s="1"/>
  <c r="J1852" i="7"/>
  <c r="L1852" i="7" s="1"/>
  <c r="J1853" i="7"/>
  <c r="L1853" i="7" s="1"/>
  <c r="J1854" i="7"/>
  <c r="J1855" i="7"/>
  <c r="L1855" i="7" s="1"/>
  <c r="J1856" i="7"/>
  <c r="J1857" i="7"/>
  <c r="L1857" i="7" s="1"/>
  <c r="J1858" i="7"/>
  <c r="J1859" i="7"/>
  <c r="L1859" i="7" s="1"/>
  <c r="J1860" i="7"/>
  <c r="L1860" i="7" s="1"/>
  <c r="J1861" i="7"/>
  <c r="L1861" i="7" s="1"/>
  <c r="J1862" i="7"/>
  <c r="L1862" i="7" s="1"/>
  <c r="J1863" i="7"/>
  <c r="L1863" i="7" s="1"/>
  <c r="J1864" i="7"/>
  <c r="L1864" i="7" s="1"/>
  <c r="J1865" i="7"/>
  <c r="L1865" i="7" s="1"/>
  <c r="J1866" i="7"/>
  <c r="L1866" i="7" s="1"/>
  <c r="J1867" i="7"/>
  <c r="L1867" i="7" s="1"/>
  <c r="J1868" i="7"/>
  <c r="L1868" i="7" s="1"/>
  <c r="J1869" i="7"/>
  <c r="J1870" i="7"/>
  <c r="L1870" i="7" s="1"/>
  <c r="J1871" i="7"/>
  <c r="L1871" i="7" s="1"/>
  <c r="J1872" i="7"/>
  <c r="L1872" i="7" s="1"/>
  <c r="J1873" i="7"/>
  <c r="L1873" i="7" s="1"/>
  <c r="J1874" i="7"/>
  <c r="L1874" i="7" s="1"/>
  <c r="J1875" i="7"/>
  <c r="J1876" i="7"/>
  <c r="L1876" i="7" s="1"/>
  <c r="J1877" i="7"/>
  <c r="L1877" i="7" s="1"/>
  <c r="J1878" i="7"/>
  <c r="L1878" i="7" s="1"/>
  <c r="J1879" i="7"/>
  <c r="L1879" i="7" s="1"/>
  <c r="J1880" i="7"/>
  <c r="L1880" i="7" s="1"/>
  <c r="J1881" i="7"/>
  <c r="J1882" i="7"/>
  <c r="L1882" i="7" s="1"/>
  <c r="J1883" i="7"/>
  <c r="L1883" i="7" s="1"/>
  <c r="J1884" i="7"/>
  <c r="J1885" i="7"/>
  <c r="L1885" i="7" s="1"/>
  <c r="J1886" i="7"/>
  <c r="L1886" i="7" s="1"/>
  <c r="J1887" i="7"/>
  <c r="J1888" i="7"/>
  <c r="L1888" i="7" s="1"/>
  <c r="J1889" i="7"/>
  <c r="L1889" i="7" s="1"/>
  <c r="J1890" i="7"/>
  <c r="L1890" i="7" s="1"/>
  <c r="J1891" i="7"/>
  <c r="L1891" i="7" s="1"/>
  <c r="J1892" i="7"/>
  <c r="J1893" i="7"/>
  <c r="J1894" i="7"/>
  <c r="L1894" i="7" s="1"/>
  <c r="J1895" i="7"/>
  <c r="L1895" i="7" s="1"/>
  <c r="J1896" i="7"/>
  <c r="L1896" i="7" s="1"/>
  <c r="J1897" i="7"/>
  <c r="J1898" i="7"/>
  <c r="J1899" i="7"/>
  <c r="L1899" i="7" s="1"/>
  <c r="J1900" i="7"/>
  <c r="L1900" i="7" s="1"/>
  <c r="J1901" i="7"/>
  <c r="L1901" i="7" s="1"/>
  <c r="J1902" i="7"/>
  <c r="L1902" i="7" s="1"/>
  <c r="J1903" i="7"/>
  <c r="L1903" i="7" s="1"/>
  <c r="J1904" i="7"/>
  <c r="J1905" i="7"/>
  <c r="J1906" i="7"/>
  <c r="L1906" i="7" s="1"/>
  <c r="J1907" i="7"/>
  <c r="L1907" i="7" s="1"/>
  <c r="J1908" i="7"/>
  <c r="L1908" i="7" s="1"/>
  <c r="J1909" i="7"/>
  <c r="L1909" i="7" s="1"/>
  <c r="J1910" i="7"/>
  <c r="J1911" i="7"/>
  <c r="L1911" i="7" s="1"/>
  <c r="J1912" i="7"/>
  <c r="L1912" i="7" s="1"/>
  <c r="J1913" i="7"/>
  <c r="L1913" i="7" s="1"/>
  <c r="J1914" i="7"/>
  <c r="L1914" i="7" s="1"/>
  <c r="J1915" i="7"/>
  <c r="L1915" i="7" s="1"/>
  <c r="J1916" i="7"/>
  <c r="L1916" i="7" s="1"/>
  <c r="J1917" i="7"/>
  <c r="J1918" i="7"/>
  <c r="L1918" i="7" s="1"/>
  <c r="J1919" i="7"/>
  <c r="L1919" i="7" s="1"/>
  <c r="J1920" i="7"/>
  <c r="J1921" i="7"/>
  <c r="L1921" i="7" s="1"/>
  <c r="J1922" i="7"/>
  <c r="L1922" i="7" s="1"/>
  <c r="J1923" i="7"/>
  <c r="L1923" i="7" s="1"/>
  <c r="J1924" i="7"/>
  <c r="L1924" i="7" s="1"/>
  <c r="J1925" i="7"/>
  <c r="J1926" i="7"/>
  <c r="L1926" i="7" s="1"/>
  <c r="J1927" i="7"/>
  <c r="L1927" i="7" s="1"/>
  <c r="J1928" i="7"/>
  <c r="J1929" i="7"/>
  <c r="J1930" i="7"/>
  <c r="L1930" i="7" s="1"/>
  <c r="J1931" i="7"/>
  <c r="L1931" i="7" s="1"/>
  <c r="J1932" i="7"/>
  <c r="L1932" i="7" s="1"/>
  <c r="J1933" i="7"/>
  <c r="L1933" i="7" s="1"/>
  <c r="J1934" i="7"/>
  <c r="L1934" i="7" s="1"/>
  <c r="J1935" i="7"/>
  <c r="L1935" i="7" s="1"/>
  <c r="J1936" i="7"/>
  <c r="L1936" i="7" s="1"/>
  <c r="J1937" i="7"/>
  <c r="J1938" i="7"/>
  <c r="J1939" i="7"/>
  <c r="L1939" i="7" s="1"/>
  <c r="J1940" i="7"/>
  <c r="J1941" i="7"/>
  <c r="J1942" i="7"/>
  <c r="L1942" i="7" s="1"/>
  <c r="J1943" i="7"/>
  <c r="L1943" i="7" s="1"/>
  <c r="J1944" i="7"/>
  <c r="L1944" i="7" s="1"/>
  <c r="J1945" i="7"/>
  <c r="L1945" i="7" s="1"/>
  <c r="J1946" i="7"/>
  <c r="L1946" i="7" s="1"/>
  <c r="J1947" i="7"/>
  <c r="J1948" i="7"/>
  <c r="L1948" i="7" s="1"/>
  <c r="J1949" i="7"/>
  <c r="L1949" i="7" s="1"/>
  <c r="J1950" i="7"/>
  <c r="L1950" i="7" s="1"/>
  <c r="J1951" i="7"/>
  <c r="J1952" i="7"/>
  <c r="J1953" i="7"/>
  <c r="J1954" i="7"/>
  <c r="J1955" i="7"/>
  <c r="L1955" i="7" s="1"/>
  <c r="J1956" i="7"/>
  <c r="L1956" i="7" s="1"/>
  <c r="J1957" i="7"/>
  <c r="L1957" i="7" s="1"/>
  <c r="J1958" i="7"/>
  <c r="L1958" i="7" s="1"/>
  <c r="J1959" i="7"/>
  <c r="L1959" i="7" s="1"/>
  <c r="J1960" i="7"/>
  <c r="L1960" i="7" s="1"/>
  <c r="J1961" i="7"/>
  <c r="L1961" i="7" s="1"/>
  <c r="J1962" i="7"/>
  <c r="L1962" i="7" s="1"/>
  <c r="J1963" i="7"/>
  <c r="L1963" i="7" s="1"/>
  <c r="J1964" i="7"/>
  <c r="J1965" i="7"/>
  <c r="J1966" i="7"/>
  <c r="L1966" i="7" s="1"/>
  <c r="J1967" i="7"/>
  <c r="L1967" i="7" s="1"/>
  <c r="J1968" i="7"/>
  <c r="L1968" i="7" s="1"/>
  <c r="J1969" i="7"/>
  <c r="L1969" i="7" s="1"/>
  <c r="J1970" i="7"/>
  <c r="L1970" i="7" s="1"/>
  <c r="J1971" i="7"/>
  <c r="L1971" i="7" s="1"/>
  <c r="J1972" i="7"/>
  <c r="L1972" i="7" s="1"/>
  <c r="J1973" i="7"/>
  <c r="L1973" i="7" s="1"/>
  <c r="J1974" i="7"/>
  <c r="L1974" i="7" s="1"/>
  <c r="J1975" i="7"/>
  <c r="L1975" i="7" s="1"/>
  <c r="J1976" i="7"/>
  <c r="J1977" i="7"/>
  <c r="J1978" i="7"/>
  <c r="J1979" i="7"/>
  <c r="L1979" i="7" s="1"/>
  <c r="J1980" i="7"/>
  <c r="L1980" i="7" s="1"/>
  <c r="J1981" i="7"/>
  <c r="L1981" i="7" s="1"/>
  <c r="J1982" i="7"/>
  <c r="L1982" i="7" s="1"/>
  <c r="J1983" i="7"/>
  <c r="L1983" i="7" s="1"/>
  <c r="J1984" i="7"/>
  <c r="L1984" i="7" s="1"/>
  <c r="J1985" i="7"/>
  <c r="J1986" i="7"/>
  <c r="J1987" i="7"/>
  <c r="L1987" i="7" s="1"/>
  <c r="J1988" i="7"/>
  <c r="J1989" i="7"/>
  <c r="J1990" i="7"/>
  <c r="L1990" i="7" s="1"/>
  <c r="J1991" i="7"/>
  <c r="L1991" i="7" s="1"/>
  <c r="J1992" i="7"/>
  <c r="L1992" i="7" s="1"/>
  <c r="J1993" i="7"/>
  <c r="L1993" i="7" s="1"/>
  <c r="J1994" i="7"/>
  <c r="L1994" i="7" s="1"/>
  <c r="J1995" i="7"/>
  <c r="L1995" i="7" s="1"/>
  <c r="J1996" i="7"/>
  <c r="L1996" i="7" s="1"/>
  <c r="J1997" i="7"/>
  <c r="L1997" i="7" s="1"/>
  <c r="J1998" i="7"/>
  <c r="L1998" i="7" s="1"/>
  <c r="J1999" i="7"/>
  <c r="L1999" i="7" s="1"/>
  <c r="J2000" i="7"/>
  <c r="J2001" i="7"/>
  <c r="L2001" i="7" s="1"/>
  <c r="J2002" i="7"/>
  <c r="L2002" i="7" s="1"/>
  <c r="J2003" i="7"/>
  <c r="L2003" i="7" s="1"/>
  <c r="J2004" i="7"/>
  <c r="L2004" i="7" s="1"/>
  <c r="J2005" i="7"/>
  <c r="L2005" i="7" s="1"/>
  <c r="J2006" i="7"/>
  <c r="L2006" i="7" s="1"/>
  <c r="J2007" i="7"/>
  <c r="J2008" i="7"/>
  <c r="L2008" i="7" s="1"/>
  <c r="J2009" i="7"/>
  <c r="L2009" i="7" s="1"/>
  <c r="J2010" i="7"/>
  <c r="L2010" i="7" s="1"/>
  <c r="J2011" i="7"/>
  <c r="L2011" i="7" s="1"/>
  <c r="J2012" i="7"/>
  <c r="J2013" i="7"/>
  <c r="J2014" i="7"/>
  <c r="L2014" i="7" s="1"/>
  <c r="J2015" i="7"/>
  <c r="L2015" i="7" s="1"/>
  <c r="J2016" i="7"/>
  <c r="L2016" i="7" s="1"/>
  <c r="J2017" i="7"/>
  <c r="J2018" i="7"/>
  <c r="J2019" i="7"/>
  <c r="L2019" i="7" s="1"/>
  <c r="J2020" i="7"/>
  <c r="L2020" i="7" s="1"/>
  <c r="J2021" i="7"/>
  <c r="L2021" i="7" s="1"/>
  <c r="J2022" i="7"/>
  <c r="J2023" i="7"/>
  <c r="L2023" i="7" s="1"/>
  <c r="J2024" i="7"/>
  <c r="J2025" i="7"/>
  <c r="J2026" i="7"/>
  <c r="L2026" i="7" s="1"/>
  <c r="J2027" i="7"/>
  <c r="L2027" i="7" s="1"/>
  <c r="J2028" i="7"/>
  <c r="L2028" i="7" s="1"/>
  <c r="J2029" i="7"/>
  <c r="L2029" i="7" s="1"/>
  <c r="J2030" i="7"/>
  <c r="L2030" i="7" s="1"/>
  <c r="J2031" i="7"/>
  <c r="L2031" i="7" s="1"/>
  <c r="J2032" i="7"/>
  <c r="L2032" i="7" s="1"/>
  <c r="J2033" i="7"/>
  <c r="L2033" i="7" s="1"/>
  <c r="J2034" i="7"/>
  <c r="L2034" i="7" s="1"/>
  <c r="J2035" i="7"/>
  <c r="L2035" i="7" s="1"/>
  <c r="J2036" i="7"/>
  <c r="J2037" i="7"/>
  <c r="J2038" i="7"/>
  <c r="J2039" i="7"/>
  <c r="L2039" i="7" s="1"/>
  <c r="J2040" i="7"/>
  <c r="L2040" i="7" s="1"/>
  <c r="J2041" i="7"/>
  <c r="L2041" i="7" s="1"/>
  <c r="J2042" i="7"/>
  <c r="L2042" i="7" s="1"/>
  <c r="J2043" i="7"/>
  <c r="J2044" i="7"/>
  <c r="L2044" i="7" s="1"/>
  <c r="J2045" i="7"/>
  <c r="L2045" i="7" s="1"/>
  <c r="J2046" i="7"/>
  <c r="L2046" i="7" s="1"/>
  <c r="J2047" i="7"/>
  <c r="L2047" i="7" s="1"/>
  <c r="J2048" i="7"/>
  <c r="J3" i="7"/>
  <c r="L3" i="7" s="1"/>
  <c r="L2048" i="7"/>
  <c r="L2043" i="7"/>
  <c r="L2037" i="7"/>
  <c r="L2036" i="7"/>
  <c r="L2025" i="7"/>
  <c r="D2024" i="7"/>
  <c r="D2023" i="7"/>
  <c r="L2022" i="7"/>
  <c r="L2017" i="7"/>
  <c r="L2013" i="7"/>
  <c r="L2012" i="7"/>
  <c r="L2007" i="7"/>
  <c r="D2003" i="7"/>
  <c r="D2001" i="7"/>
  <c r="L2000" i="7"/>
  <c r="D1991" i="7"/>
  <c r="L1989" i="7"/>
  <c r="D1989" i="7"/>
  <c r="L1988" i="7"/>
  <c r="D1980" i="7"/>
  <c r="L1978" i="7"/>
  <c r="L1977" i="7"/>
  <c r="L1976" i="7"/>
  <c r="D1969" i="7"/>
  <c r="L1965" i="7"/>
  <c r="D1965" i="7"/>
  <c r="L1964" i="7"/>
  <c r="D1963" i="7"/>
  <c r="L1953" i="7"/>
  <c r="D1953" i="7"/>
  <c r="L1952" i="7"/>
  <c r="L1941" i="7"/>
  <c r="D1941" i="7"/>
  <c r="D1940" i="7"/>
  <c r="L1937" i="7"/>
  <c r="D1933" i="7"/>
  <c r="L1929" i="7"/>
  <c r="L1928" i="7"/>
  <c r="D1928" i="7"/>
  <c r="L1925" i="7"/>
  <c r="L1917" i="7"/>
  <c r="L1905" i="7"/>
  <c r="D1905" i="7"/>
  <c r="D1903" i="7"/>
  <c r="L1893" i="7"/>
  <c r="L1892" i="7"/>
  <c r="D1890" i="7"/>
  <c r="L1887" i="7"/>
  <c r="L1884" i="7"/>
  <c r="D1884" i="7"/>
  <c r="D1878" i="7"/>
  <c r="L1875" i="7"/>
  <c r="D1875" i="7"/>
  <c r="L1869" i="7"/>
  <c r="D1868" i="7"/>
  <c r="D1859" i="7"/>
  <c r="L1858" i="7"/>
  <c r="D1858" i="7"/>
  <c r="L1856" i="7"/>
  <c r="L1845" i="7"/>
  <c r="D1844" i="7"/>
  <c r="L1842" i="7"/>
  <c r="L1832" i="7"/>
  <c r="D1828" i="7"/>
  <c r="D1824" i="7"/>
  <c r="L1823" i="7"/>
  <c r="D1823" i="7"/>
  <c r="L1821" i="7"/>
  <c r="L1820" i="7"/>
  <c r="L1809" i="7"/>
  <c r="D1809" i="7"/>
  <c r="L1808" i="7"/>
  <c r="L1803" i="7"/>
  <c r="D1800" i="7"/>
  <c r="L1797" i="7"/>
  <c r="L1796" i="7"/>
  <c r="L1795" i="7"/>
  <c r="D1794" i="7"/>
  <c r="D1788" i="7"/>
  <c r="L1786" i="7"/>
  <c r="L1785" i="7"/>
  <c r="L1784" i="7"/>
  <c r="D1777" i="7"/>
  <c r="D1775" i="7"/>
  <c r="L1774" i="7"/>
  <c r="L1773" i="7"/>
  <c r="L1772" i="7"/>
  <c r="D1764" i="7"/>
  <c r="L1761" i="7"/>
  <c r="D1761" i="7"/>
  <c r="L1759" i="7"/>
  <c r="L1758" i="7"/>
  <c r="D1753" i="7"/>
  <c r="L1751" i="7"/>
  <c r="L1749" i="7"/>
  <c r="L1748" i="7"/>
  <c r="L1747" i="7"/>
  <c r="L1745" i="7"/>
  <c r="L1737" i="7"/>
  <c r="D1736" i="7"/>
  <c r="L1731" i="7"/>
  <c r="L1729" i="7"/>
  <c r="L1725" i="7"/>
  <c r="L1724" i="7"/>
  <c r="D1724" i="7"/>
  <c r="D1722" i="7"/>
  <c r="L1719" i="7"/>
  <c r="L1716" i="7"/>
  <c r="D1715" i="7"/>
  <c r="L1714" i="7"/>
  <c r="L1712" i="7"/>
  <c r="D1704" i="7"/>
  <c r="L1701" i="7"/>
  <c r="D1701" i="7"/>
  <c r="L1700" i="7"/>
  <c r="D1700" i="7"/>
  <c r="L1695" i="7"/>
  <c r="L1690" i="7"/>
  <c r="D1688" i="7"/>
  <c r="D1679" i="7"/>
  <c r="L1678" i="7"/>
  <c r="L1677" i="7"/>
  <c r="L1676" i="7"/>
  <c r="L1667" i="7"/>
  <c r="D1666" i="7"/>
  <c r="L1664" i="7"/>
  <c r="D1664" i="7"/>
  <c r="L1663" i="7"/>
  <c r="D1663" i="7"/>
  <c r="D1662" i="7"/>
  <c r="D1656" i="7"/>
  <c r="L1654" i="7"/>
  <c r="L1653" i="7"/>
  <c r="L1652" i="7"/>
  <c r="D1652" i="7"/>
  <c r="D1651" i="7"/>
  <c r="D1645" i="7"/>
  <c r="D1644" i="7"/>
  <c r="D1643" i="7"/>
  <c r="L1640" i="7"/>
  <c r="L1637" i="7"/>
  <c r="L1631" i="7"/>
  <c r="L1630" i="7"/>
  <c r="L1628" i="7"/>
  <c r="D1628" i="7"/>
  <c r="D1627" i="7"/>
  <c r="D1622" i="7"/>
  <c r="L1618" i="7"/>
  <c r="D1617" i="7"/>
  <c r="L1616" i="7"/>
  <c r="D1616" i="7"/>
  <c r="L1615" i="7"/>
  <c r="L1614" i="7"/>
  <c r="D1608" i="7"/>
  <c r="L1606" i="7"/>
  <c r="D1606" i="7"/>
  <c r="L1605" i="7"/>
  <c r="D1605" i="7"/>
  <c r="L1604" i="7"/>
  <c r="L1603" i="7"/>
  <c r="D1596" i="7"/>
  <c r="D1595" i="7"/>
  <c r="L1594" i="7"/>
  <c r="L1593" i="7"/>
  <c r="D1593" i="7"/>
  <c r="L1592" i="7"/>
  <c r="L1591" i="7"/>
  <c r="D1588" i="7"/>
  <c r="D1586" i="7"/>
  <c r="L1583" i="7"/>
  <c r="L1581" i="7"/>
  <c r="D1581" i="7"/>
  <c r="L1580" i="7"/>
  <c r="L1578" i="7"/>
  <c r="D1578" i="7"/>
  <c r="L1575" i="7"/>
  <c r="D1572" i="7"/>
  <c r="D1570" i="7"/>
  <c r="D1569" i="7"/>
  <c r="L1568" i="7"/>
  <c r="D1567" i="7"/>
  <c r="L1566" i="7"/>
  <c r="L1565" i="7"/>
  <c r="D1560" i="7"/>
  <c r="D1555" i="7"/>
  <c r="L1554" i="7"/>
  <c r="D1554" i="7"/>
  <c r="L1553" i="7"/>
  <c r="D1547" i="7"/>
  <c r="L1545" i="7"/>
  <c r="D1545" i="7"/>
  <c r="L1544" i="7"/>
  <c r="D1543" i="7"/>
  <c r="D1536" i="7"/>
  <c r="L1533" i="7"/>
  <c r="D1533" i="7"/>
  <c r="L1532" i="7"/>
  <c r="D1532" i="7"/>
  <c r="L1530" i="7"/>
  <c r="L1522" i="7"/>
  <c r="L1521" i="7"/>
  <c r="D1521" i="7"/>
  <c r="D1519" i="7"/>
  <c r="L1518" i="7"/>
  <c r="L1517" i="7"/>
  <c r="L1510" i="7"/>
  <c r="L1509" i="7"/>
  <c r="D1509" i="7"/>
  <c r="L1508" i="7"/>
  <c r="L1506" i="7"/>
  <c r="L1498" i="7"/>
  <c r="L1497" i="7"/>
  <c r="D1497" i="7"/>
  <c r="L1496" i="7"/>
  <c r="D1487" i="7"/>
  <c r="L1486" i="7"/>
  <c r="D1485" i="7"/>
  <c r="L1484" i="7"/>
  <c r="D1481" i="7"/>
  <c r="D1475" i="7"/>
  <c r="L1473" i="7"/>
  <c r="L1472" i="7"/>
  <c r="D1472" i="7"/>
  <c r="L1470" i="7"/>
  <c r="D1468" i="7"/>
  <c r="L1467" i="7"/>
  <c r="L1462" i="7"/>
  <c r="L1461" i="7"/>
  <c r="D1461" i="7"/>
  <c r="L1460" i="7"/>
  <c r="L1458" i="7"/>
  <c r="L1455" i="7"/>
  <c r="D1451" i="7"/>
  <c r="L1448" i="7"/>
  <c r="D1448" i="7"/>
  <c r="L1447" i="7"/>
  <c r="D1445" i="7"/>
  <c r="D1444" i="7"/>
  <c r="L1443" i="7"/>
  <c r="L1438" i="7"/>
  <c r="L1437" i="7"/>
  <c r="D1437" i="7"/>
  <c r="L1436" i="7"/>
  <c r="D1435" i="7"/>
  <c r="L1431" i="7"/>
  <c r="D1427" i="7"/>
  <c r="D1425" i="7"/>
  <c r="D1424" i="7"/>
  <c r="D1423" i="7"/>
  <c r="L1422" i="7"/>
  <c r="L1421" i="7"/>
  <c r="L1415" i="7"/>
  <c r="D1415" i="7"/>
  <c r="L1410" i="7"/>
  <c r="L1408" i="7"/>
  <c r="L1407" i="7"/>
  <c r="L1400" i="7"/>
  <c r="L1398" i="7"/>
  <c r="D1398" i="7"/>
  <c r="L1397" i="7"/>
  <c r="L1395" i="7"/>
  <c r="D1391" i="7"/>
  <c r="D1390" i="7"/>
  <c r="L1388" i="7"/>
  <c r="D1385" i="7"/>
  <c r="L1383" i="7"/>
  <c r="D1380" i="7"/>
  <c r="L1379" i="7"/>
  <c r="D1377" i="7"/>
  <c r="L1376" i="7"/>
  <c r="D1376" i="7"/>
  <c r="L1371" i="7"/>
  <c r="D1368" i="7"/>
  <c r="L1367" i="7"/>
  <c r="L1366" i="7"/>
  <c r="L1365" i="7"/>
  <c r="D1365" i="7"/>
  <c r="L1364" i="7"/>
  <c r="L1359" i="7"/>
  <c r="D1356" i="7"/>
  <c r="L1353" i="7"/>
  <c r="D1353" i="7"/>
  <c r="D1352" i="7"/>
  <c r="D1351" i="7"/>
  <c r="L1348" i="7"/>
  <c r="D1348" i="7"/>
  <c r="L1347" i="7"/>
  <c r="D1344" i="7"/>
  <c r="D1341" i="7"/>
  <c r="L1340" i="7"/>
  <c r="L1338" i="7"/>
  <c r="D1331" i="7"/>
  <c r="D1330" i="7"/>
  <c r="L1328" i="7"/>
  <c r="D1328" i="7"/>
  <c r="L1327" i="7"/>
  <c r="L1326" i="7"/>
  <c r="L1325" i="7"/>
  <c r="L1319" i="7"/>
  <c r="L1317" i="7"/>
  <c r="D1317" i="7"/>
  <c r="L1316" i="7"/>
  <c r="D1316" i="7"/>
  <c r="D1315" i="7"/>
  <c r="L1314" i="7"/>
  <c r="D1314" i="7"/>
  <c r="D1308" i="7"/>
  <c r="D1307" i="7"/>
  <c r="L1305" i="7"/>
  <c r="D1305" i="7"/>
  <c r="L1304" i="7"/>
  <c r="D1302" i="7"/>
  <c r="D1300" i="7"/>
  <c r="L1299" i="7"/>
  <c r="L1298" i="7"/>
  <c r="D1296" i="7"/>
  <c r="L1293" i="7"/>
  <c r="D1293" i="7"/>
  <c r="L1292" i="7"/>
  <c r="D1292" i="7"/>
  <c r="D1291" i="7"/>
  <c r="L1290" i="7"/>
  <c r="L1289" i="7"/>
  <c r="L1287" i="7"/>
  <c r="L1285" i="7"/>
  <c r="D1285" i="7"/>
  <c r="D1284" i="7"/>
  <c r="D1282" i="7"/>
  <c r="D1281" i="7"/>
  <c r="L1280" i="7"/>
  <c r="D1280" i="7"/>
  <c r="L1279" i="7"/>
  <c r="L1276" i="7"/>
  <c r="D1273" i="7"/>
  <c r="D1269" i="7"/>
  <c r="L1268" i="7"/>
  <c r="D1268" i="7"/>
  <c r="L1267" i="7"/>
  <c r="D1267" i="7"/>
  <c r="L1266" i="7"/>
  <c r="D1266" i="7"/>
  <c r="D1259" i="7"/>
  <c r="D1257" i="7"/>
  <c r="L1256" i="7"/>
  <c r="D1256" i="7"/>
  <c r="L1254" i="7"/>
  <c r="D1254" i="7"/>
  <c r="D1253" i="7"/>
  <c r="L1251" i="7"/>
  <c r="D1248" i="7"/>
  <c r="L1245" i="7"/>
  <c r="D1245" i="7"/>
  <c r="L1244" i="7"/>
  <c r="L1243" i="7"/>
  <c r="L1242" i="7"/>
  <c r="L1241" i="7"/>
  <c r="D1241" i="7"/>
  <c r="D1238" i="7"/>
  <c r="D1235" i="7"/>
  <c r="L1233" i="7"/>
  <c r="L1232" i="7"/>
  <c r="D1231" i="7"/>
  <c r="D1224" i="7"/>
  <c r="L1222" i="7"/>
  <c r="L1221" i="7"/>
  <c r="L1220" i="7"/>
  <c r="L1219" i="7"/>
  <c r="D1219" i="7"/>
  <c r="L1218" i="7"/>
  <c r="D1212" i="7"/>
  <c r="L1209" i="7"/>
  <c r="L1208" i="7"/>
  <c r="D1208" i="7"/>
  <c r="L1206" i="7"/>
  <c r="D1206" i="7"/>
  <c r="D1204" i="7"/>
  <c r="L1203" i="7"/>
  <c r="D1200" i="7"/>
  <c r="L1199" i="7"/>
  <c r="D1199" i="7"/>
  <c r="L1198" i="7"/>
  <c r="L1196" i="7"/>
  <c r="D1196" i="7"/>
  <c r="L1195" i="7"/>
  <c r="D1195" i="7"/>
  <c r="L1194" i="7"/>
  <c r="D1194" i="7"/>
  <c r="L1193" i="7"/>
  <c r="L1187" i="7"/>
  <c r="L1186" i="7"/>
  <c r="D1186" i="7"/>
  <c r="L1185" i="7"/>
  <c r="D1185" i="7"/>
  <c r="L1184" i="7"/>
  <c r="D1183" i="7"/>
  <c r="L1182" i="7"/>
  <c r="L1179" i="7"/>
  <c r="D1177" i="7"/>
  <c r="D1176" i="7"/>
  <c r="L1175" i="7"/>
  <c r="D1175" i="7"/>
  <c r="D1173" i="7"/>
  <c r="L1172" i="7"/>
  <c r="D1172" i="7"/>
  <c r="D1171" i="7"/>
  <c r="L1170" i="7"/>
  <c r="D1170" i="7"/>
  <c r="L1169" i="7"/>
  <c r="L1167" i="7"/>
  <c r="D1164" i="7"/>
  <c r="D1162" i="7"/>
  <c r="D1161" i="7"/>
  <c r="L1160" i="7"/>
  <c r="L1159" i="7"/>
  <c r="L1158" i="7"/>
  <c r="D1158" i="7"/>
  <c r="D1152" i="7"/>
  <c r="L1151" i="7"/>
  <c r="L1149" i="7"/>
  <c r="D1149" i="7"/>
  <c r="L1148" i="7"/>
  <c r="D1147" i="7"/>
  <c r="L1146" i="7"/>
  <c r="D1144" i="7"/>
  <c r="L1143" i="7"/>
  <c r="L1141" i="7"/>
  <c r="D1140" i="7"/>
  <c r="D1137" i="7"/>
  <c r="L1136" i="7"/>
  <c r="D1135" i="7"/>
  <c r="L1134" i="7"/>
  <c r="D1134" i="7"/>
  <c r="L1130" i="7"/>
  <c r="D1130" i="7"/>
  <c r="D1129" i="7"/>
  <c r="D1126" i="7"/>
  <c r="D1125" i="7"/>
  <c r="L1124" i="7"/>
  <c r="L1123" i="7"/>
  <c r="D1122" i="7"/>
  <c r="L1119" i="7"/>
  <c r="D1116" i="7"/>
  <c r="L1115" i="7"/>
  <c r="L1114" i="7"/>
  <c r="L1113" i="7"/>
  <c r="D1113" i="7"/>
  <c r="L1112" i="7"/>
  <c r="L1109" i="7"/>
  <c r="D1103" i="7"/>
  <c r="L1101" i="7"/>
  <c r="L1100" i="7"/>
  <c r="D1100" i="7"/>
  <c r="D1099" i="7"/>
  <c r="D1098" i="7"/>
  <c r="L1097" i="7"/>
  <c r="D1094" i="7"/>
  <c r="D1092" i="7"/>
  <c r="L1091" i="7"/>
  <c r="D1091" i="7"/>
  <c r="D1089" i="7"/>
  <c r="L1088" i="7"/>
  <c r="L1087" i="7"/>
  <c r="D1087" i="7"/>
  <c r="L1085" i="7"/>
  <c r="D1082" i="7"/>
  <c r="D1081" i="7"/>
  <c r="D1080" i="7"/>
  <c r="L1078" i="7"/>
  <c r="D1078" i="7"/>
  <c r="D1077" i="7"/>
  <c r="L1076" i="7"/>
  <c r="D1075" i="7"/>
  <c r="L1074" i="7"/>
  <c r="D1074" i="7"/>
  <c r="L1073" i="7"/>
  <c r="D1072" i="7"/>
  <c r="L1071" i="7"/>
  <c r="D1067" i="7"/>
  <c r="L1066" i="7"/>
  <c r="D1065" i="7"/>
  <c r="L1064" i="7"/>
  <c r="D1064" i="7"/>
  <c r="L1063" i="7"/>
  <c r="L1062" i="7"/>
  <c r="D1056" i="7"/>
  <c r="L1054" i="7"/>
  <c r="L1053" i="7"/>
  <c r="D1053" i="7"/>
  <c r="L1052" i="7"/>
  <c r="D1052" i="7"/>
  <c r="D1051" i="7"/>
  <c r="L1050" i="7"/>
  <c r="D1044" i="7"/>
  <c r="D1043" i="7"/>
  <c r="D1041" i="7"/>
  <c r="D1039" i="7"/>
  <c r="D1038" i="7"/>
  <c r="D1037" i="7"/>
  <c r="D1036" i="7"/>
  <c r="L1035" i="7"/>
  <c r="D1034" i="7"/>
  <c r="D1032" i="7"/>
  <c r="L1031" i="7"/>
  <c r="D1031" i="7"/>
  <c r="D1029" i="7"/>
  <c r="L1028" i="7"/>
  <c r="L1027" i="7"/>
  <c r="D1027" i="7"/>
  <c r="L1026" i="7"/>
  <c r="D1025" i="7"/>
  <c r="L1019" i="7"/>
  <c r="D1019" i="7"/>
  <c r="D1017" i="7"/>
  <c r="L1016" i="7"/>
  <c r="L1015" i="7"/>
  <c r="D1015" i="7"/>
  <c r="D1014" i="7"/>
  <c r="L1007" i="7"/>
  <c r="D1007" i="7"/>
  <c r="L1006" i="7"/>
  <c r="L1004" i="7"/>
  <c r="D1004" i="7"/>
  <c r="D1003" i="7"/>
  <c r="L1002" i="7"/>
  <c r="D1002" i="7"/>
  <c r="L999" i="7"/>
  <c r="D997" i="7"/>
  <c r="D996" i="7"/>
  <c r="L993" i="7"/>
  <c r="D993" i="7"/>
  <c r="L992" i="7"/>
  <c r="L991" i="7"/>
  <c r="L990" i="7"/>
  <c r="D990" i="7"/>
  <c r="D984" i="7"/>
  <c r="D983" i="7"/>
  <c r="L982" i="7"/>
  <c r="L981" i="7"/>
  <c r="D981" i="7"/>
  <c r="L980" i="7"/>
  <c r="D980" i="7"/>
  <c r="L975" i="7"/>
  <c r="D973" i="7"/>
  <c r="D972" i="7"/>
  <c r="L971" i="7"/>
  <c r="D971" i="7"/>
  <c r="D969" i="7"/>
  <c r="L968" i="7"/>
  <c r="D968" i="7"/>
  <c r="D967" i="7"/>
  <c r="D966" i="7"/>
  <c r="L965" i="7"/>
  <c r="L963" i="7"/>
  <c r="D961" i="7"/>
  <c r="D959" i="7"/>
  <c r="L957" i="7"/>
  <c r="D957" i="7"/>
  <c r="L956" i="7"/>
  <c r="D956" i="7"/>
  <c r="D954" i="7"/>
  <c r="L953" i="7"/>
  <c r="D947" i="7"/>
  <c r="D946" i="7"/>
  <c r="L945" i="7"/>
  <c r="D945" i="7"/>
  <c r="L944" i="7"/>
  <c r="D944" i="7"/>
  <c r="D943" i="7"/>
  <c r="L942" i="7"/>
  <c r="D940" i="7"/>
  <c r="L935" i="7"/>
  <c r="D935" i="7"/>
  <c r="L934" i="7"/>
  <c r="D933" i="7"/>
  <c r="L932" i="7"/>
  <c r="L930" i="7"/>
  <c r="L927" i="7"/>
  <c r="D923" i="7"/>
  <c r="L922" i="7"/>
  <c r="D922" i="7"/>
  <c r="L921" i="7"/>
  <c r="D921" i="7"/>
  <c r="L920" i="7"/>
  <c r="L918" i="7"/>
  <c r="L915" i="7"/>
  <c r="D910" i="7"/>
  <c r="D909" i="7"/>
  <c r="L908" i="7"/>
  <c r="L907" i="7"/>
  <c r="D907" i="7"/>
  <c r="L906" i="7"/>
  <c r="L905" i="7"/>
  <c r="L902" i="7"/>
  <c r="L899" i="7"/>
  <c r="D898" i="7"/>
  <c r="L897" i="7"/>
  <c r="D897" i="7"/>
  <c r="L896" i="7"/>
  <c r="D895" i="7"/>
  <c r="L894" i="7"/>
  <c r="D893" i="7"/>
  <c r="L887" i="7"/>
  <c r="D887" i="7"/>
  <c r="D886" i="7"/>
  <c r="L885" i="7"/>
  <c r="D885" i="7"/>
  <c r="L884" i="7"/>
  <c r="L883" i="7"/>
  <c r="L882" i="7"/>
  <c r="L881" i="7"/>
  <c r="D878" i="7"/>
  <c r="D877" i="7"/>
  <c r="L875" i="7"/>
  <c r="D873" i="7"/>
  <c r="L872" i="7"/>
  <c r="L871" i="7"/>
  <c r="D871" i="7"/>
  <c r="L870" i="7"/>
  <c r="L865" i="7"/>
  <c r="D863" i="7"/>
  <c r="D862" i="7"/>
  <c r="L861" i="7"/>
  <c r="D861" i="7"/>
  <c r="L860" i="7"/>
  <c r="D859" i="7"/>
  <c r="L858" i="7"/>
  <c r="L857" i="7"/>
  <c r="L854" i="7"/>
  <c r="L851" i="7"/>
  <c r="D851" i="7"/>
  <c r="D850" i="7"/>
  <c r="L849" i="7"/>
  <c r="D849" i="7"/>
  <c r="L848" i="7"/>
  <c r="D847" i="7"/>
  <c r="L846" i="7"/>
  <c r="L841" i="7"/>
  <c r="L839" i="7"/>
  <c r="D838" i="7"/>
  <c r="D837" i="7"/>
  <c r="L836" i="7"/>
  <c r="L835" i="7"/>
  <c r="L834" i="7"/>
  <c r="L833" i="7"/>
  <c r="D832" i="7"/>
  <c r="L827" i="7"/>
  <c r="D826" i="7"/>
  <c r="D825" i="7"/>
  <c r="L824" i="7"/>
  <c r="L823" i="7"/>
  <c r="D823" i="7"/>
  <c r="L822" i="7"/>
  <c r="L819" i="7"/>
  <c r="D819" i="7"/>
  <c r="D816" i="7"/>
  <c r="D814" i="7"/>
  <c r="D813" i="7"/>
  <c r="L812" i="7"/>
  <c r="D812" i="7"/>
  <c r="L811" i="7"/>
  <c r="D810" i="7"/>
  <c r="L809" i="7"/>
  <c r="L807" i="7"/>
  <c r="L806" i="7"/>
  <c r="D804" i="7"/>
  <c r="L803" i="7"/>
  <c r="D803" i="7"/>
  <c r="L802" i="7"/>
  <c r="D801" i="7"/>
  <c r="L800" i="7"/>
  <c r="D800" i="7"/>
  <c r="L799" i="7"/>
  <c r="D798" i="7"/>
  <c r="L795" i="7"/>
  <c r="D793" i="7"/>
  <c r="L791" i="7"/>
  <c r="D791" i="7"/>
  <c r="L790" i="7"/>
  <c r="D790" i="7"/>
  <c r="D789" i="7"/>
  <c r="L788" i="7"/>
  <c r="L787" i="7"/>
  <c r="L786" i="7"/>
  <c r="L781" i="7"/>
  <c r="D781" i="7"/>
  <c r="D780" i="7"/>
  <c r="L779" i="7"/>
  <c r="D779" i="7"/>
  <c r="D777" i="7"/>
  <c r="L776" i="7"/>
  <c r="D775" i="7"/>
  <c r="L774" i="7"/>
  <c r="D774" i="7"/>
  <c r="L773" i="7"/>
  <c r="D772" i="7"/>
  <c r="D770" i="7"/>
  <c r="D769" i="7"/>
  <c r="D768" i="7"/>
  <c r="D767" i="7"/>
  <c r="L766" i="7"/>
  <c r="L765" i="7"/>
  <c r="D765" i="7"/>
  <c r="L764" i="7"/>
  <c r="L763" i="7"/>
  <c r="D763" i="7"/>
  <c r="L762" i="7"/>
  <c r="D762" i="7"/>
  <c r="D761" i="7"/>
  <c r="D760" i="7"/>
  <c r="L759" i="7"/>
  <c r="D756" i="7"/>
  <c r="L755" i="7"/>
  <c r="L754" i="7"/>
  <c r="D754" i="7"/>
  <c r="L753" i="7"/>
  <c r="D753" i="7"/>
  <c r="L752" i="7"/>
  <c r="D752" i="7"/>
  <c r="L751" i="7"/>
  <c r="L750" i="7"/>
  <c r="D750" i="7"/>
  <c r="D744" i="7"/>
  <c r="L743" i="7"/>
  <c r="D743" i="7"/>
  <c r="L742" i="7"/>
  <c r="D742" i="7"/>
  <c r="D741" i="7"/>
  <c r="L740" i="7"/>
  <c r="D740" i="7"/>
  <c r="L738" i="7"/>
  <c r="D738" i="7"/>
  <c r="L737" i="7"/>
  <c r="D736" i="7"/>
  <c r="L735" i="7"/>
  <c r="D732" i="7"/>
  <c r="L731" i="7"/>
  <c r="L730" i="7"/>
  <c r="D730" i="7"/>
  <c r="L729" i="7"/>
  <c r="D729" i="7"/>
  <c r="L728" i="7"/>
  <c r="D727" i="7"/>
  <c r="L726" i="7"/>
  <c r="D726" i="7"/>
  <c r="L723" i="7"/>
  <c r="L721" i="7"/>
  <c r="D721" i="7"/>
  <c r="D720" i="7"/>
  <c r="L719" i="7"/>
  <c r="D719" i="7"/>
  <c r="D718" i="7"/>
  <c r="L717" i="7"/>
  <c r="D717" i="7"/>
  <c r="L716" i="7"/>
  <c r="D716" i="7"/>
  <c r="L715" i="7"/>
  <c r="L714" i="7"/>
  <c r="D714" i="7"/>
  <c r="D713" i="7"/>
  <c r="D710" i="7"/>
  <c r="D709" i="7"/>
  <c r="D708" i="7"/>
  <c r="D707" i="7"/>
  <c r="D706" i="7"/>
  <c r="D705" i="7"/>
  <c r="L704" i="7"/>
  <c r="D704" i="7"/>
  <c r="L702" i="7"/>
  <c r="D702" i="7"/>
  <c r="L701" i="7"/>
  <c r="D700" i="7"/>
  <c r="L699" i="7"/>
  <c r="D698" i="7"/>
  <c r="D697" i="7"/>
  <c r="D696" i="7"/>
  <c r="D695" i="7"/>
  <c r="L694" i="7"/>
  <c r="L693" i="7"/>
  <c r="D693" i="7"/>
  <c r="L691" i="7"/>
  <c r="L690" i="7"/>
  <c r="D690" i="7"/>
  <c r="D689" i="7"/>
  <c r="D688" i="7"/>
  <c r="L687" i="7"/>
  <c r="D684" i="7"/>
  <c r="L683" i="7"/>
  <c r="L682" i="7"/>
  <c r="L681" i="7"/>
  <c r="D681" i="7"/>
  <c r="L680" i="7"/>
  <c r="D680" i="7"/>
  <c r="L679" i="7"/>
  <c r="D679" i="7"/>
  <c r="L678" i="7"/>
  <c r="L677" i="7"/>
  <c r="L675" i="7"/>
  <c r="D672" i="7"/>
  <c r="L671" i="7"/>
  <c r="D671" i="7"/>
  <c r="L670" i="7"/>
  <c r="D670" i="7"/>
  <c r="D669" i="7"/>
  <c r="L668" i="7"/>
  <c r="D668" i="7"/>
  <c r="L667" i="7"/>
  <c r="D667" i="7"/>
  <c r="L663" i="7"/>
  <c r="D660" i="7"/>
  <c r="L659" i="7"/>
  <c r="D659" i="7"/>
  <c r="L658" i="7"/>
  <c r="D658" i="7"/>
  <c r="L657" i="7"/>
  <c r="D657" i="7"/>
  <c r="D656" i="7"/>
  <c r="D655" i="7"/>
  <c r="D654" i="7"/>
  <c r="L653" i="7"/>
  <c r="L651" i="7"/>
  <c r="D648" i="7"/>
  <c r="L647" i="7"/>
  <c r="D647" i="7"/>
  <c r="L645" i="7"/>
  <c r="D645" i="7"/>
  <c r="L644" i="7"/>
  <c r="L643" i="7"/>
  <c r="D643" i="7"/>
  <c r="L642" i="7"/>
  <c r="D642" i="7"/>
  <c r="L639" i="7"/>
  <c r="D637" i="7"/>
  <c r="L635" i="7"/>
  <c r="D635" i="7"/>
  <c r="D634" i="7"/>
  <c r="L633" i="7"/>
  <c r="D633" i="7"/>
  <c r="L632" i="7"/>
  <c r="D632" i="7"/>
  <c r="L631" i="7"/>
  <c r="D631" i="7"/>
  <c r="D630" i="7"/>
  <c r="L629" i="7"/>
  <c r="D629" i="7"/>
  <c r="D628" i="7"/>
  <c r="D626" i="7"/>
  <c r="D625" i="7"/>
  <c r="D624" i="7"/>
  <c r="L623" i="7"/>
  <c r="D623" i="7"/>
  <c r="L622" i="7"/>
  <c r="D622" i="7"/>
  <c r="D621" i="7"/>
  <c r="L620" i="7"/>
  <c r="D620" i="7"/>
  <c r="D619" i="7"/>
  <c r="L618" i="7"/>
  <c r="L617" i="7"/>
  <c r="D617" i="7"/>
  <c r="L615" i="7"/>
  <c r="D612" i="7"/>
  <c r="D611" i="7"/>
  <c r="D610" i="7"/>
  <c r="L609" i="7"/>
  <c r="D609" i="7"/>
  <c r="L608" i="7"/>
  <c r="D608" i="7"/>
  <c r="L607" i="7"/>
  <c r="D607" i="7"/>
  <c r="L606" i="7"/>
  <c r="D606" i="7"/>
  <c r="L599" i="7"/>
  <c r="D599" i="7"/>
  <c r="L598" i="7"/>
  <c r="D597" i="7"/>
  <c r="L596" i="7"/>
  <c r="D596" i="7"/>
  <c r="D595" i="7"/>
  <c r="L593" i="7"/>
  <c r="L591" i="7"/>
  <c r="D589" i="7"/>
  <c r="D588" i="7"/>
  <c r="L587" i="7"/>
  <c r="D587" i="7"/>
  <c r="L586" i="7"/>
  <c r="D586" i="7"/>
  <c r="L585" i="7"/>
  <c r="D585" i="7"/>
  <c r="L584" i="7"/>
  <c r="D583" i="7"/>
  <c r="L582" i="7"/>
  <c r="D582" i="7"/>
  <c r="L579" i="7"/>
  <c r="D577" i="7"/>
  <c r="L575" i="7"/>
  <c r="D575" i="7"/>
  <c r="L574" i="7"/>
  <c r="D574" i="7"/>
  <c r="L573" i="7"/>
  <c r="D573" i="7"/>
  <c r="L572" i="7"/>
  <c r="D572" i="7"/>
  <c r="L571" i="7"/>
  <c r="D571" i="7"/>
  <c r="L570" i="7"/>
  <c r="D569" i="7"/>
  <c r="D568" i="7"/>
  <c r="L567" i="7"/>
  <c r="D567" i="7"/>
  <c r="D564" i="7"/>
  <c r="D563" i="7"/>
  <c r="D562" i="7"/>
  <c r="D561" i="7"/>
  <c r="L560" i="7"/>
  <c r="L559" i="7"/>
  <c r="D559" i="7"/>
  <c r="L558" i="7"/>
  <c r="D558" i="7"/>
  <c r="D556" i="7"/>
  <c r="D552" i="7"/>
  <c r="L551" i="7"/>
  <c r="D551" i="7"/>
  <c r="L550" i="7"/>
  <c r="D550" i="7"/>
  <c r="L548" i="7"/>
  <c r="D548" i="7"/>
  <c r="L547" i="7"/>
  <c r="D547" i="7"/>
  <c r="D546" i="7"/>
  <c r="D540" i="7"/>
  <c r="L539" i="7"/>
  <c r="D539" i="7"/>
  <c r="L538" i="7"/>
  <c r="D538" i="7"/>
  <c r="L537" i="7"/>
  <c r="D537" i="7"/>
  <c r="L536" i="7"/>
  <c r="L535" i="7"/>
  <c r="D535" i="7"/>
  <c r="L534" i="7"/>
  <c r="D534" i="7"/>
  <c r="L531" i="7"/>
  <c r="D529" i="7"/>
  <c r="D528" i="7"/>
  <c r="D527" i="7"/>
  <c r="L526" i="7"/>
  <c r="D526" i="7"/>
  <c r="D525" i="7"/>
  <c r="L524" i="7"/>
  <c r="D524" i="7"/>
  <c r="L523" i="7"/>
  <c r="L521" i="7"/>
  <c r="D517" i="7"/>
  <c r="D516" i="7"/>
  <c r="D515" i="7"/>
  <c r="L514" i="7"/>
  <c r="D514" i="7"/>
  <c r="L513" i="7"/>
  <c r="L512" i="7"/>
  <c r="D512" i="7"/>
  <c r="D511" i="7"/>
  <c r="L510" i="7"/>
  <c r="D510" i="7"/>
  <c r="D509" i="7"/>
  <c r="D508" i="7"/>
  <c r="L507" i="7"/>
  <c r="D506" i="7"/>
  <c r="D505" i="7"/>
  <c r="D504" i="7"/>
  <c r="L503" i="7"/>
  <c r="D503" i="7"/>
  <c r="L502" i="7"/>
  <c r="D502" i="7"/>
  <c r="L501" i="7"/>
  <c r="D501" i="7"/>
  <c r="L500" i="7"/>
  <c r="D500" i="7"/>
  <c r="D499" i="7"/>
  <c r="L498" i="7"/>
  <c r="D498" i="7"/>
  <c r="D493" i="7"/>
  <c r="D492" i="7"/>
  <c r="L491" i="7"/>
  <c r="D491" i="7"/>
  <c r="D490" i="7"/>
  <c r="L489" i="7"/>
  <c r="D489" i="7"/>
  <c r="L488" i="7"/>
  <c r="D488" i="7"/>
  <c r="D487" i="7"/>
  <c r="D486" i="7"/>
  <c r="L485" i="7"/>
  <c r="D485" i="7"/>
  <c r="L483" i="7"/>
  <c r="D480" i="7"/>
  <c r="D479" i="7"/>
  <c r="D478" i="7"/>
  <c r="L477" i="7"/>
  <c r="D477" i="7"/>
  <c r="L476" i="7"/>
  <c r="L475" i="7"/>
  <c r="L474" i="7"/>
  <c r="D474" i="7"/>
  <c r="D469" i="7"/>
  <c r="D468" i="7"/>
  <c r="D467" i="7"/>
  <c r="D466" i="7"/>
  <c r="D465" i="7"/>
  <c r="L464" i="7"/>
  <c r="D463" i="7"/>
  <c r="L462" i="7"/>
  <c r="D462" i="7"/>
  <c r="L461" i="7"/>
  <c r="D460" i="7"/>
  <c r="L459" i="7"/>
  <c r="D458" i="7"/>
  <c r="D457" i="7"/>
  <c r="D456" i="7"/>
  <c r="L455" i="7"/>
  <c r="L454" i="7"/>
  <c r="D454" i="7"/>
  <c r="L453" i="7"/>
  <c r="D453" i="7"/>
  <c r="L451" i="7"/>
  <c r="D451" i="7"/>
  <c r="L450" i="7"/>
  <c r="D450" i="7"/>
  <c r="L449" i="7"/>
  <c r="D449" i="7"/>
  <c r="L447" i="7"/>
  <c r="D445" i="7"/>
  <c r="D444" i="7"/>
  <c r="L443" i="7"/>
  <c r="D443" i="7"/>
  <c r="D442" i="7"/>
  <c r="L441" i="7"/>
  <c r="D441" i="7"/>
  <c r="L440" i="7"/>
  <c r="D440" i="7"/>
  <c r="L438" i="7"/>
  <c r="D438" i="7"/>
  <c r="D436" i="7"/>
  <c r="L435" i="7"/>
  <c r="D432" i="7"/>
  <c r="D431" i="7"/>
  <c r="D430" i="7"/>
  <c r="D429" i="7"/>
  <c r="L428" i="7"/>
  <c r="L427" i="7"/>
  <c r="D427" i="7"/>
  <c r="L426" i="7"/>
  <c r="D426" i="7"/>
  <c r="L425" i="7"/>
  <c r="D424" i="7"/>
  <c r="D422" i="7"/>
  <c r="D420" i="7"/>
  <c r="D419" i="7"/>
  <c r="L418" i="7"/>
  <c r="D418" i="7"/>
  <c r="L417" i="7"/>
  <c r="D417" i="7"/>
  <c r="L416" i="7"/>
  <c r="D415" i="7"/>
  <c r="L414" i="7"/>
  <c r="D414" i="7"/>
  <c r="L413" i="7"/>
  <c r="D413" i="7"/>
  <c r="D412" i="7"/>
  <c r="D408" i="7"/>
  <c r="L407" i="7"/>
  <c r="D407" i="7"/>
  <c r="D406" i="7"/>
  <c r="L405" i="7"/>
  <c r="D405" i="7"/>
  <c r="L404" i="7"/>
  <c r="D404" i="7"/>
  <c r="L403" i="7"/>
  <c r="D403" i="7"/>
  <c r="D402" i="7"/>
  <c r="D400" i="7"/>
  <c r="D397" i="7"/>
  <c r="D396" i="7"/>
  <c r="L395" i="7"/>
  <c r="D395" i="7"/>
  <c r="D394" i="7"/>
  <c r="L393" i="7"/>
  <c r="D393" i="7"/>
  <c r="L392" i="7"/>
  <c r="L391" i="7"/>
  <c r="D391" i="7"/>
  <c r="L390" i="7"/>
  <c r="D390" i="7"/>
  <c r="L389" i="7"/>
  <c r="D388" i="7"/>
  <c r="L387" i="7"/>
  <c r="D385" i="7"/>
  <c r="D384" i="7"/>
  <c r="L383" i="7"/>
  <c r="D383" i="7"/>
  <c r="D382" i="7"/>
  <c r="L381" i="7"/>
  <c r="D381" i="7"/>
  <c r="L380" i="7"/>
  <c r="D379" i="7"/>
  <c r="D378" i="7"/>
  <c r="D376" i="7"/>
  <c r="D374" i="7"/>
  <c r="D373" i="7"/>
  <c r="D372" i="7"/>
  <c r="L371" i="7"/>
  <c r="D371" i="7"/>
  <c r="D370" i="7"/>
  <c r="L369" i="7"/>
  <c r="D369" i="7"/>
  <c r="L368" i="7"/>
  <c r="L367" i="7"/>
  <c r="D367" i="7"/>
  <c r="L366" i="7"/>
  <c r="D366" i="7"/>
  <c r="L365" i="7"/>
  <c r="D361" i="7"/>
  <c r="D360" i="7"/>
  <c r="D359" i="7"/>
  <c r="L358" i="7"/>
  <c r="L357" i="7"/>
  <c r="D357" i="7"/>
  <c r="D356" i="7"/>
  <c r="D355" i="7"/>
  <c r="L354" i="7"/>
  <c r="D354" i="7"/>
  <c r="L353" i="7"/>
  <c r="D353" i="7"/>
  <c r="D352" i="7"/>
  <c r="L351" i="7"/>
  <c r="D348" i="7"/>
  <c r="L347" i="7"/>
  <c r="D347" i="7"/>
  <c r="L346" i="7"/>
  <c r="D346" i="7"/>
  <c r="L345" i="7"/>
  <c r="D345" i="7"/>
  <c r="L343" i="7"/>
  <c r="D343" i="7"/>
  <c r="L342" i="7"/>
  <c r="L339" i="7"/>
  <c r="D338" i="7"/>
  <c r="D337" i="7"/>
  <c r="D336" i="7"/>
  <c r="D335" i="7"/>
  <c r="L334" i="7"/>
  <c r="D334" i="7"/>
  <c r="L333" i="7"/>
  <c r="D333" i="7"/>
  <c r="D332" i="7"/>
  <c r="L331" i="7"/>
  <c r="D331" i="7"/>
  <c r="L330" i="7"/>
  <c r="D330" i="7"/>
  <c r="L329" i="7"/>
  <c r="D329" i="7"/>
  <c r="D328" i="7"/>
  <c r="L327" i="7"/>
  <c r="D325" i="7"/>
  <c r="D324" i="7"/>
  <c r="L323" i="7"/>
  <c r="D323" i="7"/>
  <c r="L322" i="7"/>
  <c r="D322" i="7"/>
  <c r="L321" i="7"/>
  <c r="D321" i="7"/>
  <c r="D320" i="7"/>
  <c r="L319" i="7"/>
  <c r="D319" i="7"/>
  <c r="L318" i="7"/>
  <c r="D318" i="7"/>
  <c r="L317" i="7"/>
  <c r="D316" i="7"/>
  <c r="L312" i="7"/>
  <c r="D312" i="7"/>
  <c r="D311" i="7"/>
  <c r="D310" i="7"/>
  <c r="L309" i="7"/>
  <c r="D309" i="7"/>
  <c r="L308" i="7"/>
  <c r="D308" i="7"/>
  <c r="D307" i="7"/>
  <c r="D306" i="7"/>
  <c r="L305" i="7"/>
  <c r="D304" i="7"/>
  <c r="D302" i="7"/>
  <c r="D301" i="7"/>
  <c r="D300" i="7"/>
  <c r="L299" i="7"/>
  <c r="D299" i="7"/>
  <c r="L298" i="7"/>
  <c r="D298" i="7"/>
  <c r="L297" i="7"/>
  <c r="D297" i="7"/>
  <c r="L296" i="7"/>
  <c r="L295" i="7"/>
  <c r="D295" i="7"/>
  <c r="L294" i="7"/>
  <c r="D294" i="7"/>
  <c r="D293" i="7"/>
  <c r="L291" i="7"/>
  <c r="L289" i="7"/>
  <c r="D289" i="7"/>
  <c r="L288" i="7"/>
  <c r="D288" i="7"/>
  <c r="L287" i="7"/>
  <c r="D287" i="7"/>
  <c r="L286" i="7"/>
  <c r="D286" i="7"/>
  <c r="L285" i="7"/>
  <c r="D285" i="7"/>
  <c r="L284" i="7"/>
  <c r="D284" i="7"/>
  <c r="L283" i="7"/>
  <c r="D283" i="7"/>
  <c r="L282" i="7"/>
  <c r="D282" i="7"/>
  <c r="D281" i="7"/>
  <c r="D280" i="7"/>
  <c r="L279" i="7"/>
  <c r="D278" i="7"/>
  <c r="D277" i="7"/>
  <c r="D276" i="7"/>
  <c r="L275" i="7"/>
  <c r="D275" i="7"/>
  <c r="D274" i="7"/>
  <c r="L273" i="7"/>
  <c r="D273" i="7"/>
  <c r="L272" i="7"/>
  <c r="D272" i="7"/>
  <c r="L271" i="7"/>
  <c r="D271" i="7"/>
  <c r="L270" i="7"/>
  <c r="D270" i="7"/>
  <c r="L269" i="7"/>
  <c r="D268" i="7"/>
  <c r="D265" i="7"/>
  <c r="L264" i="7"/>
  <c r="D264" i="7"/>
  <c r="D263" i="7"/>
  <c r="L262" i="7"/>
  <c r="D262" i="7"/>
  <c r="L261" i="7"/>
  <c r="D261" i="7"/>
  <c r="L260" i="7"/>
  <c r="L259" i="7"/>
  <c r="D259" i="7"/>
  <c r="L258" i="7"/>
  <c r="D258" i="7"/>
  <c r="L257" i="7"/>
  <c r="D257" i="7"/>
  <c r="D256" i="7"/>
  <c r="D254" i="7"/>
  <c r="D253" i="7"/>
  <c r="D252" i="7"/>
  <c r="L251" i="7"/>
  <c r="D251" i="7"/>
  <c r="L250" i="7"/>
  <c r="D250" i="7"/>
  <c r="L249" i="7"/>
  <c r="D249" i="7"/>
  <c r="L248" i="7"/>
  <c r="D248" i="7"/>
  <c r="L247" i="7"/>
  <c r="D247" i="7"/>
  <c r="L246" i="7"/>
  <c r="D246" i="7"/>
  <c r="L243" i="7"/>
  <c r="D241" i="7"/>
  <c r="D240" i="7"/>
  <c r="L239" i="7"/>
  <c r="D239" i="7"/>
  <c r="L238" i="7"/>
  <c r="D238" i="7"/>
  <c r="L237" i="7"/>
  <c r="D237" i="7"/>
  <c r="L236" i="7"/>
  <c r="D235" i="7"/>
  <c r="L234" i="7"/>
  <c r="D234" i="7"/>
  <c r="L233" i="7"/>
  <c r="D232" i="7"/>
  <c r="L231" i="7"/>
  <c r="D230" i="7"/>
  <c r="D229" i="7"/>
  <c r="D228" i="7"/>
  <c r="L227" i="7"/>
  <c r="D227" i="7"/>
  <c r="D226" i="7"/>
  <c r="L225" i="7"/>
  <c r="D225" i="7"/>
  <c r="L224" i="7"/>
  <c r="L223" i="7"/>
  <c r="D223" i="7"/>
  <c r="L222" i="7"/>
  <c r="D222" i="7"/>
  <c r="L221" i="7"/>
  <c r="L219" i="7"/>
  <c r="L217" i="7"/>
  <c r="D217" i="7"/>
  <c r="D216" i="7"/>
  <c r="L215" i="7"/>
  <c r="D215" i="7"/>
  <c r="L214" i="7"/>
  <c r="D214" i="7"/>
  <c r="L213" i="7"/>
  <c r="D213" i="7"/>
  <c r="L212" i="7"/>
  <c r="D212" i="7"/>
  <c r="L211" i="7"/>
  <c r="D211" i="7"/>
  <c r="L210" i="7"/>
  <c r="D210" i="7"/>
  <c r="D209" i="7"/>
  <c r="D208" i="7"/>
  <c r="L207" i="7"/>
  <c r="D206" i="7"/>
  <c r="D205" i="7"/>
  <c r="D204" i="7"/>
  <c r="L203" i="7"/>
  <c r="D203" i="7"/>
  <c r="L202" i="7"/>
  <c r="D202" i="7"/>
  <c r="L201" i="7"/>
  <c r="D201" i="7"/>
  <c r="L200" i="7"/>
  <c r="D200" i="7"/>
  <c r="L199" i="7"/>
  <c r="D199" i="7"/>
  <c r="L198" i="7"/>
  <c r="D198" i="7"/>
  <c r="D196" i="7"/>
  <c r="D192" i="7"/>
  <c r="L191" i="7"/>
  <c r="D191" i="7"/>
  <c r="L190" i="7"/>
  <c r="D190" i="7"/>
  <c r="L189" i="7"/>
  <c r="D189" i="7"/>
  <c r="L188" i="7"/>
  <c r="L187" i="7"/>
  <c r="D187" i="7"/>
  <c r="L186" i="7"/>
  <c r="D186" i="7"/>
  <c r="L185" i="7"/>
  <c r="D185" i="7"/>
  <c r="D184" i="7"/>
  <c r="D183" i="7"/>
  <c r="L182" i="7"/>
  <c r="D182" i="7"/>
  <c r="L181" i="7"/>
  <c r="D181" i="7"/>
  <c r="D180" i="7"/>
  <c r="L179" i="7"/>
  <c r="D179" i="7"/>
  <c r="D178" i="7"/>
  <c r="L177" i="7"/>
  <c r="D177" i="7"/>
  <c r="L176" i="7"/>
  <c r="D176" i="7"/>
  <c r="L175" i="7"/>
  <c r="D175" i="7"/>
  <c r="L174" i="7"/>
  <c r="D174" i="7"/>
  <c r="L173" i="7"/>
  <c r="D173" i="7"/>
  <c r="D172" i="7"/>
  <c r="D171" i="7"/>
  <c r="D170" i="7"/>
  <c r="D169" i="7"/>
  <c r="D168" i="7"/>
  <c r="L167" i="7"/>
  <c r="D167" i="7"/>
  <c r="L166" i="7"/>
  <c r="D166" i="7"/>
  <c r="L165" i="7"/>
  <c r="D165" i="7"/>
  <c r="L164" i="7"/>
  <c r="D164" i="7"/>
  <c r="L163" i="7"/>
  <c r="D163" i="7"/>
  <c r="L162" i="7"/>
  <c r="D162" i="7"/>
  <c r="L161" i="7"/>
  <c r="D161" i="7"/>
  <c r="D160" i="7"/>
  <c r="D159" i="7"/>
  <c r="D158" i="7"/>
  <c r="D157" i="7"/>
  <c r="D156" i="7"/>
  <c r="L155" i="7"/>
  <c r="D155" i="7"/>
  <c r="L154" i="7"/>
  <c r="D154" i="7"/>
  <c r="L153" i="7"/>
  <c r="D153" i="7"/>
  <c r="L152" i="7"/>
  <c r="D152" i="7"/>
  <c r="L151" i="7"/>
  <c r="D151" i="7"/>
  <c r="L150" i="7"/>
  <c r="D150" i="7"/>
  <c r="L149" i="7"/>
  <c r="D149" i="7"/>
  <c r="L148" i="7"/>
  <c r="D148" i="7"/>
  <c r="D147" i="7"/>
  <c r="D146" i="7"/>
  <c r="D145" i="7"/>
  <c r="D144" i="7"/>
  <c r="L143" i="7"/>
  <c r="D143" i="7"/>
  <c r="L142" i="7"/>
  <c r="D142" i="7"/>
  <c r="L141" i="7"/>
  <c r="D141" i="7"/>
  <c r="L140" i="7"/>
  <c r="D140" i="7"/>
  <c r="L139" i="7"/>
  <c r="D139" i="7"/>
  <c r="L138" i="7"/>
  <c r="D138" i="7"/>
  <c r="L137" i="7"/>
  <c r="D137" i="7"/>
  <c r="L136" i="7"/>
  <c r="D136" i="7"/>
  <c r="L135" i="7"/>
  <c r="D135" i="7"/>
  <c r="D134" i="7"/>
  <c r="D133" i="7"/>
  <c r="D132" i="7"/>
  <c r="L131" i="7"/>
  <c r="D131" i="7"/>
  <c r="L130" i="7"/>
  <c r="D130" i="7"/>
  <c r="L129" i="7"/>
  <c r="D129" i="7"/>
  <c r="L128" i="7"/>
  <c r="D128" i="7"/>
  <c r="L127" i="7"/>
  <c r="D127" i="7"/>
  <c r="L126" i="7"/>
  <c r="D126" i="7"/>
  <c r="L125" i="7"/>
  <c r="D125" i="7"/>
  <c r="D124" i="7"/>
  <c r="L123" i="7"/>
  <c r="D123" i="7"/>
  <c r="D122" i="7"/>
  <c r="D121" i="7"/>
  <c r="D120" i="7"/>
  <c r="L119" i="7"/>
  <c r="D119" i="7"/>
  <c r="L118" i="7"/>
  <c r="D118" i="7"/>
  <c r="L117" i="7"/>
  <c r="D117" i="7"/>
  <c r="L116" i="7"/>
  <c r="D116" i="7"/>
  <c r="L115" i="7"/>
  <c r="D115" i="7"/>
  <c r="L114" i="7"/>
  <c r="D114" i="7"/>
  <c r="L113" i="7"/>
  <c r="D113" i="7"/>
  <c r="D112" i="7"/>
  <c r="L111" i="7"/>
  <c r="D111" i="7"/>
  <c r="D110" i="7"/>
  <c r="D109" i="7"/>
  <c r="D108" i="7"/>
  <c r="L107" i="7"/>
  <c r="D107" i="7"/>
  <c r="L106" i="7"/>
  <c r="D106" i="7"/>
  <c r="L105" i="7"/>
  <c r="D105" i="7"/>
  <c r="L104" i="7"/>
  <c r="D104" i="7"/>
  <c r="L103" i="7"/>
  <c r="D103" i="7"/>
  <c r="L102" i="7"/>
  <c r="D102" i="7"/>
  <c r="L101" i="7"/>
  <c r="D101" i="7"/>
  <c r="D100" i="7"/>
  <c r="L99" i="7"/>
  <c r="D99" i="7"/>
  <c r="D98" i="7"/>
  <c r="D97" i="7"/>
  <c r="D96" i="7"/>
  <c r="L95" i="7"/>
  <c r="D95" i="7"/>
  <c r="L94" i="7"/>
  <c r="D94" i="7"/>
  <c r="L93" i="7"/>
  <c r="D93" i="7"/>
  <c r="L92" i="7"/>
  <c r="D92" i="7"/>
  <c r="L91" i="7"/>
  <c r="D91" i="7"/>
  <c r="L90" i="7"/>
  <c r="D90" i="7"/>
  <c r="L89" i="7"/>
  <c r="D89" i="7"/>
  <c r="D88" i="7"/>
  <c r="L87" i="7"/>
  <c r="D87" i="7"/>
  <c r="D86" i="7"/>
  <c r="D85" i="7"/>
  <c r="D84" i="7"/>
  <c r="L83" i="7"/>
  <c r="D83" i="7"/>
  <c r="L82" i="7"/>
  <c r="D82" i="7"/>
  <c r="L81" i="7"/>
  <c r="D81" i="7"/>
  <c r="L80" i="7"/>
  <c r="D80" i="7"/>
  <c r="L79" i="7"/>
  <c r="D79" i="7"/>
  <c r="L78" i="7"/>
  <c r="D78" i="7"/>
  <c r="L77" i="7"/>
  <c r="D77" i="7"/>
  <c r="D76" i="7"/>
  <c r="L75" i="7"/>
  <c r="D75" i="7"/>
  <c r="D74" i="7"/>
  <c r="D73" i="7"/>
  <c r="D72" i="7"/>
  <c r="L71" i="7"/>
  <c r="D71" i="7"/>
  <c r="L70" i="7"/>
  <c r="D70" i="7"/>
  <c r="L69" i="7"/>
  <c r="D69" i="7"/>
  <c r="L68" i="7"/>
  <c r="D68" i="7"/>
  <c r="L67" i="7"/>
  <c r="D67" i="7"/>
  <c r="L66" i="7"/>
  <c r="D66" i="7"/>
  <c r="L65" i="7"/>
  <c r="D65" i="7"/>
  <c r="L64" i="7"/>
  <c r="D64" i="7"/>
  <c r="L63" i="7"/>
  <c r="D63" i="7"/>
  <c r="D62" i="7"/>
  <c r="D61" i="7"/>
  <c r="D60" i="7"/>
  <c r="L59" i="7"/>
  <c r="D59" i="7"/>
  <c r="L58" i="7"/>
  <c r="D58" i="7"/>
  <c r="L57" i="7"/>
  <c r="D57" i="7"/>
  <c r="L56" i="7"/>
  <c r="D56" i="7"/>
  <c r="L55" i="7"/>
  <c r="D55" i="7"/>
  <c r="L54" i="7"/>
  <c r="D54" i="7"/>
  <c r="L53" i="7"/>
  <c r="D53" i="7"/>
  <c r="D52" i="7"/>
  <c r="L51" i="7"/>
  <c r="D51" i="7"/>
  <c r="D50" i="7"/>
  <c r="D49" i="7"/>
  <c r="D48" i="7"/>
  <c r="L47" i="7"/>
  <c r="D47" i="7"/>
  <c r="L46" i="7"/>
  <c r="D46" i="7"/>
  <c r="L45" i="7"/>
  <c r="D45" i="7"/>
  <c r="L44" i="7"/>
  <c r="D44" i="7"/>
  <c r="L43" i="7"/>
  <c r="D43" i="7"/>
  <c r="L42" i="7"/>
  <c r="D42" i="7"/>
  <c r="L41" i="7"/>
  <c r="D41" i="7"/>
  <c r="D40" i="7"/>
  <c r="L39" i="7"/>
  <c r="D39" i="7"/>
  <c r="D38" i="7"/>
  <c r="D37" i="7"/>
  <c r="D36" i="7"/>
  <c r="L35" i="7"/>
  <c r="D35" i="7"/>
  <c r="L34" i="7"/>
  <c r="D34" i="7"/>
  <c r="L33" i="7"/>
  <c r="L32" i="7"/>
  <c r="D32" i="7"/>
  <c r="L31" i="7"/>
  <c r="D31" i="7"/>
  <c r="L30" i="7"/>
  <c r="D30" i="7"/>
  <c r="L29" i="7"/>
  <c r="D29" i="7"/>
  <c r="D28" i="7"/>
  <c r="L27" i="7"/>
  <c r="D27" i="7"/>
  <c r="D26" i="7"/>
  <c r="D25" i="7"/>
  <c r="L24" i="7"/>
  <c r="D24" i="7"/>
  <c r="L23" i="7"/>
  <c r="D23" i="7"/>
  <c r="L22" i="7"/>
  <c r="D22" i="7"/>
  <c r="L21" i="7"/>
  <c r="L20" i="7"/>
  <c r="D20" i="7"/>
  <c r="L19" i="7"/>
  <c r="D19" i="7"/>
  <c r="L18" i="7"/>
  <c r="D18" i="7"/>
  <c r="L17" i="7"/>
  <c r="D17" i="7"/>
  <c r="D16" i="7"/>
  <c r="L15" i="7"/>
  <c r="D15" i="7"/>
  <c r="D14" i="7"/>
  <c r="D13" i="7"/>
  <c r="D12" i="7"/>
  <c r="L11" i="7"/>
  <c r="D11" i="7"/>
  <c r="L10" i="7"/>
  <c r="D10" i="7"/>
  <c r="L9" i="7"/>
  <c r="D9" i="7"/>
  <c r="L8" i="7"/>
  <c r="D8" i="7"/>
  <c r="L7" i="7"/>
  <c r="D7" i="7"/>
  <c r="L6" i="7"/>
  <c r="L5" i="7"/>
  <c r="D5" i="7"/>
  <c r="P3" i="1"/>
  <c r="P62" i="1"/>
  <c r="P63" i="1"/>
  <c r="P4" i="1"/>
  <c r="P10" i="1"/>
  <c r="P8" i="1"/>
  <c r="P5" i="1"/>
  <c r="P6" i="1"/>
  <c r="P7" i="1"/>
  <c r="P38" i="1"/>
  <c r="P74" i="1"/>
  <c r="P11" i="1"/>
  <c r="P15" i="1"/>
  <c r="P68" i="1"/>
  <c r="P17" i="1"/>
  <c r="P18" i="1"/>
  <c r="P19" i="1"/>
  <c r="P20" i="1"/>
  <c r="P21" i="1"/>
  <c r="P16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13" i="1"/>
  <c r="P14" i="1"/>
  <c r="P40" i="1"/>
  <c r="P41" i="1"/>
  <c r="P42" i="1"/>
  <c r="P43" i="1"/>
  <c r="P120" i="1"/>
  <c r="P45" i="1"/>
  <c r="P44" i="1"/>
  <c r="P46" i="1"/>
  <c r="P47" i="1"/>
  <c r="P48" i="1"/>
  <c r="P51" i="1"/>
  <c r="P39" i="1"/>
  <c r="P49" i="1"/>
  <c r="P12" i="1"/>
  <c r="P53" i="1"/>
  <c r="P75" i="1"/>
  <c r="P56" i="1"/>
  <c r="P57" i="1"/>
  <c r="P59" i="1"/>
  <c r="P50" i="1"/>
  <c r="P54" i="1"/>
  <c r="P55" i="1"/>
  <c r="P60" i="1"/>
  <c r="P58" i="1"/>
  <c r="P52" i="1"/>
  <c r="P64" i="1"/>
  <c r="P65" i="1"/>
  <c r="P2" i="1"/>
  <c r="P66" i="1"/>
  <c r="P69" i="1"/>
  <c r="P70" i="1"/>
  <c r="P121" i="1"/>
  <c r="P71" i="1"/>
  <c r="P72" i="1"/>
  <c r="P37" i="1"/>
  <c r="P61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102" i="1"/>
  <c r="P98" i="1"/>
  <c r="P73" i="1"/>
  <c r="P9" i="1"/>
  <c r="P113" i="1"/>
  <c r="P99" i="1"/>
  <c r="P100" i="1"/>
  <c r="P103" i="1"/>
  <c r="P104" i="1"/>
  <c r="P105" i="1"/>
  <c r="P67" i="1"/>
  <c r="P106" i="1"/>
  <c r="P107" i="1"/>
  <c r="P108" i="1"/>
  <c r="P109" i="1"/>
  <c r="P110" i="1"/>
  <c r="P111" i="1"/>
  <c r="P112" i="1"/>
  <c r="P114" i="1"/>
  <c r="P115" i="1"/>
  <c r="P116" i="1"/>
  <c r="P117" i="1"/>
  <c r="P118" i="1"/>
  <c r="P119" i="1"/>
  <c r="P101" i="1"/>
  <c r="Q17" i="1"/>
  <c r="D3" i="7" l="1"/>
  <c r="L1722" i="7"/>
  <c r="L1139" i="7"/>
  <c r="L1127" i="7"/>
  <c r="L2038" i="7"/>
  <c r="L1834" i="7"/>
  <c r="L1881" i="7"/>
  <c r="L1940" i="7"/>
  <c r="L1904" i="7"/>
  <c r="L1844" i="7"/>
  <c r="L1760" i="7"/>
  <c r="L1736" i="7"/>
  <c r="L1688" i="7"/>
  <c r="L1424" i="7"/>
  <c r="L1040" i="7"/>
  <c r="L692" i="7"/>
  <c r="L656" i="7"/>
  <c r="L452" i="7"/>
  <c r="L895" i="7"/>
  <c r="L1816" i="7"/>
  <c r="L1702" i="7"/>
  <c r="L1938" i="7"/>
  <c r="L1819" i="7"/>
  <c r="L1351" i="7"/>
  <c r="L1255" i="7"/>
  <c r="L1171" i="7"/>
  <c r="L1147" i="7"/>
  <c r="L1341" i="7"/>
  <c r="L1329" i="7"/>
  <c r="L1257" i="7"/>
  <c r="L1161" i="7"/>
  <c r="L1005" i="7"/>
  <c r="L777" i="7"/>
  <c r="L741" i="7"/>
  <c r="L1378" i="7"/>
  <c r="L621" i="7"/>
  <c r="L1494" i="7"/>
  <c r="L1150" i="7"/>
  <c r="L1042" i="7"/>
  <c r="L1947" i="7"/>
  <c r="L1743" i="7"/>
  <c r="D1983" i="7"/>
  <c r="D1719" i="7"/>
  <c r="D1707" i="7"/>
  <c r="D1683" i="7"/>
  <c r="D1982" i="7"/>
  <c r="D1946" i="7"/>
  <c r="D1874" i="7"/>
  <c r="D1862" i="7"/>
  <c r="D1814" i="7"/>
  <c r="D1766" i="7"/>
  <c r="D1754" i="7"/>
  <c r="D1742" i="7"/>
  <c r="D1694" i="7"/>
  <c r="D1682" i="7"/>
  <c r="D1646" i="7"/>
  <c r="D1610" i="7"/>
  <c r="D1466" i="7"/>
  <c r="D1406" i="7"/>
  <c r="D1298" i="7"/>
  <c r="D1262" i="7"/>
  <c r="D1046" i="7"/>
  <c r="L527" i="7"/>
  <c r="L419" i="7"/>
  <c r="L1131" i="7"/>
  <c r="L1059" i="7"/>
  <c r="L1047" i="7"/>
  <c r="L771" i="7"/>
  <c r="L747" i="7"/>
  <c r="L519" i="7"/>
  <c r="L1742" i="7"/>
  <c r="L1920" i="7"/>
  <c r="L1128" i="7"/>
  <c r="L1032" i="7"/>
  <c r="D2011" i="7"/>
  <c r="D1987" i="7"/>
  <c r="D1975" i="7"/>
  <c r="D1867" i="7"/>
  <c r="D1819" i="7"/>
  <c r="D1723" i="7"/>
  <c r="D1603" i="7"/>
  <c r="D1483" i="7"/>
  <c r="D1447" i="7"/>
  <c r="D1411" i="7"/>
  <c r="D1339" i="7"/>
  <c r="D1327" i="7"/>
  <c r="D1255" i="7"/>
  <c r="D1159" i="7"/>
  <c r="D955" i="7"/>
  <c r="D2009" i="7"/>
  <c r="D1913" i="7"/>
  <c r="D1889" i="7"/>
  <c r="D1721" i="7"/>
  <c r="D1948" i="7"/>
  <c r="D1672" i="7"/>
  <c r="D1636" i="7"/>
  <c r="D1624" i="7"/>
  <c r="D1540" i="7"/>
  <c r="D1504" i="7"/>
  <c r="D1432" i="7"/>
  <c r="D1635" i="7"/>
  <c r="D1587" i="7"/>
  <c r="D1551" i="7"/>
  <c r="D1539" i="7"/>
  <c r="D1527" i="7"/>
  <c r="D1515" i="7"/>
  <c r="D1503" i="7"/>
  <c r="D1491" i="7"/>
  <c r="D1479" i="7"/>
  <c r="D1455" i="7"/>
  <c r="D1443" i="7"/>
  <c r="D1383" i="7"/>
  <c r="D1359" i="7"/>
  <c r="D1323" i="7"/>
  <c r="D1311" i="7"/>
  <c r="D1263" i="7"/>
  <c r="D1251" i="7"/>
  <c r="D1215" i="7"/>
  <c r="D1191" i="7"/>
  <c r="D1167" i="7"/>
  <c r="D1143" i="7"/>
  <c r="D1119" i="7"/>
  <c r="D1095" i="7"/>
  <c r="D1083" i="7"/>
  <c r="D1071" i="7"/>
  <c r="D1059" i="7"/>
  <c r="D1011" i="7"/>
  <c r="D999" i="7"/>
  <c r="D987" i="7"/>
  <c r="D975" i="7"/>
  <c r="D963" i="7"/>
  <c r="D951" i="7"/>
  <c r="D939" i="7"/>
  <c r="D927" i="7"/>
  <c r="D915" i="7"/>
  <c r="D903" i="7"/>
  <c r="D891" i="7"/>
  <c r="D879" i="7"/>
  <c r="D867" i="7"/>
  <c r="D831" i="7"/>
  <c r="D807" i="7"/>
  <c r="D783" i="7"/>
  <c r="D771" i="7"/>
  <c r="D759" i="7"/>
  <c r="D747" i="7"/>
  <c r="D735" i="7"/>
  <c r="D723" i="7"/>
  <c r="D711" i="7"/>
  <c r="D687" i="7"/>
  <c r="D675" i="7"/>
  <c r="D663" i="7"/>
  <c r="D651" i="7"/>
  <c r="D639" i="7"/>
  <c r="D627" i="7"/>
  <c r="D615" i="7"/>
  <c r="D603" i="7"/>
  <c r="D579" i="7"/>
  <c r="D555" i="7"/>
  <c r="D543" i="7"/>
  <c r="D531" i="7"/>
  <c r="D519" i="7"/>
  <c r="D507" i="7"/>
  <c r="D495" i="7"/>
  <c r="D483" i="7"/>
  <c r="D471" i="7"/>
  <c r="D459" i="7"/>
  <c r="D447" i="7"/>
  <c r="D411" i="7"/>
  <c r="D399" i="7"/>
  <c r="D387" i="7"/>
  <c r="D375" i="7"/>
  <c r="D363" i="7"/>
  <c r="D351" i="7"/>
  <c r="D339" i="7"/>
  <c r="D327" i="7"/>
  <c r="D315" i="7"/>
  <c r="D303" i="7"/>
  <c r="D291" i="7"/>
  <c r="D279" i="7"/>
  <c r="D267" i="7"/>
  <c r="D255" i="7"/>
  <c r="D243" i="7"/>
  <c r="D231" i="7"/>
  <c r="D219" i="7"/>
  <c r="D207" i="7"/>
  <c r="D2041" i="7"/>
  <c r="D2029" i="7"/>
  <c r="D1945" i="7"/>
  <c r="D1681" i="7"/>
  <c r="D1549" i="7"/>
  <c r="D1405" i="7"/>
  <c r="D1381" i="7"/>
  <c r="D1345" i="7"/>
  <c r="D1225" i="7"/>
  <c r="D1021" i="7"/>
  <c r="D1009" i="7"/>
  <c r="D985" i="7"/>
  <c r="D949" i="7"/>
  <c r="D925" i="7"/>
  <c r="D673" i="7"/>
  <c r="D1992" i="7"/>
  <c r="D1968" i="7"/>
  <c r="D1944" i="7"/>
  <c r="D1860" i="7"/>
  <c r="D1812" i="7"/>
  <c r="D1740" i="7"/>
  <c r="D1692" i="7"/>
  <c r="D1332" i="7"/>
  <c r="D1272" i="7"/>
  <c r="D1188" i="7"/>
  <c r="D1128" i="7"/>
  <c r="D2039" i="7"/>
  <c r="D2027" i="7"/>
  <c r="D2015" i="7"/>
  <c r="D1955" i="7"/>
  <c r="D1919" i="7"/>
  <c r="D1847" i="7"/>
  <c r="D1523" i="7"/>
  <c r="D1439" i="7"/>
  <c r="D1379" i="7"/>
  <c r="D1367" i="7"/>
  <c r="D1295" i="7"/>
  <c r="D1247" i="7"/>
  <c r="D2038" i="7"/>
  <c r="D1990" i="7"/>
  <c r="D1822" i="7"/>
  <c r="D1774" i="7"/>
  <c r="D1762" i="7"/>
  <c r="D1654" i="7"/>
  <c r="D1642" i="7"/>
  <c r="D1630" i="7"/>
  <c r="D1354" i="7"/>
  <c r="D1234" i="7"/>
  <c r="D1210" i="7"/>
  <c r="D1174" i="7"/>
  <c r="D874" i="7"/>
  <c r="D2036" i="7"/>
  <c r="D1892" i="7"/>
  <c r="D1832" i="7"/>
  <c r="D1820" i="7"/>
  <c r="D1808" i="7"/>
  <c r="D1796" i="7"/>
  <c r="D1784" i="7"/>
  <c r="D1748" i="7"/>
  <c r="D1676" i="7"/>
  <c r="D1568" i="7"/>
  <c r="D1496" i="7"/>
  <c r="D1304" i="7"/>
  <c r="D1160" i="7"/>
  <c r="D1136" i="7"/>
  <c r="D1112" i="7"/>
  <c r="D992" i="7"/>
  <c r="D848" i="7"/>
  <c r="D1926" i="7"/>
  <c r="D1854" i="7"/>
  <c r="D1698" i="7"/>
  <c r="D1590" i="7"/>
  <c r="D1386" i="7"/>
  <c r="D1242" i="7"/>
  <c r="D1230" i="7"/>
  <c r="D1218" i="7"/>
  <c r="D942" i="7"/>
  <c r="D1661" i="7"/>
  <c r="D1565" i="7"/>
  <c r="D1553" i="7"/>
  <c r="D1337" i="7"/>
  <c r="D977" i="7"/>
  <c r="D857" i="7"/>
  <c r="D725" i="7"/>
  <c r="D1288" i="7"/>
  <c r="D2048" i="7"/>
  <c r="D2012" i="7"/>
  <c r="D2000" i="7"/>
  <c r="D1988" i="7"/>
  <c r="D1976" i="7"/>
  <c r="D1952" i="7"/>
  <c r="D1760" i="7"/>
  <c r="D1769" i="7"/>
  <c r="D1971" i="7"/>
  <c r="D1947" i="7"/>
  <c r="D1347" i="7"/>
  <c r="D1047" i="7"/>
  <c r="D1023" i="7"/>
  <c r="D1967" i="7"/>
  <c r="D1931" i="7"/>
  <c r="D1907" i="7"/>
  <c r="D1751" i="7"/>
  <c r="D1703" i="7"/>
  <c r="D1511" i="7"/>
  <c r="D1403" i="7"/>
  <c r="D2044" i="7"/>
  <c r="D2008" i="7"/>
  <c r="D1984" i="7"/>
  <c r="D1936" i="7"/>
  <c r="D1876" i="7"/>
  <c r="D1744" i="7"/>
  <c r="D1732" i="7"/>
  <c r="D1720" i="7"/>
  <c r="D1648" i="7"/>
  <c r="D1492" i="7"/>
  <c r="D1396" i="7"/>
  <c r="D2032" i="7"/>
  <c r="D1996" i="7"/>
  <c r="D1960" i="7"/>
  <c r="D1995" i="7"/>
  <c r="D1959" i="7"/>
  <c r="D1935" i="7"/>
  <c r="D1923" i="7"/>
  <c r="D1911" i="7"/>
  <c r="D1851" i="7"/>
  <c r="D1827" i="7"/>
  <c r="D1743" i="7"/>
  <c r="D1695" i="7"/>
  <c r="D1671" i="7"/>
  <c r="D1659" i="7"/>
  <c r="D1647" i="7"/>
  <c r="D1623" i="7"/>
  <c r="D1611" i="7"/>
  <c r="D1599" i="7"/>
  <c r="D1575" i="7"/>
  <c r="D1563" i="7"/>
  <c r="D1467" i="7"/>
  <c r="D1431" i="7"/>
  <c r="D1419" i="7"/>
  <c r="D1395" i="7"/>
  <c r="D1371" i="7"/>
  <c r="D1335" i="7"/>
  <c r="D1299" i="7"/>
  <c r="D1287" i="7"/>
  <c r="D1239" i="7"/>
  <c r="D1155" i="7"/>
  <c r="D1131" i="7"/>
  <c r="D1035" i="7"/>
  <c r="D855" i="7"/>
  <c r="D795" i="7"/>
  <c r="D699" i="7"/>
  <c r="D591" i="7"/>
  <c r="D1320" i="7"/>
  <c r="D1598" i="7"/>
  <c r="D1625" i="7"/>
  <c r="D1705" i="7"/>
  <c r="D1548" i="7"/>
  <c r="D1899" i="7"/>
  <c r="D1550" i="7"/>
  <c r="D1566" i="7"/>
  <c r="D1848" i="7"/>
  <c r="D682" i="7"/>
  <c r="D778" i="7"/>
  <c r="D818" i="7"/>
  <c r="D974" i="7"/>
  <c r="D1180" i="7"/>
  <c r="D1542" i="7"/>
  <c r="D1558" i="7"/>
  <c r="D1589" i="7"/>
  <c r="D1665" i="7"/>
  <c r="D1716" i="7"/>
  <c r="D1864" i="7"/>
  <c r="D1885" i="7"/>
  <c r="L1897" i="7"/>
  <c r="L1764" i="7"/>
  <c r="L1644" i="7"/>
  <c r="L1355" i="7"/>
  <c r="L1331" i="7"/>
  <c r="L1163" i="7"/>
  <c r="L863" i="7"/>
  <c r="L767" i="7"/>
  <c r="L1014" i="7"/>
  <c r="L801" i="7"/>
  <c r="L274" i="7"/>
  <c r="L370" i="7"/>
  <c r="L382" i="7"/>
  <c r="L406" i="7"/>
  <c r="L442" i="7"/>
  <c r="L466" i="7"/>
  <c r="L490" i="7"/>
  <c r="L320" i="7"/>
  <c r="L344" i="7"/>
  <c r="L375" i="7"/>
  <c r="L399" i="7"/>
  <c r="L411" i="7"/>
  <c r="L471" i="7"/>
  <c r="L397" i="7"/>
  <c r="L457" i="7"/>
  <c r="L378" i="7"/>
  <c r="L402" i="7"/>
  <c r="L479" i="7"/>
  <c r="L332" i="7"/>
  <c r="L356" i="7"/>
  <c r="L306" i="7"/>
  <c r="L374" i="7"/>
  <c r="L398" i="7"/>
  <c r="L280" i="7"/>
  <c r="L304" i="7"/>
  <c r="L352" i="7"/>
  <c r="L379" i="7"/>
  <c r="L439" i="7"/>
  <c r="L463" i="7"/>
  <c r="L499" i="7"/>
  <c r="L456" i="7"/>
  <c r="L480" i="7"/>
  <c r="L492" i="7"/>
  <c r="L592" i="7"/>
  <c r="L808" i="7"/>
  <c r="L684" i="7"/>
  <c r="L610" i="7"/>
  <c r="L634" i="7"/>
  <c r="D822" i="7"/>
  <c r="L508" i="7"/>
  <c r="L532" i="7"/>
  <c r="L556" i="7"/>
  <c r="L604" i="7"/>
  <c r="L628" i="7"/>
  <c r="L676" i="7"/>
  <c r="L506" i="7"/>
  <c r="L626" i="7"/>
  <c r="L698" i="7"/>
  <c r="L746" i="7"/>
  <c r="L718" i="7"/>
  <c r="L814" i="7"/>
  <c r="L825" i="7"/>
  <c r="D840" i="7"/>
  <c r="D858" i="7"/>
  <c r="L867" i="7"/>
  <c r="D870" i="7"/>
  <c r="D882" i="7"/>
  <c r="D894" i="7"/>
  <c r="D906" i="7"/>
  <c r="D918" i="7"/>
  <c r="D930" i="7"/>
  <c r="L955" i="7"/>
  <c r="D836" i="7"/>
  <c r="D856" i="7"/>
  <c r="D868" i="7"/>
  <c r="D880" i="7"/>
  <c r="L889" i="7"/>
  <c r="D892" i="7"/>
  <c r="L901" i="7"/>
  <c r="D904" i="7"/>
  <c r="L913" i="7"/>
  <c r="D916" i="7"/>
  <c r="D928" i="7"/>
  <c r="D948" i="7"/>
  <c r="D834" i="7"/>
  <c r="L978" i="7"/>
  <c r="D1020" i="7"/>
  <c r="D828" i="7"/>
  <c r="D852" i="7"/>
  <c r="D864" i="7"/>
  <c r="D876" i="7"/>
  <c r="D888" i="7"/>
  <c r="D900" i="7"/>
  <c r="D912" i="7"/>
  <c r="D924" i="7"/>
  <c r="D936" i="7"/>
  <c r="L959" i="7"/>
  <c r="L1039" i="7"/>
  <c r="D824" i="7"/>
  <c r="D846" i="7"/>
  <c r="D844" i="7"/>
  <c r="D860" i="7"/>
  <c r="D872" i="7"/>
  <c r="D884" i="7"/>
  <c r="D896" i="7"/>
  <c r="D908" i="7"/>
  <c r="L917" i="7"/>
  <c r="D920" i="7"/>
  <c r="D932" i="7"/>
  <c r="D1270" i="7"/>
  <c r="L979" i="7"/>
  <c r="L1099" i="7"/>
  <c r="D1342" i="7"/>
  <c r="L1117" i="7"/>
  <c r="L1043" i="7"/>
  <c r="L1067" i="7"/>
  <c r="D1318" i="7"/>
  <c r="L1041" i="7"/>
  <c r="L1089" i="7"/>
  <c r="D1294" i="7"/>
  <c r="L985" i="7"/>
  <c r="L1009" i="7"/>
  <c r="L1033" i="7"/>
  <c r="L1168" i="7"/>
  <c r="D1618" i="7"/>
  <c r="D1657" i="7"/>
  <c r="L1162" i="7"/>
  <c r="L1258" i="7"/>
  <c r="L1282" i="7"/>
  <c r="L1330" i="7"/>
  <c r="D1428" i="7"/>
  <c r="D1440" i="7"/>
  <c r="L1449" i="7"/>
  <c r="D1452" i="7"/>
  <c r="D1464" i="7"/>
  <c r="D1476" i="7"/>
  <c r="D1488" i="7"/>
  <c r="D1500" i="7"/>
  <c r="D1512" i="7"/>
  <c r="D1524" i="7"/>
  <c r="D1384" i="7"/>
  <c r="D1426" i="7"/>
  <c r="D1438" i="7"/>
  <c r="D1450" i="7"/>
  <c r="D1462" i="7"/>
  <c r="D1474" i="7"/>
  <c r="D1486" i="7"/>
  <c r="L1495" i="7"/>
  <c r="D1498" i="7"/>
  <c r="D1510" i="7"/>
  <c r="D1522" i="7"/>
  <c r="D1360" i="7"/>
  <c r="D1408" i="7"/>
  <c r="D1434" i="7"/>
  <c r="D1446" i="7"/>
  <c r="D1458" i="7"/>
  <c r="D1470" i="7"/>
  <c r="D1482" i="7"/>
  <c r="D1494" i="7"/>
  <c r="D1506" i="7"/>
  <c r="D1518" i="7"/>
  <c r="D1530" i="7"/>
  <c r="D1594" i="7"/>
  <c r="D1583" i="7"/>
  <c r="D1631" i="7"/>
  <c r="D1687" i="7"/>
  <c r="L1386" i="7"/>
  <c r="L1600" i="7"/>
  <c r="D1639" i="7"/>
  <c r="L1656" i="7"/>
  <c r="D1615" i="7"/>
  <c r="D1674" i="7"/>
  <c r="L1671" i="7"/>
  <c r="D1714" i="7"/>
  <c r="L1420" i="7"/>
  <c r="D1626" i="7"/>
  <c r="D1655" i="7"/>
  <c r="L1704" i="7"/>
  <c r="L1689" i="7"/>
  <c r="D1727" i="7"/>
  <c r="D1779" i="7"/>
  <c r="D1790" i="7"/>
  <c r="L1679" i="7"/>
  <c r="D1755" i="7"/>
  <c r="D1803" i="7"/>
  <c r="L1721" i="7"/>
  <c r="D1745" i="7"/>
  <c r="D1731" i="7"/>
  <c r="D1871" i="7"/>
  <c r="D1882" i="7"/>
  <c r="D1900" i="7"/>
  <c r="D1749" i="7"/>
  <c r="D1773" i="7"/>
  <c r="D1797" i="7"/>
  <c r="D1821" i="7"/>
  <c r="D1845" i="7"/>
  <c r="D1869" i="7"/>
  <c r="D1880" i="7"/>
  <c r="D1910" i="7"/>
  <c r="D1747" i="7"/>
  <c r="D1771" i="7"/>
  <c r="D1795" i="7"/>
  <c r="D1767" i="7"/>
  <c r="D1791" i="7"/>
  <c r="D1815" i="7"/>
  <c r="D1839" i="7"/>
  <c r="D1863" i="7"/>
  <c r="D1896" i="7"/>
  <c r="L1898" i="7"/>
  <c r="D1765" i="7"/>
  <c r="D1789" i="7"/>
  <c r="D1813" i="7"/>
  <c r="D1837" i="7"/>
  <c r="D1861" i="7"/>
  <c r="D1763" i="7"/>
  <c r="D1787" i="7"/>
  <c r="D1811" i="7"/>
  <c r="D1735" i="7"/>
  <c r="D1831" i="7"/>
  <c r="D1855" i="7"/>
  <c r="D1879" i="7"/>
  <c r="D1904" i="7"/>
  <c r="D1757" i="7"/>
  <c r="D1781" i="7"/>
  <c r="D1805" i="7"/>
  <c r="D1829" i="7"/>
  <c r="D1853" i="7"/>
  <c r="D1877" i="7"/>
  <c r="D1886" i="7"/>
  <c r="D1914" i="7"/>
  <c r="D2004" i="7"/>
  <c r="D2007" i="7"/>
  <c r="D2010" i="7"/>
  <c r="D2013" i="7"/>
  <c r="D2016" i="7"/>
  <c r="D2019" i="7"/>
  <c r="D2022" i="7"/>
  <c r="D2025" i="7"/>
  <c r="D2028" i="7"/>
  <c r="D2031" i="7"/>
  <c r="D2034" i="7"/>
  <c r="D2037" i="7"/>
  <c r="D2040" i="7"/>
  <c r="D2043" i="7"/>
  <c r="D2046" i="7"/>
  <c r="L1986" i="7"/>
  <c r="D1908" i="7"/>
  <c r="L1910" i="7"/>
  <c r="D1888" i="7"/>
  <c r="L1951" i="7"/>
  <c r="L1954" i="7"/>
  <c r="L1985" i="7"/>
  <c r="L2018" i="7"/>
  <c r="L2024" i="7"/>
  <c r="Q101" i="1"/>
  <c r="Q111" i="1"/>
  <c r="Q114" i="1"/>
  <c r="Q97" i="1"/>
  <c r="Q85" i="1"/>
  <c r="Q121" i="1"/>
  <c r="Q54" i="1"/>
  <c r="Q108" i="1"/>
  <c r="Q10" i="1"/>
  <c r="Q98" i="1"/>
  <c r="Q117" i="1"/>
  <c r="Q119" i="1"/>
  <c r="Q63" i="1"/>
  <c r="Q96" i="1"/>
  <c r="Q84" i="1"/>
  <c r="Q37" i="1"/>
  <c r="Q59" i="1"/>
  <c r="Q106" i="1"/>
  <c r="Q110" i="1"/>
  <c r="Q40" i="1"/>
  <c r="Q116" i="1"/>
  <c r="Q118" i="1"/>
  <c r="Q109" i="1"/>
  <c r="Q95" i="1"/>
  <c r="Q83" i="1"/>
  <c r="Q69" i="1"/>
  <c r="Q50" i="1"/>
  <c r="Q70" i="1"/>
  <c r="Q14" i="1"/>
  <c r="Q20" i="1"/>
  <c r="Q36" i="1"/>
  <c r="Q73" i="1"/>
  <c r="Q13" i="1"/>
  <c r="Q94" i="1"/>
  <c r="Q82" i="1"/>
  <c r="Q27" i="1"/>
  <c r="Q57" i="1"/>
  <c r="Q48" i="1"/>
  <c r="Q24" i="1"/>
  <c r="Q19" i="1"/>
  <c r="Q35" i="1"/>
  <c r="Q65" i="1"/>
  <c r="Q46" i="1"/>
  <c r="Q93" i="1"/>
  <c r="Q81" i="1"/>
  <c r="Q66" i="1"/>
  <c r="Q56" i="1"/>
  <c r="Q7" i="1"/>
  <c r="Q23" i="1"/>
  <c r="Q9" i="1"/>
  <c r="Q34" i="1"/>
  <c r="Q75" i="1"/>
  <c r="Q29" i="1"/>
  <c r="Q92" i="1"/>
  <c r="Q80" i="1"/>
  <c r="Q107" i="1"/>
  <c r="Q26" i="1"/>
  <c r="Q4" i="1"/>
  <c r="Q22" i="1"/>
  <c r="Q6" i="1"/>
  <c r="Q33" i="1"/>
  <c r="Q12" i="1"/>
  <c r="Q67" i="1"/>
  <c r="Q91" i="1"/>
  <c r="Q79" i="1"/>
  <c r="Q2" i="1"/>
  <c r="Q25" i="1"/>
  <c r="Q45" i="1"/>
  <c r="Q16" i="1"/>
  <c r="Q5" i="1"/>
  <c r="Q115" i="1"/>
  <c r="Q49" i="1"/>
  <c r="Q105" i="1"/>
  <c r="Q90" i="1"/>
  <c r="Q78" i="1"/>
  <c r="Q64" i="1"/>
  <c r="Q51" i="1"/>
  <c r="Q120" i="1"/>
  <c r="Q74" i="1"/>
  <c r="Q8" i="1"/>
  <c r="Q100" i="1"/>
  <c r="Q39" i="1"/>
  <c r="Q104" i="1"/>
  <c r="Q89" i="1"/>
  <c r="Q77" i="1"/>
  <c r="Q52" i="1"/>
  <c r="Q47" i="1"/>
  <c r="Q43" i="1"/>
  <c r="Q21" i="1"/>
  <c r="Q62" i="1"/>
  <c r="Q71" i="1"/>
  <c r="Q42" i="1"/>
  <c r="Q103" i="1"/>
  <c r="Q88" i="1"/>
  <c r="Q76" i="1"/>
  <c r="Q58" i="1"/>
  <c r="Q55" i="1"/>
  <c r="Q41" i="1"/>
  <c r="Q68" i="1"/>
  <c r="Q3" i="1"/>
  <c r="Q72" i="1"/>
  <c r="Q31" i="1"/>
  <c r="Q113" i="1"/>
  <c r="Q87" i="1"/>
  <c r="Q28" i="1"/>
  <c r="Q38" i="1"/>
  <c r="Q44" i="1"/>
  <c r="Q53" i="1"/>
  <c r="Q15" i="1"/>
  <c r="Q18" i="1"/>
  <c r="Q32" i="1"/>
  <c r="Q30" i="1"/>
  <c r="Q102" i="1"/>
  <c r="Q86" i="1"/>
  <c r="Q99" i="1"/>
  <c r="Q60" i="1"/>
  <c r="Q112" i="1"/>
  <c r="Q61" i="1"/>
  <c r="Q11" i="1"/>
</calcChain>
</file>

<file path=xl/sharedStrings.xml><?xml version="1.0" encoding="utf-8"?>
<sst xmlns="http://schemas.openxmlformats.org/spreadsheetml/2006/main" count="16788" uniqueCount="9518">
  <si>
    <t>Sanskrit Bible (NT) in Tibetan Script (སཏྱཝེདཿ།)</t>
  </si>
  <si>
    <t>SanskritBible.in</t>
  </si>
  <si>
    <t>https://app.thedigitalbiblelibrary.org/api/entries/018ff00d7f55cbc1/revisions/1</t>
  </si>
  <si>
    <t>san</t>
  </si>
  <si>
    <t>China</t>
  </si>
  <si>
    <t>Sanskrit</t>
  </si>
  <si>
    <t>text</t>
  </si>
  <si>
    <t>018ff00d7f55cbc1</t>
  </si>
  <si>
    <t>Literal Standard Version</t>
  </si>
  <si>
    <t>Covenant Press</t>
  </si>
  <si>
    <t>eng</t>
  </si>
  <si>
    <t>United States</t>
  </si>
  <si>
    <t>English</t>
  </si>
  <si>
    <t>01b29f4b342acc35</t>
  </si>
  <si>
    <t>United States of America</t>
  </si>
  <si>
    <t>https://app.thedigitalbiblelibrary.org/api/entries/01b29f4b342acc35/revisions/21</t>
  </si>
  <si>
    <t>Indian Revised Version (IRV) Tamil - 2019</t>
  </si>
  <si>
    <t>Bridge Connectivity Solutions Pvt. Ltd.</t>
  </si>
  <si>
    <t>https://app.thedigitalbiblelibrary.org/api/entries/03a021185023710b/revisions/1</t>
  </si>
  <si>
    <t>tam</t>
  </si>
  <si>
    <t>India</t>
  </si>
  <si>
    <t>Tamil</t>
  </si>
  <si>
    <t>03a021185023710b</t>
  </si>
  <si>
    <t>World Messianic Bible British Edition</t>
  </si>
  <si>
    <t>eBible.org</t>
  </si>
  <si>
    <t>Australia</t>
  </si>
  <si>
    <t>04da588535d2f823</t>
  </si>
  <si>
    <t>United Kingdom</t>
  </si>
  <si>
    <t>https://app.thedigitalbiblelibrary.org/api/entries/04da588535d2f823/revisions/37</t>
  </si>
  <si>
    <t>American Standard Version of 1901 [eng] ASV</t>
  </si>
  <si>
    <t>06125adad2d5898a</t>
  </si>
  <si>
    <t>https://app.thedigitalbiblelibrary.org/api/entries/06125adad2d5898a/revisions/12</t>
  </si>
  <si>
    <t>Serbian Bible (Vuk Karadžić, Đura Daničić) [srp] Serbia</t>
  </si>
  <si>
    <t>https://app.thedigitalbiblelibrary.org/api/entries/06995ce9cd23361b/revisions/1</t>
  </si>
  <si>
    <t>srp</t>
  </si>
  <si>
    <t>Serbia</t>
  </si>
  <si>
    <t>Serbian</t>
  </si>
  <si>
    <t>06995ce9cd23361b</t>
  </si>
  <si>
    <t>Sanskrit Bible (NT) in Punjabi Script (ਸਤ੍ਯਵੇਦਃ।)</t>
  </si>
  <si>
    <t>https://app.thedigitalbiblelibrary.org/api/entries/07225eadadcb079a/revisions/1</t>
  </si>
  <si>
    <t>07225eadadcb079a</t>
  </si>
  <si>
    <t>Sanskrit Bible (NT) in IAST Script (satyavedaḥ|)</t>
  </si>
  <si>
    <t>https://app.thedigitalbiblelibrary.org/api/entries/0b07fcef627a2db2/revisions/1</t>
  </si>
  <si>
    <t>0b07fcef627a2db2</t>
  </si>
  <si>
    <t>Nend Portions - Mark</t>
  </si>
  <si>
    <t>Pioneer Bible Translators</t>
  </si>
  <si>
    <t>https://app.thedigitalbiblelibrary.org/api/entries/0c2ff0a5c8b9069c/revisions/1</t>
  </si>
  <si>
    <t>anh</t>
  </si>
  <si>
    <t>Papua New Guinea</t>
  </si>
  <si>
    <t>Nend</t>
  </si>
  <si>
    <t>0c2ff0a5c8b9069c</t>
  </si>
  <si>
    <t>English - World English Bible (NT)</t>
  </si>
  <si>
    <t>Hosanna</t>
  </si>
  <si>
    <t>en</t>
  </si>
  <si>
    <t>null</t>
  </si>
  <si>
    <t>audio</t>
  </si>
  <si>
    <t>105a06b6146d11e7</t>
  </si>
  <si>
    <t>https://app.thedigitalbiblelibrary.org/api/entries/105a06b6146d11e7/revisions/2</t>
  </si>
  <si>
    <t>Sanskrit Bible (NT) in Malayalam Script (സത്യവേദഃ।)</t>
  </si>
  <si>
    <t>https://app.thedigitalbiblelibrary.org/api/entries/119375d97b57cf04/revisions/1</t>
  </si>
  <si>
    <t>119375d97b57cf04</t>
  </si>
  <si>
    <t>Sanskrit Bible (NT) in Tamil Script (ஸத்யவேத³​:।)</t>
  </si>
  <si>
    <t>https://app.thedigitalbiblelibrary.org/api/entries/143e0e03cf5b12ae/revisions/2</t>
  </si>
  <si>
    <t>143e0e03cf5b12ae</t>
  </si>
  <si>
    <t>Duay-Rheims American Edition  1899 [eng] USA</t>
  </si>
  <si>
    <t>https://app.thedigitalbiblelibrary.org/api/entries/179568874c45066f/revisions/2</t>
  </si>
  <si>
    <t>179568874c45066f</t>
  </si>
  <si>
    <t>Belarusian New Testament and Proverbs</t>
  </si>
  <si>
    <t>John the Forerunner Church of Christians of Evangelical Faith of Minsk City</t>
  </si>
  <si>
    <t>bel</t>
  </si>
  <si>
    <t>Belarus</t>
  </si>
  <si>
    <t>Belarusian</t>
  </si>
  <si>
    <t>17c44f6c89de00db</t>
  </si>
  <si>
    <t>https://app.thedigitalbiblelibrary.org/api/entries/17c44f6c89de00db/revisions/7</t>
  </si>
  <si>
    <t>Vietnamese Bible 1925 [vie] Vietnam</t>
  </si>
  <si>
    <t>https://app.thedigitalbiblelibrary.org/api/entries/1b878de073afef07/revisions/1</t>
  </si>
  <si>
    <t>vie</t>
  </si>
  <si>
    <t>Viet Nam</t>
  </si>
  <si>
    <t>Vietnamese</t>
  </si>
  <si>
    <t>1b878de073afef07</t>
  </si>
  <si>
    <t>UWSPÓŁCZEŚNIONA BIBLIA GDAŃSKA [pol]</t>
  </si>
  <si>
    <t>https://app.thedigitalbiblelibrary.org/api/entries/1c9761e0230da6e0/revisions/1</t>
  </si>
  <si>
    <t>pol</t>
  </si>
  <si>
    <t>Poland</t>
  </si>
  <si>
    <t>Polish</t>
  </si>
  <si>
    <t>1c9761e0230da6e0</t>
  </si>
  <si>
    <t>Tongan Revised West Translation</t>
  </si>
  <si>
    <t>ton</t>
  </si>
  <si>
    <t>Tongan</t>
  </si>
  <si>
    <t>25210406001d9aae</t>
  </si>
  <si>
    <t>https://app.thedigitalbiblelibrary.org/api/entries/25210406001d9aae/revisions/6</t>
  </si>
  <si>
    <t>Akukem Portions for DBL</t>
  </si>
  <si>
    <t>https://app.thedigitalbiblelibrary.org/api/entries/2a65010324d677b6/revisions/1</t>
  </si>
  <si>
    <t>spm</t>
  </si>
  <si>
    <t>Akukem</t>
  </si>
  <si>
    <t>2a65010324d677b6</t>
  </si>
  <si>
    <t>Sanskrit Bible (NT) in Sinhala Script (සත්‍යවේදඃ।)</t>
  </si>
  <si>
    <t>https://app.thedigitalbiblelibrary.org/api/entries/2c2cf8df5a22a46e/revisions/1</t>
  </si>
  <si>
    <t>Sri Lanka</t>
  </si>
  <si>
    <t>2c2cf8df5a22a46e</t>
  </si>
  <si>
    <t>Susu Bible in Arabic Script</t>
  </si>
  <si>
    <t>sus</t>
  </si>
  <si>
    <t>Guinea</t>
  </si>
  <si>
    <t>Susu</t>
  </si>
  <si>
    <t>2d5220a02a7aaac6</t>
  </si>
  <si>
    <t>https://app.thedigitalbiblelibrary.org/api/entries/2d5220a02a7aaac6/revisions/6</t>
  </si>
  <si>
    <t>Terjemahan Sederhana Indonesia</t>
  </si>
  <si>
    <t>The OurLanguage Bible Organization</t>
  </si>
  <si>
    <t>https://app.thedigitalbiblelibrary.org/api/entries/2dd568eeff29fb3c/revisions/4</t>
  </si>
  <si>
    <t>ind</t>
  </si>
  <si>
    <t>Indonesia</t>
  </si>
  <si>
    <t>Indonesian</t>
  </si>
  <si>
    <t>2dd568eeff29fb3c</t>
  </si>
  <si>
    <t>Thai King James Version</t>
  </si>
  <si>
    <t>tha</t>
  </si>
  <si>
    <t>Thailand</t>
  </si>
  <si>
    <t>Thai</t>
  </si>
  <si>
    <t>2eb94132ad61ae75</t>
  </si>
  <si>
    <t>https://app.thedigitalbiblelibrary.org/api/entries/2eb94132ad61ae75/revisions/2</t>
  </si>
  <si>
    <t>The English New Testament According to Family 35</t>
  </si>
  <si>
    <t>https://app.thedigitalbiblelibrary.org/api/entries/2f0fd81d7b85b923/revisions/1</t>
  </si>
  <si>
    <t>Unspecific</t>
  </si>
  <si>
    <t>2f0fd81d7b85b923</t>
  </si>
  <si>
    <t>Sanskrit Bible (NT) in Thai Script (สตฺยเวท:ฯ)</t>
  </si>
  <si>
    <t>https://app.thedigitalbiblelibrary.org/api/entries/306d6ab1ca333a1e/revisions/1</t>
  </si>
  <si>
    <t>306d6ab1ca333a1e</t>
  </si>
  <si>
    <t>Gods Book</t>
  </si>
  <si>
    <t>https://app.thedigitalbiblelibrary.org/api/entries/30cb581bcc911c45/revisions/2</t>
  </si>
  <si>
    <t>tod</t>
  </si>
  <si>
    <t>Toma</t>
  </si>
  <si>
    <t>30cb581bcc911c45</t>
  </si>
  <si>
    <t>Takuu New Testament</t>
  </si>
  <si>
    <t>https://app.thedigitalbiblelibrary.org/api/entries/312df00520eac624/revisions/2</t>
  </si>
  <si>
    <t>nho</t>
  </si>
  <si>
    <t>Takuu</t>
  </si>
  <si>
    <t>312df00520eac624</t>
  </si>
  <si>
    <t>Nguu New Testament</t>
  </si>
  <si>
    <t>The Word for the World International</t>
  </si>
  <si>
    <t>ngp</t>
  </si>
  <si>
    <t>Tanzania</t>
  </si>
  <si>
    <t>Nguu</t>
  </si>
  <si>
    <t>324f457845cb5d21</t>
  </si>
  <si>
    <t>https://app.thedigitalbiblelibrary.org/api/entries/324f457845cb5d21/revisions/2</t>
  </si>
  <si>
    <t>Eastern Slovak Romani Bible</t>
  </si>
  <si>
    <t>rmc</t>
  </si>
  <si>
    <t>Slovakia</t>
  </si>
  <si>
    <t>Carpathian Romani</t>
  </si>
  <si>
    <t>33ac978af36830fa</t>
  </si>
  <si>
    <t>https://app.thedigitalbiblelibrary.org/api/entries/33ac978af36830fa/revisions/6</t>
  </si>
  <si>
    <t>Sanskrit Bible (NT) in Cologne Script (satyavEdaH|)</t>
  </si>
  <si>
    <t>https://app.thedigitalbiblelibrary.org/api/entries/33b6449cacf22773/revisions/1</t>
  </si>
  <si>
    <t>33b6449cacf22773</t>
  </si>
  <si>
    <t>Gujarati Bible [guj] India (BCS 2017)</t>
  </si>
  <si>
    <t>https://app.thedigitalbiblelibrary.org/api/entries/3548ab6114a312d4/revisions/3</t>
  </si>
  <si>
    <t>guj</t>
  </si>
  <si>
    <t>Gujarati</t>
  </si>
  <si>
    <t>3548ab6114a312d4</t>
  </si>
  <si>
    <t>The New Testament in Pogoro</t>
  </si>
  <si>
    <t>poy</t>
  </si>
  <si>
    <t>Shipogoro</t>
  </si>
  <si>
    <t>355792a03079ccdd</t>
  </si>
  <si>
    <t>https://app.thedigitalbiblelibrary.org/api/entries/355792a03079ccdd/revisions/2</t>
  </si>
  <si>
    <t>Oriya New Testament [ory] India (BCS 2017) publication snapshot</t>
  </si>
  <si>
    <t>ory</t>
  </si>
  <si>
    <t>Odia</t>
  </si>
  <si>
    <t>365f988242c307d2</t>
  </si>
  <si>
    <t>https://app.thedigitalbiblelibrary.org/api/entries/365f988242c307d2/revisions/5</t>
  </si>
  <si>
    <t>Maale Bible</t>
  </si>
  <si>
    <t>Bible Society of Ethiopia</t>
  </si>
  <si>
    <t>https://app.thedigitalbiblelibrary.org/api/entries/385573d4ba3ff72a/revisions/2</t>
  </si>
  <si>
    <t>mdy</t>
  </si>
  <si>
    <t>Ethiopia</t>
  </si>
  <si>
    <t>Maale</t>
  </si>
  <si>
    <t>385573d4ba3ff72a</t>
  </si>
  <si>
    <t>Greek Textus Receptus, including the variants of Beza, Elzevir, Erasmus, Scrivener, and Stephanus</t>
  </si>
  <si>
    <t>grc</t>
  </si>
  <si>
    <t>Greek, Ancient</t>
  </si>
  <si>
    <t>3aefb10641485092</t>
  </si>
  <si>
    <t>https://app.thedigitalbiblelibrary.org/api/entries/3aefb10641485092/revisions/2</t>
  </si>
  <si>
    <t>Revised Version 1885</t>
  </si>
  <si>
    <t>40072c4a5aba4022</t>
  </si>
  <si>
    <t>https://app.thedigitalbiblelibrary.org/api/entries/40072c4a5aba4022/revisions/6</t>
  </si>
  <si>
    <t>Italian: Diodati Bible 1885</t>
  </si>
  <si>
    <t>United Bible Societies</t>
  </si>
  <si>
    <t>https://app.thedigitalbiblelibrary.org/api/entries/41f25b97f468e10b/revisions/4</t>
  </si>
  <si>
    <t>ita</t>
  </si>
  <si>
    <t>Italy</t>
  </si>
  <si>
    <t>Italian</t>
  </si>
  <si>
    <t>41f25b97f468e10b</t>
  </si>
  <si>
    <t>Punjabi Indian Revised Version (IRV)</t>
  </si>
  <si>
    <t>Davar Partners International</t>
  </si>
  <si>
    <t>https://app.thedigitalbiblelibrary.org/api/entries/439ac17466ab4ae1/revisions/1</t>
  </si>
  <si>
    <t>Republic of India</t>
  </si>
  <si>
    <t>Panjabi</t>
  </si>
  <si>
    <t>439ac17466ab4ae1</t>
  </si>
  <si>
    <t>Versión Biblia Libre [spa] Spanish Free Bible Version</t>
  </si>
  <si>
    <t>Free Bible Ministry, Inc.</t>
  </si>
  <si>
    <t>spa</t>
  </si>
  <si>
    <t>Spain</t>
  </si>
  <si>
    <t>Spanish</t>
  </si>
  <si>
    <t>482ddd53705278cc</t>
  </si>
  <si>
    <t>https://app.thedigitalbiblelibrary.org/api/entries/482ddd53705278cc/revisions/2</t>
  </si>
  <si>
    <t>Indian Revised Version (IRV) Bengali</t>
  </si>
  <si>
    <t>https://app.thedigitalbiblelibrary.org/api/entries/4c3eda00cd317568/revisions/2</t>
  </si>
  <si>
    <t>ben</t>
  </si>
  <si>
    <t>Bengali</t>
  </si>
  <si>
    <t>4c3eda00cd317568</t>
  </si>
  <si>
    <t>Gods Holy Book in Sankaran</t>
  </si>
  <si>
    <t>https://app.thedigitalbiblelibrary.org/api/entries/4ffcec8e8f3c33e7/revisions/3</t>
  </si>
  <si>
    <t>msc</t>
  </si>
  <si>
    <t>Sankaran Maninka</t>
  </si>
  <si>
    <t>4ffcec8e8f3c33e7</t>
  </si>
  <si>
    <t>Sanskrit Bible (NT) in Urdu Script (سَتْیَویدَح۔)</t>
  </si>
  <si>
    <t>https://app.thedigitalbiblelibrary.org/api/entries/51b16e0b4b7c9825/revisions/2</t>
  </si>
  <si>
    <t>51b16e0b4b7c9825</t>
  </si>
  <si>
    <t>Textbibel von Kautzsch und Weizsäcker [deu] German</t>
  </si>
  <si>
    <t>https://app.thedigitalbiblelibrary.org/api/entries/542b32484b6e38c2/revisions/1</t>
  </si>
  <si>
    <t>deu</t>
  </si>
  <si>
    <t>Germany</t>
  </si>
  <si>
    <t>German</t>
  </si>
  <si>
    <t>542b32484b6e38c2</t>
  </si>
  <si>
    <t>The Cambridge Paragraph Bible of the Authorized English Version</t>
  </si>
  <si>
    <t>https://app.thedigitalbiblelibrary.org/api/entries/55212e3cf5d04d49/revisions/1</t>
  </si>
  <si>
    <t>55212e3cf5d04d49</t>
  </si>
  <si>
    <t>Mum Language NT Portions</t>
  </si>
  <si>
    <t>https://app.thedigitalbiblelibrary.org/api/entries/5591cba5ae063228/revisions/1</t>
  </si>
  <si>
    <t>kqa</t>
  </si>
  <si>
    <t>Mum</t>
  </si>
  <si>
    <t>5591cba5ae063228</t>
  </si>
  <si>
    <t>Bedamuni Bible [beo] Papua New Guinea</t>
  </si>
  <si>
    <t>https://app.thedigitalbiblelibrary.org/api/entries/55bab459b716348c/revisions/1</t>
  </si>
  <si>
    <t>beo</t>
  </si>
  <si>
    <t>Beami</t>
  </si>
  <si>
    <t>55bab459b716348c</t>
  </si>
  <si>
    <t>English Majority Text Version</t>
  </si>
  <si>
    <t>https://app.thedigitalbiblelibrary.org/api/entries/55ec700d9e0d77ea/revisions/1</t>
  </si>
  <si>
    <t>55ec700d9e0d77ea</t>
  </si>
  <si>
    <t>Reina Valera 1909</t>
  </si>
  <si>
    <t>https://app.thedigitalbiblelibrary.org/api/entries/592420522e16049f/revisions/7</t>
  </si>
  <si>
    <t>592420522e16049f</t>
  </si>
  <si>
    <t>Sanskrit Bible (NT) in Oriya Script (ସତ୍ୟୱେଦଃ।)</t>
  </si>
  <si>
    <t>https://app.thedigitalbiblelibrary.org/api/entries/5a27fd2a2de187c8/revisions/1</t>
  </si>
  <si>
    <t>5a27fd2a2de187c8</t>
  </si>
  <si>
    <t>Indian Revised Version (IRV) Telugu - 2019</t>
  </si>
  <si>
    <t>https://app.thedigitalbiblelibrary.org/api/entries/5b835ce16a1703ff/revisions/1</t>
  </si>
  <si>
    <t>tel</t>
  </si>
  <si>
    <t>Telugu</t>
  </si>
  <si>
    <t>5b835ce16a1703ff</t>
  </si>
  <si>
    <t>The Greek New Testament According to Family 35, Third Edition</t>
  </si>
  <si>
    <t>https://app.thedigitalbiblelibrary.org/api/entries/5e29945cf530b0f6/revisions/1</t>
  </si>
  <si>
    <t>5e29945cf530b0f6</t>
  </si>
  <si>
    <t>Aruamu New Testament</t>
  </si>
  <si>
    <t>msy</t>
  </si>
  <si>
    <t>Aruamu</t>
  </si>
  <si>
    <t>5e51f89e89947acb</t>
  </si>
  <si>
    <t>https://app.thedigitalbiblelibrary.org/api/entries/5e51f89e89947acb/revisions/4</t>
  </si>
  <si>
    <t>Brenton English Septuagint</t>
  </si>
  <si>
    <t>https://app.thedigitalbiblelibrary.org/api/entries/65bfdebd704a8324/revisions/1</t>
  </si>
  <si>
    <t>65bfdebd704a8324</t>
  </si>
  <si>
    <t>Free Bible Version</t>
  </si>
  <si>
    <t>65eec8e0b60e656b</t>
  </si>
  <si>
    <t>https://app.thedigitalbiblelibrary.org/api/entries/65eec8e0b60e656b/revisions/7</t>
  </si>
  <si>
    <t>Translation for Translators [eng] USA</t>
  </si>
  <si>
    <t>https://app.thedigitalbiblelibrary.org/api/entries/66c22495370cdfc0/revisions/4</t>
  </si>
  <si>
    <t>66c22495370cdfc0</t>
  </si>
  <si>
    <t>Blackfoot Gospel of Matthew [bla] Canada</t>
  </si>
  <si>
    <t>https://app.thedigitalbiblelibrary.org/api/entries/6855dabfcb711cc2/revisions/1</t>
  </si>
  <si>
    <t>bla</t>
  </si>
  <si>
    <t>Canada</t>
  </si>
  <si>
    <t>Siksika</t>
  </si>
  <si>
    <t>6855dabfcb711cc2</t>
  </si>
  <si>
    <t>American Standard Version (Byzantine Text with Apocrypha)</t>
  </si>
  <si>
    <t>https://app.thedigitalbiblelibrary.org/api/entries/685d1470fe4d5c3b/revisions/1</t>
  </si>
  <si>
    <t>685d1470fe4d5c3b</t>
  </si>
  <si>
    <t>Gospel of Mark - Kianying Balang Lanugage</t>
  </si>
  <si>
    <t>kql</t>
  </si>
  <si>
    <t>Kyenele</t>
  </si>
  <si>
    <t>6aa52b968434d882</t>
  </si>
  <si>
    <t>https://app.thedigitalbiblelibrary.org/api/entries/6aa52b968434d882/revisions/2</t>
  </si>
  <si>
    <t>Brenton English Septuagint (Updated Spelling and Formatting)</t>
  </si>
  <si>
    <t>6bab4d6c61b31b80</t>
  </si>
  <si>
    <t>https://app.thedigitalbiblelibrary.org/api/entries/6bab4d6c61b31b80/revisions/3</t>
  </si>
  <si>
    <t>Sanskrit Bible (NT) in Khmer Script (សត្យវេទះ។)</t>
  </si>
  <si>
    <t>https://app.thedigitalbiblelibrary.org/api/entries/6bb8b0fa7aca67c6/revisions/1</t>
  </si>
  <si>
    <t>Cambodia</t>
  </si>
  <si>
    <t>6bb8b0fa7aca67c6</t>
  </si>
  <si>
    <t>Sanskrit Bible (NT) in ITRANS Script (satyavedaH|)</t>
  </si>
  <si>
    <t>https://app.thedigitalbiblelibrary.org/api/entries/6bc5ae3d6dd9009a/revisions/1</t>
  </si>
  <si>
    <t>6bc5ae3d6dd9009a</t>
  </si>
  <si>
    <t>Hindi Indian Revised Version Bible (BCS) [hin] India</t>
  </si>
  <si>
    <t>hin</t>
  </si>
  <si>
    <t>Hindi</t>
  </si>
  <si>
    <t>705aad6832c6e4d2</t>
  </si>
  <si>
    <t>https://app.thedigitalbiblelibrary.org/api/entries/705aad6832c6e4d2/revisions/3</t>
  </si>
  <si>
    <t>World English Bible British Edition</t>
  </si>
  <si>
    <t>7142879509583d59</t>
  </si>
  <si>
    <t>https://app.thedigitalbiblelibrary.org/api/entries/7142879509583d59/revisions/45</t>
  </si>
  <si>
    <t>Gods Holy Book</t>
  </si>
  <si>
    <t>https://app.thedigitalbiblelibrary.org/api/entries/71d2075d284c4eae/revisions/4</t>
  </si>
  <si>
    <t>bsp</t>
  </si>
  <si>
    <t>Baga Sitemu</t>
  </si>
  <si>
    <t>71d2075d284c4eae</t>
  </si>
  <si>
    <t>The New Testament in Zaramo</t>
  </si>
  <si>
    <t>zaj</t>
  </si>
  <si>
    <t>Zaramo</t>
  </si>
  <si>
    <t>7e7a704dd32c4280</t>
  </si>
  <si>
    <t>Tanzania, United Republic of</t>
  </si>
  <si>
    <t>https://app.thedigitalbiblelibrary.org/api/entries/7e7a704dd32c4280/revisions/4</t>
  </si>
  <si>
    <t>Sanskrit Bible (NT) in Harvard-Kyoto Script (satyavedaH|)</t>
  </si>
  <si>
    <t>https://app.thedigitalbiblelibrary.org/api/entries/89007ccbb2eb5187/revisions/1</t>
  </si>
  <si>
    <t>89007ccbb2eb5187</t>
  </si>
  <si>
    <t>Yapese Bible</t>
  </si>
  <si>
    <t>https://app.thedigitalbiblelibrary.org/api/entries/8a448a0135a6a70a/revisions/1</t>
  </si>
  <si>
    <t>yap</t>
  </si>
  <si>
    <t>Micronesia, Federated States of</t>
  </si>
  <si>
    <t>Yapese</t>
  </si>
  <si>
    <t>8a448a0135a6a70a</t>
  </si>
  <si>
    <t>Indian Revised Version(IRV) Marathi - 2019</t>
  </si>
  <si>
    <t>https://app.thedigitalbiblelibrary.org/api/entries/8c49129a458d4059/revisions/1</t>
  </si>
  <si>
    <t>mar</t>
  </si>
  <si>
    <t>Marathi</t>
  </si>
  <si>
    <t>8c49129a458d4059</t>
  </si>
  <si>
    <t>Sanskrit Bible (NT) in Bengali Script (সত্যবেদঃ।)</t>
  </si>
  <si>
    <t>https://app.thedigitalbiblelibrary.org/api/entries/8d1ad2c921d811c3/revisions/2</t>
  </si>
  <si>
    <t>8d1ad2c921d811c3</t>
  </si>
  <si>
    <t>New Testament in Tay</t>
  </si>
  <si>
    <t>taw</t>
  </si>
  <si>
    <t>Tay</t>
  </si>
  <si>
    <t>8e3b1a957009c6ca</t>
  </si>
  <si>
    <t>https://app.thedigitalbiblelibrary.org/api/entries/8e3b1a957009c6ca/revisions/4</t>
  </si>
  <si>
    <t>Translation for Translators in Portuguese</t>
  </si>
  <si>
    <t>https://app.thedigitalbiblelibrary.org/api/entries/90799bb5b996fddc/revisions/1</t>
  </si>
  <si>
    <t>por</t>
  </si>
  <si>
    <t>Brazil</t>
  </si>
  <si>
    <t>Portuguese</t>
  </si>
  <si>
    <t>90799bb5b996fddc</t>
  </si>
  <si>
    <t>Sanskrit Bible (NT) in Burmese Script (သတျဝေဒး၊)</t>
  </si>
  <si>
    <t>https://app.thedigitalbiblelibrary.org/api/entries/9449d4ad98193779/revisions/1</t>
  </si>
  <si>
    <t>9449d4ad98193779</t>
  </si>
  <si>
    <t>German Unrevised Elberfelder Bible [deu] Germany</t>
  </si>
  <si>
    <t>https://app.thedigitalbiblelibrary.org/api/entries/95410db44ef800c1/revisions/2</t>
  </si>
  <si>
    <t>German, Standard</t>
  </si>
  <si>
    <t>95410db44ef800c1</t>
  </si>
  <si>
    <t>World English Bible (American Edition)</t>
  </si>
  <si>
    <t>9879dbb7cfe39e4d</t>
  </si>
  <si>
    <t>https://app.thedigitalbiblelibrary.org/api/entries/9879dbb7cfe39e4d/revisions/39</t>
  </si>
  <si>
    <t>The Bible in Aruamu: Old Testament and New Testament</t>
  </si>
  <si>
    <t>https://app.thedigitalbiblelibrary.org/api/entries/98adf0b796dc9ff4/revisions/5</t>
  </si>
  <si>
    <t>98adf0b796dc9ff4</t>
  </si>
  <si>
    <t>The New Testament in Lughulu</t>
  </si>
  <si>
    <t>Pioneer Bible Translators and The Word for the World</t>
  </si>
  <si>
    <t>ruf</t>
  </si>
  <si>
    <t>Lughulu</t>
  </si>
  <si>
    <t>98d1c5bee401f80c</t>
  </si>
  <si>
    <t>https://app.thedigitalbiblelibrary.org/api/entries/98d1c5bee401f80c/revisions/4</t>
  </si>
  <si>
    <t>Sanskrit Bible (NT) in Velthuis Script (satyaveda.h|)</t>
  </si>
  <si>
    <t>https://app.thedigitalbiblelibrary.org/api/entries/9a875168ff4df1a3/revisions/1</t>
  </si>
  <si>
    <t>9a875168ff4df1a3</t>
  </si>
  <si>
    <t>Pular Fuuta-Jallon New Testament</t>
  </si>
  <si>
    <t>https://app.thedigitalbiblelibrary.org/api/entries/9b076bc0f1856204/revisions/3</t>
  </si>
  <si>
    <t>fuf</t>
  </si>
  <si>
    <t>Pular</t>
  </si>
  <si>
    <t>9b076bc0f1856204</t>
  </si>
  <si>
    <t>Malayalam Bible [mal] India (BCS 2017)</t>
  </si>
  <si>
    <t>mal</t>
  </si>
  <si>
    <t>Malayalam</t>
  </si>
  <si>
    <t>9f78f34aabe691c9</t>
  </si>
  <si>
    <t>https://app.thedigitalbiblelibrary.org/api/entries/9f78f34aabe691c9/revisions/5</t>
  </si>
  <si>
    <t>Indian Revised Version (IRV) Kannada - 2019</t>
  </si>
  <si>
    <t>https://app.thedigitalbiblelibrary.org/api/entries/a33a100f04f2752e/revisions/2</t>
  </si>
  <si>
    <t>kan</t>
  </si>
  <si>
    <t>Kannada</t>
  </si>
  <si>
    <t>a33a100f04f2752e</t>
  </si>
  <si>
    <t>Haryanvi New Testament</t>
  </si>
  <si>
    <t>https://app.thedigitalbiblelibrary.org/api/entries/a870900c030548a0/revisions/2</t>
  </si>
  <si>
    <t>Haryanvi</t>
  </si>
  <si>
    <t>a870900c030548a0</t>
  </si>
  <si>
    <t>Sanskrit Bible (NT) in Telugu Script (సత్యవేదః।)</t>
  </si>
  <si>
    <t>https://app.thedigitalbiblelibrary.org/api/entries/aa146959e1d39b78/revisions/1</t>
  </si>
  <si>
    <t>aa146959e1d39b78</t>
  </si>
  <si>
    <t>Morokodo</t>
  </si>
  <si>
    <t>https://app.thedigitalbiblelibrary.org/api/entries/abf017938be72f46/revisions/4</t>
  </si>
  <si>
    <t>mgc</t>
  </si>
  <si>
    <t>South Sudan</t>
  </si>
  <si>
    <t>abf017938be72f46</t>
  </si>
  <si>
    <t>Yalunka Bible</t>
  </si>
  <si>
    <t>https://app.thedigitalbiblelibrary.org/api/entries/afe8f67d8ba9025c/revisions/3</t>
  </si>
  <si>
    <t>yal</t>
  </si>
  <si>
    <t>Yalunka</t>
  </si>
  <si>
    <t>afe8f67d8ba9025c</t>
  </si>
  <si>
    <t>Indian Revised Version(IRV) Hindi - 2019</t>
  </si>
  <si>
    <t>https://app.thedigitalbiblelibrary.org/api/entries/b35e70bce95d4261/revisions/1</t>
  </si>
  <si>
    <t>hi-Deva-IN</t>
  </si>
  <si>
    <t>b35e70bce95d4261</t>
  </si>
  <si>
    <t>Makua New Testament 2015</t>
  </si>
  <si>
    <t>mgh</t>
  </si>
  <si>
    <t>Makhuwa-Meetto</t>
  </si>
  <si>
    <t>b5105cd03c972046</t>
  </si>
  <si>
    <t>https://app.thedigitalbiblelibrary.org/api/entries/b5105cd03c972046/revisions/3</t>
  </si>
  <si>
    <t>Bible in belarusian</t>
  </si>
  <si>
    <t>b52bc8b7af3bdc6f</t>
  </si>
  <si>
    <t>https://app.thedigitalbiblelibrary.org/api/entries/b52bc8b7af3bdc6f/revisions/7</t>
  </si>
  <si>
    <t>Arapaho Luke</t>
  </si>
  <si>
    <t>arp</t>
  </si>
  <si>
    <t>Arapaho</t>
  </si>
  <si>
    <t>b7ad344da9c39262</t>
  </si>
  <si>
    <t>https://app.thedigitalbiblelibrary.org/api/entries/b7ad344da9c39262/revisions/2</t>
  </si>
  <si>
    <t>Sanskrit Bible (NT) in Assamese Script (সত্যৱেদঃ।)</t>
  </si>
  <si>
    <t>bb3df4b7c8587c77</t>
  </si>
  <si>
    <t>https://app.thedigitalbiblelibrary.org/api/entries/bb3df4b7c8587c77/revisions/3</t>
  </si>
  <si>
    <t>Susu Bible</t>
  </si>
  <si>
    <t>Mission Evangélique Réformée Néerlandaise</t>
  </si>
  <si>
    <t>https://app.thedigitalbiblelibrary.org/api/entries/bbeb583cd75c6356/revisions/5</t>
  </si>
  <si>
    <t>bbeb583cd75c6356</t>
  </si>
  <si>
    <t>Maale New Testament</t>
  </si>
  <si>
    <t>bed82ba57f117c16</t>
  </si>
  <si>
    <t>https://app.thedigitalbiblelibrary.org/api/entries/bed82ba57f117c16/revisions/5</t>
  </si>
  <si>
    <t>Old JPS TaNaKH</t>
  </si>
  <si>
    <t>https://app.thedigitalbiblelibrary.org/api/entries/bf8f1c7f3f9045a5/revisions/1</t>
  </si>
  <si>
    <t>bf8f1c7f3f9045a5</t>
  </si>
  <si>
    <t>Brenton Greek Text</t>
  </si>
  <si>
    <t>https://app.thedigitalbiblelibrary.org/api/entries/c114c33098c4fef1/revisions/1</t>
  </si>
  <si>
    <t>Greece</t>
  </si>
  <si>
    <t>c114c33098c4fef1</t>
  </si>
  <si>
    <t>Makonde Bible Version</t>
  </si>
  <si>
    <t>https://app.thedigitalbiblelibrary.org/api/entries/c11c93a0b8a04496/revisions/1</t>
  </si>
  <si>
    <t>kde</t>
  </si>
  <si>
    <t>Makonde</t>
  </si>
  <si>
    <t>c11c93a0b8a04496</t>
  </si>
  <si>
    <t>Sanskrit Bible (NT) in Kannada Script (ಸತ್ಯವೇದಃ।)</t>
  </si>
  <si>
    <t>https://app.thedigitalbiblelibrary.org/api/entries/c1f49ed98a65a544/revisions/1</t>
  </si>
  <si>
    <t>c1f49ed98a65a544</t>
  </si>
  <si>
    <t>The Bible in Vidunda</t>
  </si>
  <si>
    <t>vid</t>
  </si>
  <si>
    <t>Vidunda</t>
  </si>
  <si>
    <t>c2d40ebca6db1ec5</t>
  </si>
  <si>
    <t>https://app.thedigitalbiblelibrary.org/api/entries/c2d40ebca6db1ec5/revisions/2</t>
  </si>
  <si>
    <t>Geneva Bible 1599 [eng] Old English</t>
  </si>
  <si>
    <t>https://app.thedigitalbiblelibrary.org/api/entries/c315fa9f71d4af3a/revisions/1</t>
  </si>
  <si>
    <t>c315fa9f71d4af3a</t>
  </si>
  <si>
    <t>Czech Bible Kralická 1613 [ces] Czech Republic</t>
  </si>
  <si>
    <t>https://app.thedigitalbiblelibrary.org/api/entries/c61908161b077c4c/revisions/2</t>
  </si>
  <si>
    <t>ces</t>
  </si>
  <si>
    <t>Czech Republic</t>
  </si>
  <si>
    <t>Czech</t>
  </si>
  <si>
    <t>c61908161b077c4c</t>
  </si>
  <si>
    <t>The New Testament in Zigua</t>
  </si>
  <si>
    <t>https://app.thedigitalbiblelibrary.org/api/entries/c9f3cf58d557a9f3/revisions/2</t>
  </si>
  <si>
    <t>ziw</t>
  </si>
  <si>
    <t>Zigua</t>
  </si>
  <si>
    <t>c9f3cf58d557a9f3</t>
  </si>
  <si>
    <t>The New Testament in Ndamba</t>
  </si>
  <si>
    <t>https://app.thedigitalbiblelibrary.org/api/entries/cb0425ae772bb042/revisions/2</t>
  </si>
  <si>
    <t>ndj</t>
  </si>
  <si>
    <t>Ndamba</t>
  </si>
  <si>
    <t>cb0425ae772bb042</t>
  </si>
  <si>
    <t>Indian Revised Version (IRV) Assamese - 2019</t>
  </si>
  <si>
    <t>asm</t>
  </si>
  <si>
    <t>Assamese</t>
  </si>
  <si>
    <t>d199679f805f5b29</t>
  </si>
  <si>
    <t>https://app.thedigitalbiblelibrary.org/api/entries/d199679f805f5b29/revisions/2</t>
  </si>
  <si>
    <t>Sanskrit Bible (NT) in ISO Script (satyavēdaḥ|)</t>
  </si>
  <si>
    <t>https://app.thedigitalbiblelibrary.org/api/entries/d4599ff3c6b97f3a/revisions/1</t>
  </si>
  <si>
    <t>d4599ff3c6b97f3a</t>
  </si>
  <si>
    <t>Mborena Kam NT for DBL</t>
  </si>
  <si>
    <t>https://app.thedigitalbiblelibrary.org/api/entries/da905e46720432e2/revisions/1</t>
  </si>
  <si>
    <t>gai</t>
  </si>
  <si>
    <t>Borei</t>
  </si>
  <si>
    <t>da905e46720432e2</t>
  </si>
  <si>
    <t>The New Testament in Kwere</t>
  </si>
  <si>
    <t>cwe</t>
  </si>
  <si>
    <t>Kwere</t>
  </si>
  <si>
    <t>dca01eb41e39d25d</t>
  </si>
  <si>
    <t>https://app.thedigitalbiblelibrary.org/api/entries/dca01eb41e39d25d/revisions/4</t>
  </si>
  <si>
    <t>Indian Revised Version (IRV) Urdu - 2019</t>
  </si>
  <si>
    <t>https://app.thedigitalbiblelibrary.org/api/entries/de0270810140edf9/revisions/1</t>
  </si>
  <si>
    <t>urd</t>
  </si>
  <si>
    <t>Urdu</t>
  </si>
  <si>
    <t>de0270810140edf9</t>
  </si>
  <si>
    <t>King James Version [eng] without Strongs numbers, 1769 standardized text</t>
  </si>
  <si>
    <t>de4e12af7f28f599</t>
  </si>
  <si>
    <t>https://app.thedigitalbiblelibrary.org/api/entries/de4e12af7f28f599/revisions/3</t>
  </si>
  <si>
    <t>Kapingamarangi Bible</t>
  </si>
  <si>
    <t>https://app.thedigitalbiblelibrary.org/api/entries/df7d5d71526afe9e/revisions/3</t>
  </si>
  <si>
    <t>kpg</t>
  </si>
  <si>
    <t>Micronesia</t>
  </si>
  <si>
    <t>Kapingamarangi</t>
  </si>
  <si>
    <t>df7d5d71526afe9e</t>
  </si>
  <si>
    <t>Sob Jonah and Luke</t>
  </si>
  <si>
    <t>urw</t>
  </si>
  <si>
    <t>Sop</t>
  </si>
  <si>
    <t>e01f11e9b4b8e338</t>
  </si>
  <si>
    <t>https://app.thedigitalbiblelibrary.org/api/entries/e01f11e9b4b8e338/revisions/3</t>
  </si>
  <si>
    <t>Indian Revised Version (IRV) Punjabi - 2019</t>
  </si>
  <si>
    <t>pan</t>
  </si>
  <si>
    <t>e2588ba61891daa5</t>
  </si>
  <si>
    <t>https://app.thedigitalbiblelibrary.org/api/entries/e2588ba61891daa5/revisions/2</t>
  </si>
  <si>
    <t>Dawro New Testament</t>
  </si>
  <si>
    <t>dwr</t>
  </si>
  <si>
    <t>Dawro</t>
  </si>
  <si>
    <t>e578524a0893c6b7</t>
  </si>
  <si>
    <t>https://app.thedigitalbiblelibrary.org/api/entries/e578524a0893c6b7/revisions/4</t>
  </si>
  <si>
    <t>Sanskrit Bible (NT) in Devanagari Script (सत्यवेदः।)</t>
  </si>
  <si>
    <t>e8b40ccabe793c0d</t>
  </si>
  <si>
    <t>https://app.thedigitalbiblelibrary.org/api/entries/e8b40ccabe793c0d/revisions/6</t>
  </si>
  <si>
    <t>The New Testament in Kire</t>
  </si>
  <si>
    <t>geb</t>
  </si>
  <si>
    <t>Kire</t>
  </si>
  <si>
    <t>e8b818f49c7c2835</t>
  </si>
  <si>
    <t>https://app.thedigitalbiblelibrary.org/api/entries/e8b818f49c7c2835/revisions/3</t>
  </si>
  <si>
    <t>Sanskrit Bible (NT) in Gujarati Script (સત્યવેદઃ।)</t>
  </si>
  <si>
    <t>https://app.thedigitalbiblelibrary.org/api/entries/e9ea572977b4f504/revisions/1</t>
  </si>
  <si>
    <t>e9ea572977b4f504</t>
  </si>
  <si>
    <t>De Heilige Schrift, Petrus Canisiusvertaling, 1939 [nld] Netherlands</t>
  </si>
  <si>
    <t>https://app.thedigitalbiblelibrary.org/api/entries/ead7b4cc5007389c/revisions/1</t>
  </si>
  <si>
    <t>nld</t>
  </si>
  <si>
    <t>Netherlands</t>
  </si>
  <si>
    <t>Dutch</t>
  </si>
  <si>
    <t>ead7b4cc5007389c</t>
  </si>
  <si>
    <t>Targum Onkelos Etheridge</t>
  </si>
  <si>
    <t>ec290b5045ff54a5</t>
  </si>
  <si>
    <t>https://app.thedigitalbiblelibrary.org/api/entries/ec290b5045ff54a5/revisions/2</t>
  </si>
  <si>
    <t>Mwera Bible Version</t>
  </si>
  <si>
    <t>mwe</t>
  </si>
  <si>
    <t>Mwera (Chimwera)</t>
  </si>
  <si>
    <t>ed5744967fe39c8c</t>
  </si>
  <si>
    <t>https://app.thedigitalbiblelibrary.org/api/entries/ed5744967fe39c8c/revisions/3</t>
  </si>
  <si>
    <t>The New Testament in Kutu</t>
  </si>
  <si>
    <t>https://app.thedigitalbiblelibrary.org/api/entries/f2f349d77ac8f8bc/revisions/2</t>
  </si>
  <si>
    <t>kdc</t>
  </si>
  <si>
    <t>Kutu</t>
  </si>
  <si>
    <t>f2f349d77ac8f8bc</t>
  </si>
  <si>
    <t>Matumbi Bible Version</t>
  </si>
  <si>
    <t>https://app.thedigitalbiblelibrary.org/api/entries/f638e44feb77f803/revisions/2</t>
  </si>
  <si>
    <t>mgw</t>
  </si>
  <si>
    <t>Matumbi</t>
  </si>
  <si>
    <t>f638e44feb77f803</t>
  </si>
  <si>
    <t>World Messianic Bible (American English)</t>
  </si>
  <si>
    <t>f72b840c855f362c</t>
  </si>
  <si>
    <t>https://app.thedigitalbiblelibrary.org/api/entries/f72b840c855f362c/revisions/39</t>
  </si>
  <si>
    <t>Caning Bible Translation</t>
  </si>
  <si>
    <t>https://app.thedigitalbiblelibrary.org/api/entries/f95e2d9b384f8e6e/revisions/1</t>
  </si>
  <si>
    <t>shj</t>
  </si>
  <si>
    <t>Shatt</t>
  </si>
  <si>
    <t>f95e2d9b384f8e6e</t>
  </si>
  <si>
    <t>Svenska Kärnbibeln</t>
  </si>
  <si>
    <t>swe</t>
  </si>
  <si>
    <t>Sweden</t>
  </si>
  <si>
    <t>Swedish</t>
  </si>
  <si>
    <t>fa4317c59f0825e0</t>
  </si>
  <si>
    <t>https://app.thedigitalbiblelibrary.org/api/entries/fa4317c59f0825e0/revisions/18</t>
  </si>
  <si>
    <t>name</t>
  </si>
  <si>
    <t>confidential</t>
  </si>
  <si>
    <t>rights_holder</t>
  </si>
  <si>
    <t>obsolete</t>
  </si>
  <si>
    <t>href</t>
  </si>
  <si>
    <t>language_code</t>
  </si>
  <si>
    <t>country_name</t>
  </si>
  <si>
    <t>language_name</t>
  </si>
  <si>
    <t>latest</t>
  </si>
  <si>
    <t>type</t>
  </si>
  <si>
    <t>id</t>
  </si>
  <si>
    <t>revision</t>
  </si>
  <si>
    <t>AAI</t>
  </si>
  <si>
    <t>The New Testament in the Miniafia Language of Oro Province, Papua New Guinea</t>
  </si>
  <si>
    <t>Biblical Texts</t>
  </si>
  <si>
    <t>AAK</t>
  </si>
  <si>
    <t>The New Testament in the Ankave language of Papua New Guinea</t>
  </si>
  <si>
    <t>AAU</t>
  </si>
  <si>
    <t>The New Testament in the Abau Language of the Green River area, Sandaun Province, Papua New Guinea</t>
  </si>
  <si>
    <t>ABTMAPRIK</t>
  </si>
  <si>
    <t>The New Testament in the Maprik dialect of the Ambulas Language</t>
  </si>
  <si>
    <t>ABTWOSERA</t>
  </si>
  <si>
    <t>The New Testament in the Wosara-Kamu Dialect of the Ambulas Language of Papua New Guinea</t>
  </si>
  <si>
    <t>ABY</t>
  </si>
  <si>
    <t>The New Testament in the Aneme Wake Language of Papua New Guinea</t>
  </si>
  <si>
    <t>ACRACC</t>
  </si>
  <si>
    <t>The New Testament in the Achi' de Cubulco language of Guatemala.</t>
  </si>
  <si>
    <t>ADZ</t>
  </si>
  <si>
    <t>The New Testament in the Adzera Language of Papua New Guinea</t>
  </si>
  <si>
    <t>AEY</t>
  </si>
  <si>
    <t>Genesis and the New Testament in the Amele language of Papua New Guinea</t>
  </si>
  <si>
    <t>AGD</t>
  </si>
  <si>
    <t>The New Testament in the Agarabi language of Papua New Guinea</t>
  </si>
  <si>
    <t>AGG</t>
  </si>
  <si>
    <t>The New Testament in the Angor language of Papua New Guinea</t>
  </si>
  <si>
    <t>AGM</t>
  </si>
  <si>
    <t>The New Testament in the Angaataha language of Papua New Guinea</t>
  </si>
  <si>
    <t>AKH</t>
  </si>
  <si>
    <t>The New Testament in the Angal Heneng Language of Papua New Guinea</t>
  </si>
  <si>
    <t>AmhNASV</t>
  </si>
  <si>
    <t>New Amharic Standard Bible (አዲሱ መደበኛ ትርጒም) (NASV) 2001 Dec'2020</t>
  </si>
  <si>
    <t>AMM</t>
  </si>
  <si>
    <t>The New Testament in the Ama language of Papua New Guinea. The Ama language is also known as the Sawiyanu language.</t>
  </si>
  <si>
    <t>AMNAMANAB</t>
  </si>
  <si>
    <t>The New Testament in the Amanab language of Papua New Guinea</t>
  </si>
  <si>
    <t>AMP</t>
  </si>
  <si>
    <t>The New Testament in the Alamblak language of Papua New Guinea</t>
  </si>
  <si>
    <t>AOJ</t>
  </si>
  <si>
    <t>The New Testament in the Mufian Language</t>
  </si>
  <si>
    <t>AOJFILIFITA</t>
  </si>
  <si>
    <t>The New Testament in the Filifita Language (Ilahita Dialect), East Sepik Province, PAPUA NEW GUINEA</t>
  </si>
  <si>
    <t>AOM</t>
  </si>
  <si>
    <t>The New Testament in the Omie language of Papua New Guinea</t>
  </si>
  <si>
    <t>AON</t>
  </si>
  <si>
    <t>The New Testament in the Central dialect of the Arapesh language of Papua New Guinea</t>
  </si>
  <si>
    <t>APE</t>
  </si>
  <si>
    <t>The New Testament in the Central dialect of the Bukiyip language of Papua New Guinea. This language is also called Mountain Arapesh.</t>
  </si>
  <si>
    <t>APZ</t>
  </si>
  <si>
    <t>The New Testament and Genesis in the Safeyoka (Ampeeli-Wojokeso) language of Papua New Guinea</t>
  </si>
  <si>
    <t>AraSVD</t>
  </si>
  <si>
    <t>Smith and van Dyck's al-Kitab al-Muqaddas (Arabic Bible)</t>
  </si>
  <si>
    <t>NAV</t>
  </si>
  <si>
    <t>العربية: كتاب الحياة New Arabic Version (Ketab El Hayat)</t>
  </si>
  <si>
    <t>ArbNAVKAH</t>
  </si>
  <si>
    <t>New Arabic Version (Ketab El Hayat) (الكتاب المقدس) (NAVKAH) 2012 in Standard Arabic Dec'2020</t>
  </si>
  <si>
    <t>AsmULB</t>
  </si>
  <si>
    <t>Unlocked Literal Bible (ULB) in Assamese TH'Mar-19.</t>
  </si>
  <si>
    <t>ASO</t>
  </si>
  <si>
    <t>The New Testament in the Dano (Upper Asaro) language of Papua New Guinea</t>
  </si>
  <si>
    <t>ATA</t>
  </si>
  <si>
    <t>The New Testament plus Genesis and Jonah in the Ata language of West New Britain, Papua New Guinea</t>
  </si>
  <si>
    <t>AUI</t>
  </si>
  <si>
    <t>The Good News According to Mark in the Anuki language of Papua New Guinea</t>
  </si>
  <si>
    <t>AUY</t>
  </si>
  <si>
    <t>The New Testament in the Awiyaana language of Papua New Guinea</t>
  </si>
  <si>
    <t>AVT</t>
  </si>
  <si>
    <t>The New Testament in the Au language of Papua New Guinea</t>
  </si>
  <si>
    <t>AWB</t>
  </si>
  <si>
    <t>God's New Talk: The New Testament in the Awa Language of Papua New Guinea</t>
  </si>
  <si>
    <t>AWX</t>
  </si>
  <si>
    <t>Genesis, Ruth, and Jonah in the Awara Language of Papua New Guinea</t>
  </si>
  <si>
    <t>BBB</t>
  </si>
  <si>
    <t>Genesis, Exodus, Numbers, Joshua, Ruth, Nehemiah, Jonah, and the New Testament in the Barai language of Papua New Guinea</t>
  </si>
  <si>
    <t>BBR</t>
  </si>
  <si>
    <t>The New Testament in the Girawa Language of Papua New Guinea</t>
  </si>
  <si>
    <t>BCH</t>
  </si>
  <si>
    <t>Genesis, Exodus, and the New Testament in the Bariai language of Papua New Guinea</t>
  </si>
  <si>
    <t>BCO</t>
  </si>
  <si>
    <t>Portions of the New Testament in the Kaluli language of Papua New Guinea</t>
  </si>
  <si>
    <t>BDD</t>
  </si>
  <si>
    <t>The New Testament in the Bunama language of Papua New Guinea</t>
  </si>
  <si>
    <t>BEF</t>
  </si>
  <si>
    <t>The New Testament in the Benabena Language of Papua New Guinea</t>
  </si>
  <si>
    <t>BenULB</t>
  </si>
  <si>
    <t>Unlocked Literal Bible (ULB) in Bengali TH'Mar-19.</t>
  </si>
  <si>
    <t>BHL</t>
  </si>
  <si>
    <t>The New Testament in the Bimin Language of Papua New Guinea</t>
  </si>
  <si>
    <t>BIG</t>
  </si>
  <si>
    <t>The New Testament in the Biangai language of Papua New Guinea</t>
  </si>
  <si>
    <t>BJR</t>
  </si>
  <si>
    <t>The New Testament + Genesis and Exodus in the Binumarien language of Papua New Guinea</t>
  </si>
  <si>
    <t>BMH</t>
  </si>
  <si>
    <t>The New Testament in the Kein Language of Papua New Guinea</t>
  </si>
  <si>
    <t>BMK</t>
  </si>
  <si>
    <t>The Gospel of Mark in the Ghayavi Language of Papua New Guinea</t>
  </si>
  <si>
    <t>BMU</t>
  </si>
  <si>
    <t>The New Testament and portions of the Old Testament in the Somba-Siawari language of Papua New Guinea, also called the Burum Mindik language.</t>
  </si>
  <si>
    <t>BNP</t>
  </si>
  <si>
    <t>Genesis, Exodus, Leviticus, Numbers, Deuteronomy, Joshua, Ruth, Jonah, and the New Testament in the Bola language of Papua New Guinea</t>
  </si>
  <si>
    <t>BOJ</t>
  </si>
  <si>
    <t>The New Testament in the Anjam language of Papua New Guinea</t>
  </si>
  <si>
    <t>BON</t>
  </si>
  <si>
    <t>The New Testament in the Bine Language of Papua New Guinea</t>
  </si>
  <si>
    <t>BUK</t>
  </si>
  <si>
    <t>The New Testament in the Bukawa language of Papua New Guinea</t>
  </si>
  <si>
    <t>BulCont</t>
  </si>
  <si>
    <t>Contemporary Bulgarian Translation (Библия, нов превод от оригиналните езици с неканоничните книги © Българско библейско дружество 2013) 2013 TH'Aug-19.</t>
  </si>
  <si>
    <t>BulOrth</t>
  </si>
  <si>
    <t>BulProtRev</t>
  </si>
  <si>
    <t>Bulgarian Protestant Bible (revised) (Библия, ревизирано издание ©Българско библейско дружество) 2015 TH'Aug-19.</t>
  </si>
  <si>
    <t>BYR</t>
  </si>
  <si>
    <t>Genesis and The New Testament in the Yipma/Baruya language</t>
  </si>
  <si>
    <t>BYRW</t>
  </si>
  <si>
    <t>Selected Scriptures in the Wagamwa dialect of the Yipma language (parts of John, 1 John, Romans, and Hebrews).</t>
  </si>
  <si>
    <t>BYX</t>
  </si>
  <si>
    <t>The New Testament and Ruth in the Qaqet Language of Papua New Guinea</t>
  </si>
  <si>
    <t>BZH</t>
  </si>
  <si>
    <t>The New Testament in the Central/Mapos dialect of the Buang language of Papua New Guinea</t>
  </si>
  <si>
    <t>CAA</t>
  </si>
  <si>
    <t>The New Testament and Genesis, Ruth, Esther, and Jonah in the Chorti language of Guatemala</t>
  </si>
  <si>
    <t>CebCCB</t>
  </si>
  <si>
    <t>Cebuano Contemporary Bible (Ang Pulong sa Dios) (CCB) 2014 Dec'2020</t>
  </si>
  <si>
    <t>CebULB</t>
  </si>
  <si>
    <t>Unlocked Literal Bible (ULB) NT in Cebuano TH'Mar-19.</t>
  </si>
  <si>
    <t>CesCLB</t>
  </si>
  <si>
    <t>Slovo na cestu (Czech Living Bible) 2012 (CLB) 2012 NT Dec'2020</t>
  </si>
  <si>
    <t>Chamorro</t>
  </si>
  <si>
    <t>Chamorro: Y Santa Biblia (1908)</t>
  </si>
  <si>
    <t>Che1860</t>
  </si>
  <si>
    <t>Cherokee New Testament (1860)</t>
  </si>
  <si>
    <t>CJV</t>
  </si>
  <si>
    <t>The New Testament in the Chuave Language of Papua New Guinea</t>
  </si>
  <si>
    <t>CkbKSSV</t>
  </si>
  <si>
    <t>Kurdi Sorani Standard 2020 (کوردی سۆرانی ستاندەر) (KSSV) 2020 in Central Kurdish Dec'2020</t>
  </si>
  <si>
    <t>CopSahHorner</t>
  </si>
  <si>
    <t>Sahidic Coptic New Testament, ed. by G. W. Horner</t>
  </si>
  <si>
    <t>CopSahidica</t>
  </si>
  <si>
    <t>Sahidica - A New Edition of the New Testament in Sahidic Coptic</t>
  </si>
  <si>
    <t>CopSahidicMSS</t>
  </si>
  <si>
    <t>The Sahidica Manuscripts</t>
  </si>
  <si>
    <t>CzeBKR</t>
  </si>
  <si>
    <t>Czech Bible Kralicka</t>
  </si>
  <si>
    <t>CzeCSP</t>
  </si>
  <si>
    <t>Czech Český studijní překlad</t>
  </si>
  <si>
    <t>CSlElizabeth</t>
  </si>
  <si>
    <t>1757 Church Slavonic Elizabeth Bible</t>
  </si>
  <si>
    <t>CYM</t>
  </si>
  <si>
    <t>Beibl.net</t>
  </si>
  <si>
    <t>Dan</t>
  </si>
  <si>
    <t>Danske Bibel</t>
  </si>
  <si>
    <t>Dan1871</t>
  </si>
  <si>
    <t>Dansk Bibel (1871)</t>
  </si>
  <si>
    <t>DAD</t>
  </si>
  <si>
    <t>The New Testament in the Marik Language of Papua New Guinea</t>
  </si>
  <si>
    <t>DAH</t>
  </si>
  <si>
    <t>The New Testament in the Gwahatike Language of Papua New Guinea</t>
  </si>
  <si>
    <t>DanDNLB</t>
  </si>
  <si>
    <t>Bibelen på hverdagsdansk (The Bible in Everyday Danish) (DNLB) 2015 Dec'2020</t>
  </si>
  <si>
    <t>GerAlbrecht</t>
  </si>
  <si>
    <t>German Albrecht Neues Testament und Psalmen</t>
  </si>
  <si>
    <t>GerElb1871</t>
  </si>
  <si>
    <t>German Elberfelder (1871)</t>
  </si>
  <si>
    <t>GerElb1905</t>
  </si>
  <si>
    <t>German Darby Unrevidierte Elberfelder (1905)</t>
  </si>
  <si>
    <t>GerGruenewald</t>
  </si>
  <si>
    <t>1924 Grünewaldbibel</t>
  </si>
  <si>
    <t>GerLut1545</t>
  </si>
  <si>
    <t>German Unrevidierte Luther Übersetzung von 1545</t>
  </si>
  <si>
    <t>GerReinhardt</t>
  </si>
  <si>
    <t>German Reinhardt Evangelien</t>
  </si>
  <si>
    <t>GerSch</t>
  </si>
  <si>
    <t>German Schlachter Bibel (1951)</t>
  </si>
  <si>
    <t>GerTafel</t>
  </si>
  <si>
    <t>German Tafelbibel (1911)</t>
  </si>
  <si>
    <t>GerTextbibel</t>
  </si>
  <si>
    <t>German Textbibel AT (1906)</t>
  </si>
  <si>
    <t>MAK</t>
  </si>
  <si>
    <t>Matthias Ansorgs Kommentar</t>
  </si>
  <si>
    <t>Commentaries</t>
  </si>
  <si>
    <t>Rieger</t>
  </si>
  <si>
    <t>Carl Heinrich Riegers Kommentar</t>
  </si>
  <si>
    <t>DED</t>
  </si>
  <si>
    <t>The New Testament and Psalms in the Dedua Language of Papua New Guinea</t>
  </si>
  <si>
    <t>DGZ</t>
  </si>
  <si>
    <t>The New Testament in the Daga Language of Papua New Guinea</t>
  </si>
  <si>
    <t>DOB</t>
  </si>
  <si>
    <t>The New Testament in the Dobu Language of Papua New Guinea</t>
  </si>
  <si>
    <t>DWW</t>
  </si>
  <si>
    <t>The New Testament in the Dawawa Language of Papua New Guinea</t>
  </si>
  <si>
    <t>UMGreek</t>
  </si>
  <si>
    <t>Unaccented Modern Greek Text</t>
  </si>
  <si>
    <t>EMI</t>
  </si>
  <si>
    <t>Ruth, Jonah, Mark, Luke, John, 1 &amp; 2 Thessalonians, and 1-3 John in the Mussau-Emira Language of Papua New Guinea</t>
  </si>
  <si>
    <t>AB</t>
  </si>
  <si>
    <t>The Apostle's Bible</t>
  </si>
  <si>
    <t>ABP</t>
  </si>
  <si>
    <t>Apostolic Bible Polyglot English Text</t>
  </si>
  <si>
    <t>ABEn</t>
  </si>
  <si>
    <t>Apostolic Bible Polyglot English Text adapted by Tyndale House</t>
  </si>
  <si>
    <t>ACV</t>
  </si>
  <si>
    <t>A Conservative Version</t>
  </si>
  <si>
    <t>AKJV</t>
  </si>
  <si>
    <t>American King James Version</t>
  </si>
  <si>
    <t>ASV</t>
  </si>
  <si>
    <t>American Standard Version (1901)</t>
  </si>
  <si>
    <t>BBE</t>
  </si>
  <si>
    <t>1949/1964 Bible in Basic English</t>
  </si>
  <si>
    <t>BSB</t>
  </si>
  <si>
    <t>The Holy Bible, Berean Bible, Copyright ©2016, 2018 by Bible Hub.</t>
  </si>
  <si>
    <t>BWE</t>
  </si>
  <si>
    <t>Bible in Worldwide English</t>
  </si>
  <si>
    <t>Comm</t>
  </si>
  <si>
    <t>The Common Edition: New Testament</t>
  </si>
  <si>
    <t>CPDV</t>
  </si>
  <si>
    <t>Catholic Public Domain Version</t>
  </si>
  <si>
    <t>Darby</t>
  </si>
  <si>
    <t>Darby Bible (1889)</t>
  </si>
  <si>
    <t>Diag</t>
  </si>
  <si>
    <t>The Emphatic Diaglott</t>
  </si>
  <si>
    <t>DRC</t>
  </si>
  <si>
    <t>Douay-Rheims Bible, Challoner Revision</t>
  </si>
  <si>
    <t>EE</t>
  </si>
  <si>
    <t>EasyEnglish Bible 2018 NT TH'19</t>
  </si>
  <si>
    <t>ESV</t>
  </si>
  <si>
    <t>English Standard Version with Strongs numbers.</t>
  </si>
  <si>
    <t>Eth</t>
  </si>
  <si>
    <t>The Peschito Syriac New Testament: Translated into English by John Wesley Etheridge</t>
  </si>
  <si>
    <t>Gen</t>
  </si>
  <si>
    <t>Geneva Bible (1599)</t>
  </si>
  <si>
    <t>Godb</t>
  </si>
  <si>
    <t>1902 William Baxter Godbey NT</t>
  </si>
  <si>
    <t>HCSB</t>
  </si>
  <si>
    <t>HCSB - Holman Christian Standard Bible, 2009.</t>
  </si>
  <si>
    <t>HNV</t>
  </si>
  <si>
    <t>Hebrew Names Version of the World English Bible</t>
  </si>
  <si>
    <t>JPS</t>
  </si>
  <si>
    <t>Jewish Publication Society Old Testament</t>
  </si>
  <si>
    <t>Jub</t>
  </si>
  <si>
    <t>English Jubilee 2000 Bible</t>
  </si>
  <si>
    <t>KJV</t>
  </si>
  <si>
    <t>King James Version (1769) with Strongs Numbers and Morphology</t>
  </si>
  <si>
    <t>KJVA</t>
  </si>
  <si>
    <t>King James Version (1769) with the Apocrypha, Strongs Numbers and Morphology</t>
  </si>
  <si>
    <t>LEB</t>
  </si>
  <si>
    <t>The Lexham English Bible</t>
  </si>
  <si>
    <t>Lees</t>
  </si>
  <si>
    <t>1853 Leeser Old Testament</t>
  </si>
  <si>
    <t>LO</t>
  </si>
  <si>
    <t>The Living Oracles NT</t>
  </si>
  <si>
    <t>Mont</t>
  </si>
  <si>
    <t>Montgomery New Testament</t>
  </si>
  <si>
    <t>Murd</t>
  </si>
  <si>
    <t>James Murdock's Translation of the Syriac Peshitta</t>
  </si>
  <si>
    <t>NASB</t>
  </si>
  <si>
    <t>New American Standard Bible</t>
  </si>
  <si>
    <t>NASB_th</t>
  </si>
  <si>
    <t>New American Standard Bible (1995) with Strongs Numbers augmented for BDB</t>
  </si>
  <si>
    <t>NETfull</t>
  </si>
  <si>
    <t>NET Bible - New English Translation with full notes on translation, text and background.</t>
  </si>
  <si>
    <t>NHE</t>
  </si>
  <si>
    <t>New Heart English Bible</t>
  </si>
  <si>
    <t>NHJ</t>
  </si>
  <si>
    <t>New Heart English Bible: Jehovah Edition</t>
  </si>
  <si>
    <t>NHM</t>
  </si>
  <si>
    <t>New Heart English Bible: Messianic Edition</t>
  </si>
  <si>
    <t>NIV</t>
  </si>
  <si>
    <t>New International Version</t>
  </si>
  <si>
    <t>Noyes</t>
  </si>
  <si>
    <t>1869 Noyes Translation</t>
  </si>
  <si>
    <t>OEB</t>
  </si>
  <si>
    <t>Open English Bible (US Spelling)</t>
  </si>
  <si>
    <t>OEBc</t>
  </si>
  <si>
    <t>Open English Bible (Commonwealth Spelling)</t>
  </si>
  <si>
    <t>RKJN</t>
  </si>
  <si>
    <t>Revised King James New Testament</t>
  </si>
  <si>
    <t>RSKJ</t>
  </si>
  <si>
    <t>Restored Name King James Version</t>
  </si>
  <si>
    <t>Roth</t>
  </si>
  <si>
    <t>The Emphasized Bible by J. B. Rotherham</t>
  </si>
  <si>
    <t>RWebs</t>
  </si>
  <si>
    <t>Revised Webster Version (1833)</t>
  </si>
  <si>
    <t>SPE</t>
  </si>
  <si>
    <t>Samaritan Pentateuch in English</t>
  </si>
  <si>
    <t>20C</t>
  </si>
  <si>
    <t>Twentieth Century New Testament</t>
  </si>
  <si>
    <t>Tynd</t>
  </si>
  <si>
    <t>William Tyndale Bible (1525/1530)</t>
  </si>
  <si>
    <t>UKJV</t>
  </si>
  <si>
    <t>Updated King James Version</t>
  </si>
  <si>
    <t>WEB</t>
  </si>
  <si>
    <t>World English Bible</t>
  </si>
  <si>
    <t>WEBB</t>
  </si>
  <si>
    <t>World English Bible: British Edition</t>
  </si>
  <si>
    <t>WEBM</t>
  </si>
  <si>
    <t>World English Bible: Messianic Edition</t>
  </si>
  <si>
    <t>Webs</t>
  </si>
  <si>
    <t>Webster Bible</t>
  </si>
  <si>
    <t>Weym</t>
  </si>
  <si>
    <t>Weymouth NT (1912)</t>
  </si>
  <si>
    <t>Wors</t>
  </si>
  <si>
    <t>1770 John Worsley NT</t>
  </si>
  <si>
    <t>YLT</t>
  </si>
  <si>
    <t>Young's Literal Translation (1898)</t>
  </si>
  <si>
    <t>Abbott</t>
  </si>
  <si>
    <t>Illustrated New Testament</t>
  </si>
  <si>
    <t>Alford</t>
  </si>
  <si>
    <t>Alford commentary</t>
  </si>
  <si>
    <t>Barnes</t>
  </si>
  <si>
    <t>Barnes' New Testament Notes</t>
  </si>
  <si>
    <t>Burkitt</t>
  </si>
  <si>
    <t>Burkitt's Expository Notes</t>
  </si>
  <si>
    <t>Clarke</t>
  </si>
  <si>
    <t>Adam Clarke's Commentary on the Bible</t>
  </si>
  <si>
    <t>DTN</t>
  </si>
  <si>
    <t>Darby Translation Notes</t>
  </si>
  <si>
    <t>Family</t>
  </si>
  <si>
    <t>Family Bible Notes</t>
  </si>
  <si>
    <t>Geneva</t>
  </si>
  <si>
    <t>Geneva Bible Translation Notes</t>
  </si>
  <si>
    <t>JFB</t>
  </si>
  <si>
    <t>Jamieson Fausset Brown Bible Commentary</t>
  </si>
  <si>
    <t>KD</t>
  </si>
  <si>
    <t>Keil and Delitzsch Biblical Commentary on the Old Testament</t>
  </si>
  <si>
    <t>Lightfoot</t>
  </si>
  <si>
    <t>John Lightfoot Commentary</t>
  </si>
  <si>
    <t>Luther</t>
  </si>
  <si>
    <t>Luther's Commentary on Selected Bible Passages</t>
  </si>
  <si>
    <t>MHC</t>
  </si>
  <si>
    <t>Matthew Henry's Complete Commentary on the Whole Bible</t>
  </si>
  <si>
    <t>MHCC</t>
  </si>
  <si>
    <t>Matthew Henry's Concise Commentary on the Whole Bible</t>
  </si>
  <si>
    <t>PNT</t>
  </si>
  <si>
    <t>The People's New Testament</t>
  </si>
  <si>
    <t>RWP</t>
  </si>
  <si>
    <t>Robertson's Word Pictures</t>
  </si>
  <si>
    <t>Scofield</t>
  </si>
  <si>
    <t>Scofield Reference Notes, 1917 Edition</t>
  </si>
  <si>
    <t>Spurious</t>
  </si>
  <si>
    <t>Tischendorf's Spurious Passages of the GNT</t>
  </si>
  <si>
    <t>TDavid</t>
  </si>
  <si>
    <t>C. H. Spurgeon's Treasury of David</t>
  </si>
  <si>
    <t>TFG</t>
  </si>
  <si>
    <t>The Fourfold Gospel and Commentary on Acts of Apostles</t>
  </si>
  <si>
    <t>TSK</t>
  </si>
  <si>
    <t>Treasury of Scripture Knowledge</t>
  </si>
  <si>
    <t>Wesley</t>
  </si>
  <si>
    <t>John Wesley's Notes on the Bible</t>
  </si>
  <si>
    <t>NIrV</t>
  </si>
  <si>
    <t>New International Readers Version 2014 (NIrV) 2014 Dec'2020</t>
  </si>
  <si>
    <t>NIVUK</t>
  </si>
  <si>
    <t>New International Version (Anglicised) 2011 (Revised format) (NIVUK) 2011 Dec'2020</t>
  </si>
  <si>
    <t>Wycl</t>
  </si>
  <si>
    <t>John Wycliffe Bible (1395)</t>
  </si>
  <si>
    <t>ENQ</t>
  </si>
  <si>
    <t>The New Testament in the Enga language of Papua New Guinea</t>
  </si>
  <si>
    <t>Esperanto</t>
  </si>
  <si>
    <t>Esperanto Londona Biblio</t>
  </si>
  <si>
    <t>LBLA</t>
  </si>
  <si>
    <t>La Biblia de las Américas</t>
  </si>
  <si>
    <t>NBLA</t>
  </si>
  <si>
    <t>Nueva Biblia de las Américas</t>
  </si>
  <si>
    <t>NVI</t>
  </si>
  <si>
    <t>Nueva Versión Internacional</t>
  </si>
  <si>
    <t>SpaRV</t>
  </si>
  <si>
    <t>La Santa Biblia Reina-Valera (1909)</t>
  </si>
  <si>
    <t>SpaRV1909</t>
  </si>
  <si>
    <t>Reina-Valera 1909 con números de Strong</t>
  </si>
  <si>
    <t>SpaRVG</t>
  </si>
  <si>
    <t>Reina Valera Gómez</t>
  </si>
  <si>
    <t>SpaSEV</t>
  </si>
  <si>
    <t>Spanish Sagradas Escrituras Version Antigua (1569)</t>
  </si>
  <si>
    <t>SpaTDP</t>
  </si>
  <si>
    <t>Spanish Traducción de dominio público (Mateo a Romanos)</t>
  </si>
  <si>
    <t>SpaVNT</t>
  </si>
  <si>
    <t>Spanish 1858 Reina Valera New Testament</t>
  </si>
  <si>
    <t>Est</t>
  </si>
  <si>
    <t>Estonian Bible</t>
  </si>
  <si>
    <t>ETR</t>
  </si>
  <si>
    <t>Ruth, Matthew, Mark, Acts, 1 &amp; 2 Timothy, Titus, and John's Letters in the Edolo Language of Papua New Guinea</t>
  </si>
  <si>
    <t>BasHautin</t>
  </si>
  <si>
    <t>1571 Navarro-Labourdin Basque NT</t>
  </si>
  <si>
    <t>EweECV</t>
  </si>
  <si>
    <t>Ewé Contemporary Version (Agbenya La) (ECV) 2006 NT in Ewe Dec'2020</t>
  </si>
  <si>
    <t>EweULB</t>
  </si>
  <si>
    <t>Unlocked Literal Bible (ULB) OT(Gal,Phm,Mrk,Php) in Ewe TH'Mar-19.</t>
  </si>
  <si>
    <t>FarsiOPV</t>
  </si>
  <si>
    <t>Persian Holy Bible (Tarjumeh-ye Ghadeem)</t>
  </si>
  <si>
    <t>FCB</t>
  </si>
  <si>
    <t>Tarjumeh-ye Tafsiri (Interpretative Translation, ترجمه تفسیری) Farsi (Persian) Contemporary Bible</t>
  </si>
  <si>
    <t>FAA</t>
  </si>
  <si>
    <t>The New Testament in the Fasu Language of Papua New Guinea</t>
  </si>
  <si>
    <t>FAI</t>
  </si>
  <si>
    <t>The New Testament in the Faiwol Language of Papua New Guinea</t>
  </si>
  <si>
    <t>FinBiblia</t>
  </si>
  <si>
    <t>Finnish Biblia (1776)</t>
  </si>
  <si>
    <t>FinPR</t>
  </si>
  <si>
    <t>Finnish Pyhä Raamattu (1933/1938)</t>
  </si>
  <si>
    <t>FOR</t>
  </si>
  <si>
    <t>The New Testament in the Fore Language of Papua New Guinea</t>
  </si>
  <si>
    <t>FreBBB</t>
  </si>
  <si>
    <t>French Bible Bovet Bonnet (1900)</t>
  </si>
  <si>
    <t>FreCrampon</t>
  </si>
  <si>
    <t>La Bible Augustin Crampon 1923</t>
  </si>
  <si>
    <t>FreKhan</t>
  </si>
  <si>
    <t>La Bible de Zadoc Khan</t>
  </si>
  <si>
    <t>FreMartin</t>
  </si>
  <si>
    <t>French Bible Martin (1744)</t>
  </si>
  <si>
    <t>FrePGR</t>
  </si>
  <si>
    <t>Bible Perret-Gentil et Rilliet</t>
  </si>
  <si>
    <t>FreSegond</t>
  </si>
  <si>
    <t>French Traduction de Louis Segond (1910)</t>
  </si>
  <si>
    <t>FreLou2</t>
  </si>
  <si>
    <t>Segond 21 (La Bible Louis Segond 21) (Lou2) in French TH'Jan-20.</t>
  </si>
  <si>
    <t>IriODomhnuill</t>
  </si>
  <si>
    <t>A modern Irish New Testament (Luke preview)</t>
  </si>
  <si>
    <t>GAH</t>
  </si>
  <si>
    <t>The New Testament in the Alekano (Gahuku) Language of Papua New Guinea</t>
  </si>
  <si>
    <t>GAM</t>
  </si>
  <si>
    <t>Portions of the New Testament in the Kandawo language of Papua New Guinea</t>
  </si>
  <si>
    <t>GAW</t>
  </si>
  <si>
    <t>The New Testament in the Nobonob Language of Papua New Guinea</t>
  </si>
  <si>
    <t>GbrGNT</t>
  </si>
  <si>
    <t>Gbagyi New Testament (Alkawali Woiwoyi) (GNT) 1997 NT Dec'2020</t>
  </si>
  <si>
    <t>ScotsGaelic</t>
  </si>
  <si>
    <t>Scottish Gaelic Gospel of Mark</t>
  </si>
  <si>
    <t>GDN</t>
  </si>
  <si>
    <t>The New Testament in the Umanakaina Language of Papua New Guinea</t>
  </si>
  <si>
    <t>GDR</t>
  </si>
  <si>
    <t>The New Testament in the Wipi Language of Papua New Guinea</t>
  </si>
  <si>
    <t>Geez</t>
  </si>
  <si>
    <t>Ge'ez Bible</t>
  </si>
  <si>
    <t>GFK</t>
  </si>
  <si>
    <t>The New Testament in the Patpatar Language of Papua New Guinea</t>
  </si>
  <si>
    <t>GHS</t>
  </si>
  <si>
    <t>The New Testament in the Guhu-Samane Language of Papua New Guinea</t>
  </si>
  <si>
    <t>Wulfila</t>
  </si>
  <si>
    <t>Bishop Wulfila Gothic Bible</t>
  </si>
  <si>
    <t>ABGk</t>
  </si>
  <si>
    <t>Apostolic Bible Polyglot Greek Text (abpgrk) adapted by Tyndale House</t>
  </si>
  <si>
    <t>ABPGRK</t>
  </si>
  <si>
    <t>Apostolic Bible Polyglot Greek Text</t>
  </si>
  <si>
    <t>Ant</t>
  </si>
  <si>
    <t>Antoniades Patriarchal Edition (1904/1912)</t>
  </si>
  <si>
    <t>Byz</t>
  </si>
  <si>
    <t>The New Testament in the Original Greek: Byzantine Textform 2005</t>
  </si>
  <si>
    <t>Elz</t>
  </si>
  <si>
    <t>Elzevir Textus Receptus (1624)</t>
  </si>
  <si>
    <t>LXX</t>
  </si>
  <si>
    <t>Septuagint, Morphologically Tagged Rahlfs'</t>
  </si>
  <si>
    <t>Nestle</t>
  </si>
  <si>
    <t>Nestle GNT</t>
  </si>
  <si>
    <t>SBLG</t>
  </si>
  <si>
    <t>The Greek New Testament: SBLGNT upgraded by Tyndale House</t>
  </si>
  <si>
    <t>THGNT</t>
  </si>
  <si>
    <t>Tyndale House Greek New Testament, 2017. Based on the earliest manuscripts and scribal habits.</t>
  </si>
  <si>
    <t>Tisch</t>
  </si>
  <si>
    <t>Tischendorf's Eighth Edition GNT</t>
  </si>
  <si>
    <t>TNT</t>
  </si>
  <si>
    <t>Tregelles' Greek New Testament</t>
  </si>
  <si>
    <t>TR</t>
  </si>
  <si>
    <t>Textus Receptus (1550/1894)</t>
  </si>
  <si>
    <t>WHNU</t>
  </si>
  <si>
    <t>Westcott and Hort with NA27/UBS4 variants</t>
  </si>
  <si>
    <t>SBLGNTApp</t>
  </si>
  <si>
    <t>The Greek New Testament: SBL Edition, Apparatus</t>
  </si>
  <si>
    <t>VarApp</t>
  </si>
  <si>
    <t>NT Manuscript Variant Apparatus</t>
  </si>
  <si>
    <t>GujULB</t>
  </si>
  <si>
    <t>Unlocked Literal Bible (ULB) in Gujarati TH'Mar-19.</t>
  </si>
  <si>
    <t>ManxGaelic</t>
  </si>
  <si>
    <t>Manx Gaelic Scripture Portions</t>
  </si>
  <si>
    <t>GVF</t>
  </si>
  <si>
    <t>The New Testament in the Golin Language of Papua New Guinea</t>
  </si>
  <si>
    <t>HauHCB</t>
  </si>
  <si>
    <t>Hausa Contemporary New Testament 2009 (Sabon Rai Don Kowa) (HCB) 2020 NT Dec'2020</t>
  </si>
  <si>
    <t>HauULB</t>
  </si>
  <si>
    <t>Unlocked Literal Bible (ULB) NT in Hausa TH'Mar-19.</t>
  </si>
  <si>
    <t>Alep</t>
  </si>
  <si>
    <t>Aleppo Codex</t>
  </si>
  <si>
    <t>MapM</t>
  </si>
  <si>
    <t>מקרא על פי המסורה (Miqra al pi ha-Mesorah)</t>
  </si>
  <si>
    <t>OHB</t>
  </si>
  <si>
    <t>Open Scriptures Morphological Hebrew Bible (morphology forthcoming)</t>
  </si>
  <si>
    <t>SP</t>
  </si>
  <si>
    <t>Samaritan Pentateuch</t>
  </si>
  <si>
    <t>SPDS</t>
  </si>
  <si>
    <t>Dead Sea Scrolls variants parallel to the Samaritan Pentateuch</t>
  </si>
  <si>
    <t>SPMT</t>
  </si>
  <si>
    <t>Masoretic Text parallel to the Samaritan Pentateuch</t>
  </si>
  <si>
    <t>SPVar</t>
  </si>
  <si>
    <t>Samaritan Pentateuch with variant readings</t>
  </si>
  <si>
    <t>THOT</t>
  </si>
  <si>
    <t>Translators Hebrew Old Testament, 2019 with KQ variants, semantic &amp; morphological tagging</t>
  </si>
  <si>
    <t>WLC</t>
  </si>
  <si>
    <t>Westminster Leningrad Codex</t>
  </si>
  <si>
    <t>HebHLNT</t>
  </si>
  <si>
    <t>Habrit Hakhadasha/Haderekh “The Way” (Hebrew Living NT) (הברית החדשה/הדרך Habrit Hakhadasha/Haderekh) (HLNT) NT Dec'2020</t>
  </si>
  <si>
    <t>HilHCB</t>
  </si>
  <si>
    <t>Ang Pulong Sang Dios (Hiligaynon Bible) (HCB) 2011 Dec'2020</t>
  </si>
  <si>
    <t>HinHCV</t>
  </si>
  <si>
    <t>Hindi Contemporary Version (हिंदी समकालीन संस्करण) (HCV) 2019 Dec'2020</t>
  </si>
  <si>
    <t>HinULB</t>
  </si>
  <si>
    <t>Unlocked Literal Bible (ULB) in Hindi TH'Mar-19.</t>
  </si>
  <si>
    <t>HLA</t>
  </si>
  <si>
    <t>The New Testament in the Halia Language of Papua New Guinea</t>
  </si>
  <si>
    <t>HMO</t>
  </si>
  <si>
    <t>The Holy Bible in the Hiri Motu language of Papua New Guinea</t>
  </si>
  <si>
    <t>HnaULB</t>
  </si>
  <si>
    <t>Unlocked Literal Bible (ULB) OT(Gal,Phm,Php) in Mina (Cameroon) TH'Mar-19.</t>
  </si>
  <si>
    <t>HneNCT</t>
  </si>
  <si>
    <t>New Chhattisghari Translation (Nawan Chhattisgarhi Anuwad) 2016 (पबितर बाईबल नवां नियम) (NCT) 2016 NT Dec'2020</t>
  </si>
  <si>
    <t>HOT</t>
  </si>
  <si>
    <t>The New Testament in the Malei-Hote Language of Papua New Guinea</t>
  </si>
  <si>
    <t>Cro</t>
  </si>
  <si>
    <t>Croatian Bible</t>
  </si>
  <si>
    <t>HrvCB</t>
  </si>
  <si>
    <t>Croatian Bible (BIBLIJA) 1988 (CB) TH'Mar-19.</t>
  </si>
  <si>
    <t>HrvCNT</t>
  </si>
  <si>
    <t>Knjiga O Kristu (The Book of Christ) (CNT) 2000 NT in Croatian Dec'2020</t>
  </si>
  <si>
    <t>FreCrl</t>
  </si>
  <si>
    <t>French Haitian Creole Version</t>
  </si>
  <si>
    <t>Haitian</t>
  </si>
  <si>
    <t>Haitian Creole Bible</t>
  </si>
  <si>
    <t>HunKar</t>
  </si>
  <si>
    <t>Hungarian Vizsoly (Karoli) Biblia (1590)</t>
  </si>
  <si>
    <t>HUI</t>
  </si>
  <si>
    <t>The Holy Bible with Deuterocanon in the Huli Language of Papua New Guinea</t>
  </si>
  <si>
    <t>HunKAR</t>
  </si>
  <si>
    <t>Hungarian Karoli Translation (KAR) TH'Mar-19.</t>
  </si>
  <si>
    <t>ArmEastern</t>
  </si>
  <si>
    <t>Eastern Armenian Bible</t>
  </si>
  <si>
    <t>ArmWestern</t>
  </si>
  <si>
    <t>1853 Western Armenian NT</t>
  </si>
  <si>
    <t>IAN</t>
  </si>
  <si>
    <t>The New Testament in the Iatmul Language of Papua New Guinea</t>
  </si>
  <si>
    <t>IboICB</t>
  </si>
  <si>
    <t>Igbo Contemporary Bible, New Testament 2019 (Bịabụlụ Nsọ nʼIgbo Ndị Ugbu a) (ICB) 2019 NT Dec'2020</t>
  </si>
  <si>
    <t>IloULB</t>
  </si>
  <si>
    <t>Unlocked Literal Bible (ULB) OT+OT(incomplete) in Iloko TH'Mar-19.</t>
  </si>
  <si>
    <t>IMO</t>
  </si>
  <si>
    <t>The New Testament in the Imbo Ungu Language of Papua New Guinea</t>
  </si>
  <si>
    <t>IndILBNT</t>
  </si>
  <si>
    <t>Indonesian: Firman Allah Yang Hidup (ILBNT) 2020 Dec'2020</t>
  </si>
  <si>
    <t>IndULB</t>
  </si>
  <si>
    <t>Unlocked Literal Bible (ULB) NT in Indonesian TH'Mar-19.</t>
  </si>
  <si>
    <t>INO</t>
  </si>
  <si>
    <t>The New Testament in the Inoke-Yate Language of Papua New Guinea</t>
  </si>
  <si>
    <t>IOU</t>
  </si>
  <si>
    <t>The New Testament and portions of the Old Testament in the Tuma-Irumu Language of Papua New Guinea</t>
  </si>
  <si>
    <t>IPI</t>
  </si>
  <si>
    <t>The New Testament in the Ipili Language of Papua New Guinea</t>
  </si>
  <si>
    <t>Icelandic</t>
  </si>
  <si>
    <t>Icelandic Bible</t>
  </si>
  <si>
    <t>ItaDio</t>
  </si>
  <si>
    <t>Italian Giovanni Diodati Bibbia 1649</t>
  </si>
  <si>
    <t>ItaRive</t>
  </si>
  <si>
    <t>Italian Riveduta Bibbia (1927)</t>
  </si>
  <si>
    <t>IWS</t>
  </si>
  <si>
    <t>The New Testament in the Sepik Iwam Language of Papua New Guinea</t>
  </si>
  <si>
    <t>JAE</t>
  </si>
  <si>
    <t>The Holy Bible in the Yabem language of Papua New Guinea</t>
  </si>
  <si>
    <t>KanULB</t>
  </si>
  <si>
    <t>Unlocked Literal Bible (ULB) in Kannada TH'Mar-19.</t>
  </si>
  <si>
    <t>KBM</t>
  </si>
  <si>
    <t>The New Testament in the Iwal Language of Papua New Guinea</t>
  </si>
  <si>
    <t>KEW</t>
  </si>
  <si>
    <t>Portions of Genesis, Ruth, Proverbs, Ecclesiastes, and The New Testament in the West Kewa Language of Papua New Guinea</t>
  </si>
  <si>
    <t>KGF</t>
  </si>
  <si>
    <t>The New Testament and Psalms in the Kube Language of Papua New Guinea</t>
  </si>
  <si>
    <t>KhmKCB</t>
  </si>
  <si>
    <t>Khmer Christian Bible (KCB) NT in Central Khmer, Khmer TH'Mar-19.</t>
  </si>
  <si>
    <t>KHZ</t>
  </si>
  <si>
    <t>The New Testament in the Kalo Dialect of the Keapara Language of Papua New Guinea</t>
  </si>
  <si>
    <t>KikKB</t>
  </si>
  <si>
    <t>Kiugo Gĩtheru Kĩa Ngai (The Holy Word of God) (KB) 2013 in Gikuyu, Kikuyu Dec'2020</t>
  </si>
  <si>
    <t>KJS</t>
  </si>
  <si>
    <t>The New Testament in the East Kewa Language of Papua New Guinea</t>
  </si>
  <si>
    <t>KKC</t>
  </si>
  <si>
    <t>Portions of the New Testament in the Odoodee language of Papua New Guinea</t>
  </si>
  <si>
    <t>KLV</t>
  </si>
  <si>
    <t>The New Testament in the Maskelynes language of Uluveu, Vanuatu</t>
  </si>
  <si>
    <t>MASKELYNES</t>
  </si>
  <si>
    <t>KMG</t>
  </si>
  <si>
    <t>The New Testament in the Kâte language of Papua New Guinea</t>
  </si>
  <si>
    <t>KMH</t>
  </si>
  <si>
    <t>The New Testament in the Kalam Language of Papua New Guinea</t>
  </si>
  <si>
    <t>KMHM</t>
  </si>
  <si>
    <t>The New Testament in the Minimib dialect of the Kalam language of Papua New Guinea</t>
  </si>
  <si>
    <t>KMO</t>
  </si>
  <si>
    <t>The New Testament in the Washkuk Language, also known as the Kwoma Language, of Papua New Guinea</t>
  </si>
  <si>
    <t>KMS</t>
  </si>
  <si>
    <t>The New Testament in the Kamasau Language of Papua New Guinea</t>
  </si>
  <si>
    <t>KMU</t>
  </si>
  <si>
    <t>The New Testament in the Kanite Language of Papua New Guinea</t>
  </si>
  <si>
    <t>KNVARAMIA</t>
  </si>
  <si>
    <t>The New Testament in the Tabo Language, Aramia Dialect, of Papua New Guinea</t>
  </si>
  <si>
    <t>KNVFLY_RIVER</t>
  </si>
  <si>
    <t>The New Testament in the Fly River dialect of the Tabo language of Papua New Guinea</t>
  </si>
  <si>
    <t>KorHKJV</t>
  </si>
  <si>
    <t>Hangul King James Version</t>
  </si>
  <si>
    <t>KorRV</t>
  </si>
  <si>
    <t>개역성경</t>
  </si>
  <si>
    <t>KorKLB</t>
  </si>
  <si>
    <t>Korean Living Bible (현대인의 성경) 1985 (KLB) 1985 Dec'2020</t>
  </si>
  <si>
    <t>KpbULB</t>
  </si>
  <si>
    <t>Unlocked Literal Bible (ULB) OT(Gal,Phm,Php) in Mullu Kurumba TH'Mar-19.</t>
  </si>
  <si>
    <t>KPF</t>
  </si>
  <si>
    <t>The New Testament in the Komba Language of Papua New Guinea</t>
  </si>
  <si>
    <t>KPG</t>
  </si>
  <si>
    <t>The New Testament in the Kapingamarangi language of the Federated States of Micronesia, spoken on the Kapingamarangi and Ponape islands, Caroline Islands</t>
  </si>
  <si>
    <t>KpoULB</t>
  </si>
  <si>
    <t>Unlocked Literal Bible (ULB) OT(Gal,Php) in Ikposo TH'Mar-19.</t>
  </si>
  <si>
    <t>KPR</t>
  </si>
  <si>
    <t>The New Testament in the Korafe-Yegha Language of Papua New Guinea</t>
  </si>
  <si>
    <t>KPW</t>
  </si>
  <si>
    <t>The New Testament in the Kobon Language of Papua New Guinea</t>
  </si>
  <si>
    <t>KPX</t>
  </si>
  <si>
    <t>The New Testament in the Mountain Koiali Language of Papua New Guinea</t>
  </si>
  <si>
    <t>KQC</t>
  </si>
  <si>
    <t>Portions of the Holy Bible in the Doromu-Koki Language of Papua New Guinea (Ruth, Mark, Luke, 1 Thessalonians, 2 Thessalonians, Titus, Philemon, 1 John, 2 John, 3 John, and Jude)</t>
  </si>
  <si>
    <t>KQF</t>
  </si>
  <si>
    <t>The Gospel According to Mark in the Kakabai language of Papua New Guinea</t>
  </si>
  <si>
    <t>KQW</t>
  </si>
  <si>
    <t>Portions of the New Testament in the Kandas Language of Papua New Guinea</t>
  </si>
  <si>
    <t>KSD</t>
  </si>
  <si>
    <t>The Holy Bible in the Kuanua language of Papua New Guinea</t>
  </si>
  <si>
    <t>KSR</t>
  </si>
  <si>
    <t>The New Testament and portions of the Old Testament in the Borong Language of Papua New Guinea</t>
  </si>
  <si>
    <t>KTO</t>
  </si>
  <si>
    <t>The New Testament in the Kuot Language of Papua New Guinea</t>
  </si>
  <si>
    <t>KUD</t>
  </si>
  <si>
    <t>The New Testament in the 'Auhelawa Language of Papua New Guinea</t>
  </si>
  <si>
    <t>KUE</t>
  </si>
  <si>
    <t>The New Testament in the Kuman Language of Papua New Guinea</t>
  </si>
  <si>
    <t>KUP</t>
  </si>
  <si>
    <t>The New Testament in the Kunimaipa Language of Papua New Guinea</t>
  </si>
  <si>
    <t>KWJ</t>
  </si>
  <si>
    <t>The New Testament in the Kwanga Language of Papua New Guinea</t>
  </si>
  <si>
    <t>KYC</t>
  </si>
  <si>
    <t>The Shorter Bible (New Testament and selected portions of the Old Testament) in the Kyaka Enga language of Papua New Guinea</t>
  </si>
  <si>
    <t>KYG</t>
  </si>
  <si>
    <t>The New Testament and Portions of the Old Testament in the Keyagana Language of Papua New Guinea</t>
  </si>
  <si>
    <t>KZE</t>
  </si>
  <si>
    <t>The New Testament in the Kosena Language of Papua New Guinea</t>
  </si>
  <si>
    <t>VulgJ</t>
  </si>
  <si>
    <t>Latin Vulgate</t>
  </si>
  <si>
    <t>VulgCT</t>
  </si>
  <si>
    <t>Vulgata Clementina</t>
  </si>
  <si>
    <t>VulgCC</t>
  </si>
  <si>
    <t>Vulgata Clementina, Conte editore</t>
  </si>
  <si>
    <t>VulgCH</t>
  </si>
  <si>
    <t>Vulgata Clementina, Hetzenauer editore</t>
  </si>
  <si>
    <t>VulgS</t>
  </si>
  <si>
    <t>Vulgata Sistina</t>
  </si>
  <si>
    <t>LasULB</t>
  </si>
  <si>
    <t>Unlocked Literal Bible (ULB) OT(Gal,Phm,Mrk,Php) in Lama (Togo) TH'Mar-19.</t>
  </si>
  <si>
    <t>LBB</t>
  </si>
  <si>
    <t>The Gospel According to Mark in the Label language of Papua New Guinea</t>
  </si>
  <si>
    <t>LCM</t>
  </si>
  <si>
    <t>Genesis, Ruth, Jonah, and The New Testament in the Tungag Language of Papua New Guinea</t>
  </si>
  <si>
    <t>LEU</t>
  </si>
  <si>
    <t>The New Testament in the Kara Language of Papua New Guinea</t>
  </si>
  <si>
    <t>LID</t>
  </si>
  <si>
    <t>Genesis, Ruth, Jonah, and The New Testament in the Nyndrou Language of Papua New Guinea</t>
  </si>
  <si>
    <t>LpxULB</t>
  </si>
  <si>
    <t>Unlocked Literal Bible (ULB) OT(Luk) in Lopit TH'Mar-19.</t>
  </si>
  <si>
    <t>LugLCB</t>
  </si>
  <si>
    <t>Luganda Contemporary Bible (Endagaano Enkadde n'Endagaano Empya) (LCB) 2019 Dec'2020</t>
  </si>
  <si>
    <t>Latvian</t>
  </si>
  <si>
    <t>Latvian New Testament</t>
  </si>
  <si>
    <t>MalMCV</t>
  </si>
  <si>
    <t>Malayalam Contemporary Version (മലയാളബൈബിള്‍-നൂതനപരിഭാഷ) (MCV) 2017 NT Dec'2020</t>
  </si>
  <si>
    <t>MalULB</t>
  </si>
  <si>
    <t>Unlocked Literal Bible (ULB) in Malayalam TH'Mar-19.</t>
  </si>
  <si>
    <t>MarULB</t>
  </si>
  <si>
    <t>Unlocked Literal Bible (ULB) in Marathi TH'Mar-19.</t>
  </si>
  <si>
    <t>MBH</t>
  </si>
  <si>
    <t>The New Testament in the Mangseng Language of Papua New Guinea</t>
  </si>
  <si>
    <t>MCQ</t>
  </si>
  <si>
    <t>The New Testament in the Ese Language, also known as the Managalasi Language, of Papua New Guinea</t>
  </si>
  <si>
    <t>MED</t>
  </si>
  <si>
    <t>The New Testament in the Melpa Language of Papua New Guinea</t>
  </si>
  <si>
    <t>MEE</t>
  </si>
  <si>
    <t>The New Testament in the Mengen Language of Papua New Guinea</t>
  </si>
  <si>
    <t>MEK</t>
  </si>
  <si>
    <t>The New Testament in the Mekeo Language of Papua New Guinea</t>
  </si>
  <si>
    <t>MEU</t>
  </si>
  <si>
    <t>The Holy Bible in the Motu language of Papua New Guinea</t>
  </si>
  <si>
    <t>Mal1865</t>
  </si>
  <si>
    <t>Malagasy Bible (1865)</t>
  </si>
  <si>
    <t>MHL</t>
  </si>
  <si>
    <t>The New Testament in the Mauwake Language of Papua New Guinea</t>
  </si>
  <si>
    <t>Maori</t>
  </si>
  <si>
    <t>Maori Bible</t>
  </si>
  <si>
    <t>MLH</t>
  </si>
  <si>
    <t>The New Testament in the Mape Language of Papua New Guinea</t>
  </si>
  <si>
    <t>MLP</t>
  </si>
  <si>
    <t>The New Testament in the Bargam Language of Papua New Guinea</t>
  </si>
  <si>
    <t>MMO</t>
  </si>
  <si>
    <t>The New Testament in the Buang, Mangga Language of Papua New Guinea</t>
  </si>
  <si>
    <t>MMX</t>
  </si>
  <si>
    <t>The New Testament and Psalms in the Madak Language of Papua New Guinea</t>
  </si>
  <si>
    <t>MNA</t>
  </si>
  <si>
    <t>Genesis, Exodus, Ruth, Psalms, Proverbs, Jonah, and The New Testament in the Mbula Language of Papua New Guinea</t>
  </si>
  <si>
    <t>MOX</t>
  </si>
  <si>
    <t>The New Testament in the Molima Language of Papua New Guinea</t>
  </si>
  <si>
    <t>MPP</t>
  </si>
  <si>
    <t>Portions of the Bible in the Migabac language of Papua New Guinea</t>
  </si>
  <si>
    <t>MPS</t>
  </si>
  <si>
    <t>The Holy Bible in the Dadibi Language of Papua New Guinea</t>
  </si>
  <si>
    <t>MPT</t>
  </si>
  <si>
    <t>The New Testament in the Mian Language of Papua New Guinea</t>
  </si>
  <si>
    <t>MPX</t>
  </si>
  <si>
    <t>The New Testament and portions of the Old Testament in the Misima Paneati Language of Papua New Guinea</t>
  </si>
  <si>
    <t>MSY</t>
  </si>
  <si>
    <t>The New Testament in the Aruamu language of Madang Province, Papua New Guinea</t>
  </si>
  <si>
    <t>MTI</t>
  </si>
  <si>
    <t>The New Testament in the Maiwa language of Papua New Guinea</t>
  </si>
  <si>
    <t>MUX</t>
  </si>
  <si>
    <t>The New Testament in the Mara-Gomu dialect of the Bo-Ung Language of Papua New Guinea</t>
  </si>
  <si>
    <t>MVA</t>
  </si>
  <si>
    <t>The New Testament in the Manam Language of Papua New Guinea</t>
  </si>
  <si>
    <t>MWC</t>
  </si>
  <si>
    <t>The Gospel of Luke in the Are Language of Papua New Guinea</t>
  </si>
  <si>
    <t>BurJudson</t>
  </si>
  <si>
    <t>1835 Judson Burmese Bible</t>
  </si>
  <si>
    <t>MYW</t>
  </si>
  <si>
    <t>The New Testament in the Muyuw Language of Papua New Guinea</t>
  </si>
  <si>
    <t>MZZ</t>
  </si>
  <si>
    <t>The Gospel of Mark in the Maiadomu Language of Papua New Guinea</t>
  </si>
  <si>
    <t>NAF</t>
  </si>
  <si>
    <t>The New Testament in the Nabak Language of Papua New Guinea</t>
  </si>
  <si>
    <t>NAK</t>
  </si>
  <si>
    <t>The New Testament in the Nakanai Language of Papua New Guinea</t>
  </si>
  <si>
    <t>NAS</t>
  </si>
  <si>
    <t>The New Testament in the Naasioi Language of Papua New Guinea</t>
  </si>
  <si>
    <t>Norsk</t>
  </si>
  <si>
    <t>Bibelen på Norsk (1930)</t>
  </si>
  <si>
    <t>NBQ</t>
  </si>
  <si>
    <t>Portions of the New Testament in the Nggem language of the Papua Province of Indonesia</t>
  </si>
  <si>
    <t>NCA</t>
  </si>
  <si>
    <t>The New Testament in the Iyo Language of Papua New Guinea</t>
  </si>
  <si>
    <t>Ndebele</t>
  </si>
  <si>
    <t>Ndebele Bible</t>
  </si>
  <si>
    <t>NdeNSB</t>
  </si>
  <si>
    <t>Ndebele Standard Bible 2006 (IBhayibhili Elingcwele) (NSB) 2006 in North Ndebele Dec'2020</t>
  </si>
  <si>
    <t>NepULB</t>
  </si>
  <si>
    <t>Unlocked Literal Bible (ULB) NT in Nepali (macrolanguage) TH'Mar-19.</t>
  </si>
  <si>
    <t>NHR</t>
  </si>
  <si>
    <t>The New Testament in the Naro language of Botswana</t>
  </si>
  <si>
    <t>NIF</t>
  </si>
  <si>
    <t>Matthew, Mark, Luk, and John in the Nek Language of Papua New Guinea</t>
  </si>
  <si>
    <t>NII</t>
  </si>
  <si>
    <t>The New Testament in the Nii Language of Papua New Guinea</t>
  </si>
  <si>
    <t>DutSVV</t>
  </si>
  <si>
    <t>Dutch Statenvertaling</t>
  </si>
  <si>
    <t>DutKant</t>
  </si>
  <si>
    <t>Kanttekeningen Statenvertaling</t>
  </si>
  <si>
    <t>NldHB</t>
  </si>
  <si>
    <t>Het Boek (The Book) (HB) 2007 in Dutch, Flemish Dec'2020</t>
  </si>
  <si>
    <t>NorSMB</t>
  </si>
  <si>
    <t>Studentmållagsbibelen frå 1921</t>
  </si>
  <si>
    <t>NOP</t>
  </si>
  <si>
    <t>Genesis, Exodus, Psalms, and the New Testament in the Numanggang Language of Papua New Guinea</t>
  </si>
  <si>
    <t>NOU</t>
  </si>
  <si>
    <t>The New Testament in the Ewage-Notu Language of Papua New Guinea</t>
  </si>
  <si>
    <t>NSN</t>
  </si>
  <si>
    <t>The New Testament in the Nehan Language of the Autonomous Region of Bougainville, Papua New Guinea</t>
  </si>
  <si>
    <t>NSS</t>
  </si>
  <si>
    <t>Genesis and Mark in the Nali Language of Papua New Guinea</t>
  </si>
  <si>
    <t>NVM</t>
  </si>
  <si>
    <t>The New Testament in the Namiai Language of Papua New Guinea</t>
  </si>
  <si>
    <t>NWI</t>
  </si>
  <si>
    <t>The New Testament in the Southwest Tanna Language of Vanuatu</t>
  </si>
  <si>
    <t>NyaGWCC</t>
  </si>
  <si>
    <t>The Word of God in Contemporary Chichewa (Mawu a Mulungu mu Chichewa Chalero) (GWCC) 2016 in Chewa, Chichewa, Nyanja Dec'2020</t>
  </si>
  <si>
    <t>OKV</t>
  </si>
  <si>
    <t>The New Testament in the Etija dialect of the Orokaiva Language of Papua New Guinea</t>
  </si>
  <si>
    <t>OMW</t>
  </si>
  <si>
    <t>The New Testament in the Omwunra-Toqura (South Tairora) Language of Papua New Guinea</t>
  </si>
  <si>
    <t>OMWA</t>
  </si>
  <si>
    <t>John and Mark in the Aatasara dialect of the South Tairora language of Papua New Guinea</t>
  </si>
  <si>
    <t>OMWV</t>
  </si>
  <si>
    <t>Portions of the New Testament in the Veqaura (Meauna) dialect of the Omwunra-Toqura (South Tairora) language of Papua New Guinea</t>
  </si>
  <si>
    <t>ONG</t>
  </si>
  <si>
    <t>The New Testament in the Olo Language of Papua New Guinea</t>
  </si>
  <si>
    <t>OPM</t>
  </si>
  <si>
    <t>The New Testament in the Oksapmin Language of Papua New Guinea</t>
  </si>
  <si>
    <t>OriULB</t>
  </si>
  <si>
    <t>Unlocked Literal Bible (ULB) in Oriya (macrolanguage) TH'Mar-19.</t>
  </si>
  <si>
    <t>PanULB</t>
  </si>
  <si>
    <t>Unlocked Literal Bible (ULB) in Panjabi, Punjabi TH'Mar-19.</t>
  </si>
  <si>
    <t>PesPCB</t>
  </si>
  <si>
    <t>Persian Contemporary Bible (کتاب مقدس، ترجمۀ معاصر) (PCB) in Iranian Persian Dec'2020</t>
  </si>
  <si>
    <t>PolGdanska</t>
  </si>
  <si>
    <t>Polish Biblia Gdanska (1881)</t>
  </si>
  <si>
    <t>PltULB</t>
  </si>
  <si>
    <t>Unlocked Literal Bible (ULB) NT in Plateau Malagasy TH'Mar-19.</t>
  </si>
  <si>
    <t>PMA</t>
  </si>
  <si>
    <t>Portions of the Holy Bible in the Paama Language of Vanuatu</t>
  </si>
  <si>
    <t>PolPLNT</t>
  </si>
  <si>
    <t>Polish Living New Testament (Słowo Życia) (PLNT) 2016 NT Dec'2020</t>
  </si>
  <si>
    <t>PON</t>
  </si>
  <si>
    <t>The New Testament and Psalms in the Pohnpeian language of the Federated States of Micronesia (old translation, using old alphabet)</t>
  </si>
  <si>
    <t>PON2006</t>
  </si>
  <si>
    <t>The Holy Bible in the Pohnpeian language of the Federated States of Micronesia</t>
  </si>
  <si>
    <t>PON2006A</t>
  </si>
  <si>
    <t>PON2006Z</t>
  </si>
  <si>
    <t>PONPDN</t>
  </si>
  <si>
    <t>The New Testament and Psalms in the Pohnpeian language of the Federated States of Micronesia (old translation, but with new alphabet)</t>
  </si>
  <si>
    <t>PorNVI</t>
  </si>
  <si>
    <t>Nova Versão Internacional 2011 (Brazilian Portuguese) - 2018 Update (NVI) 2011 Dec'2020</t>
  </si>
  <si>
    <t>PotLykins</t>
  </si>
  <si>
    <t>1833 Potawatomi Matthew and Acts</t>
  </si>
  <si>
    <t>Uma</t>
  </si>
  <si>
    <t>Uma New Testament</t>
  </si>
  <si>
    <t>PPO</t>
  </si>
  <si>
    <t>The New Testament in the Folopa Language of Papua New Guinea</t>
  </si>
  <si>
    <t>PNVI</t>
  </si>
  <si>
    <t>Nova Versão Internacional</t>
  </si>
  <si>
    <t>PorAR</t>
  </si>
  <si>
    <t>Bíblia Almeida Recebida (AR)</t>
  </si>
  <si>
    <t>PorLivre</t>
  </si>
  <si>
    <t>Bíblia Livre</t>
  </si>
  <si>
    <t>PorTB</t>
  </si>
  <si>
    <t>Tradução Brasileira da Bíblia</t>
  </si>
  <si>
    <t>PTP</t>
  </si>
  <si>
    <t>The New Testament in the Patep Language of Papua New Guinea</t>
  </si>
  <si>
    <t>PTU</t>
  </si>
  <si>
    <t>The New Testament and Genesis in the Bambam language of Indonesia</t>
  </si>
  <si>
    <t>PWG</t>
  </si>
  <si>
    <t>The New Testament in the Gapapaiwa Language of Papua New Guinea</t>
  </si>
  <si>
    <t>RAI</t>
  </si>
  <si>
    <t>The New Testament in the Ramoaaina Language of Papua New Guinea</t>
  </si>
  <si>
    <t>Calo</t>
  </si>
  <si>
    <t>El Evangelio segun S. Lucas, traducido al Romaní, ó dialecto de los Gitanos de España</t>
  </si>
  <si>
    <t>NTLR</t>
  </si>
  <si>
    <t>Noua Traducere În Limba Română (New Romanian Translation)</t>
  </si>
  <si>
    <t>RomCor</t>
  </si>
  <si>
    <t>Romanian Cornilescu Version</t>
  </si>
  <si>
    <t>RonNRT</t>
  </si>
  <si>
    <t>New Romanian Translation (NTR) (Noua Traducere Românească) (NRT) 2016 Dec'2020</t>
  </si>
  <si>
    <t>ROO</t>
  </si>
  <si>
    <t>The New Testament in the Rotokas Language of Papua New Guinea</t>
  </si>
  <si>
    <t>RRO</t>
  </si>
  <si>
    <t>The New Testament in the Waima Language of Papua New Guinea</t>
  </si>
  <si>
    <t>NRT</t>
  </si>
  <si>
    <t>New Russian Translation</t>
  </si>
  <si>
    <t>RusMakarij</t>
  </si>
  <si>
    <t>The Pentateuch of Moses in Russian</t>
  </si>
  <si>
    <t>RusSynodal</t>
  </si>
  <si>
    <t>1876 Russian Synodal Bible</t>
  </si>
  <si>
    <t>RusCARS</t>
  </si>
  <si>
    <t>Central Asian Russian Scriptures (Священное Писание, Восточный перевод) (CARS) 2013 Dec'2020</t>
  </si>
  <si>
    <t>RusCARSA</t>
  </si>
  <si>
    <t>Central Asian Russian Scriptures (TAZI) (Священное Писание, Восточный перевод, версия с «Аллахом») (CARSA) 2013 Dec'2020</t>
  </si>
  <si>
    <t>RusCARST</t>
  </si>
  <si>
    <t>Central Asian Russian Scriptures, for Tajikistan (Восточный перевод, версия для Таджикистана) (CARST) 2013 Dec'2020</t>
  </si>
  <si>
    <t>RusNRT</t>
  </si>
  <si>
    <t>New Russian Translation (Новый русский перевод) 2014 (NRT) 2014 Dec'2020</t>
  </si>
  <si>
    <t>RWOKARO</t>
  </si>
  <si>
    <t>The New Testament in the Karo Dialect of the Rawa Language of Papua New Guinea</t>
  </si>
  <si>
    <t>RWORAWA</t>
  </si>
  <si>
    <t>The New Testament in the Rawa Dialect of the Rawa Language of Papua New Guinea</t>
  </si>
  <si>
    <t>SBE</t>
  </si>
  <si>
    <t>Matthew and Mark in the Saliba language of Papua New Guinea</t>
  </si>
  <si>
    <t>SerDKE</t>
  </si>
  <si>
    <t>Danicic Karadzic Bible (DKE) in Serrano TH'Mar-19.</t>
  </si>
  <si>
    <t>SGZ</t>
  </si>
  <si>
    <t>The New Testament in the Sursurunga Language of Papua New Guinea</t>
  </si>
  <si>
    <t>SIM</t>
  </si>
  <si>
    <t>The New Testament in the Mende Language of Papua New Guinea</t>
  </si>
  <si>
    <t>SLL</t>
  </si>
  <si>
    <t>The New Testament in the Salt-Yui Language of Papua New Guinea</t>
  </si>
  <si>
    <t>SlvSNT</t>
  </si>
  <si>
    <t>Slovenian Living New Testament (Živa Nova zaveza) (SNT) 2014 NT Dec'2020</t>
  </si>
  <si>
    <t>sml_BL_2008</t>
  </si>
  <si>
    <t>Kitab Awal-Jaman maka Kitab Injil</t>
  </si>
  <si>
    <t>Shona</t>
  </si>
  <si>
    <t>Shona Bible</t>
  </si>
  <si>
    <t>SnaSCB</t>
  </si>
  <si>
    <t>Shona Contemporary Bible (Bhaibheri Dzvene MuChiShona Chanhasi) (SCB) 2018 Dec'2020</t>
  </si>
  <si>
    <t>SNC</t>
  </si>
  <si>
    <t>The New Testament in the Sinaugoro Language of Papua New Guinea</t>
  </si>
  <si>
    <t>SNP</t>
  </si>
  <si>
    <t>The New Testament in the Komongu dialect of the Siane Language of Papua New Guinea</t>
  </si>
  <si>
    <t>SNPLAMBAU</t>
  </si>
  <si>
    <t>The New Testament in the Lambau Dialect of the Siane Language of Papua New Guinea</t>
  </si>
  <si>
    <t>SNY</t>
  </si>
  <si>
    <t>The New Testament in the Saniyo-Hiyewe Language of Papua New Guinea</t>
  </si>
  <si>
    <t>SOQ</t>
  </si>
  <si>
    <t>The New Testament in the Kanasi Language of Papua New Guinea</t>
  </si>
  <si>
    <t>SpaNVICAS</t>
  </si>
  <si>
    <t>Nueva Versión Internacional (Castellano) 2017 (NVICAS) 2017 in Castilian, Spanish Dec'2020</t>
  </si>
  <si>
    <t>SpaNVILATA</t>
  </si>
  <si>
    <t>Nueva Versión Internacional 2015 (NVILATA) in Castilian, Spanish Jan'2021</t>
  </si>
  <si>
    <t>SPL</t>
  </si>
  <si>
    <t>The New Testament in the Selepet Language of Papua New Guinea</t>
  </si>
  <si>
    <t>SPS</t>
  </si>
  <si>
    <t>Genesis, Joshua, and The New Testament in the Saposa Language of Papua New Guinea</t>
  </si>
  <si>
    <t>Alb</t>
  </si>
  <si>
    <t>Albanian Bible</t>
  </si>
  <si>
    <t>SSD</t>
  </si>
  <si>
    <t>Portions of the Old Testament and The New Testament in the Siroi Language of Papua New Guinea</t>
  </si>
  <si>
    <t>SSG</t>
  </si>
  <si>
    <t>The New Testament in the Seimat language, The Ninigo Islands, Manus Province, Papua New Guinea</t>
  </si>
  <si>
    <t>SSX</t>
  </si>
  <si>
    <t>The New Testament and Genesis in the Sembeleke Language of Papua New Guinea</t>
  </si>
  <si>
    <t>SUA</t>
  </si>
  <si>
    <t>The New Testament in the Sulka Language of Papua New Guinea</t>
  </si>
  <si>
    <t>SUE</t>
  </si>
  <si>
    <t>The New Testament in the Suena Language of Papua New Guinea</t>
  </si>
  <si>
    <t>Swe1917</t>
  </si>
  <si>
    <t>Swedish Bible (1917)</t>
  </si>
  <si>
    <t>SweKarlXII</t>
  </si>
  <si>
    <t>Svenska Karl XII:s Bibel (1703)</t>
  </si>
  <si>
    <t>SweKarlXII1873</t>
  </si>
  <si>
    <t>Svenska Karl XII:s Bibel (1873)</t>
  </si>
  <si>
    <t>Neno</t>
  </si>
  <si>
    <t>Kiswahili Contemporary Version (Neno: Bibilia Takatifu)</t>
  </si>
  <si>
    <t>Swahili</t>
  </si>
  <si>
    <t>Swahili New Testament</t>
  </si>
  <si>
    <t>SwaULB</t>
  </si>
  <si>
    <t>Unlocked Literal Bible (ULB) NT in Swahili (macrolanguage) TH'Mar-19.</t>
  </si>
  <si>
    <t>SwhKCVNTPS</t>
  </si>
  <si>
    <t>Kiswahili Contemporary Version (Neno) (Neno: Biblia Takatifu) (KCVNTPS) 2015 in Kiswahili, Swahili (individual language) Dec'2020</t>
  </si>
  <si>
    <t>SWP</t>
  </si>
  <si>
    <t>Genesis, Joshua, Psalms, and The New Testament in the Suau language of Papua New Guinea</t>
  </si>
  <si>
    <t>Pesh</t>
  </si>
  <si>
    <t>Syriac Peshitta</t>
  </si>
  <si>
    <t>TamULB</t>
  </si>
  <si>
    <t>Unlocked Literal Bible (ULB) in Tamil TH'Mar-19.</t>
  </si>
  <si>
    <t>TBC</t>
  </si>
  <si>
    <t>The New Testament in the Takia Language of Papua New Guinea</t>
  </si>
  <si>
    <t>TBG</t>
  </si>
  <si>
    <t>The New Testament and portions of the Old Testament in the North Tairora Language of Papua New Guinea</t>
  </si>
  <si>
    <t>TBGA</t>
  </si>
  <si>
    <t>Genesis and the Gospels in the Arau dialect of the North Tairora language of Papua New Guinea</t>
  </si>
  <si>
    <t>TBO</t>
  </si>
  <si>
    <t>The New Testament in the Tawala language of Papua New Guinea</t>
  </si>
  <si>
    <t>TelULB</t>
  </si>
  <si>
    <t>Unlocked Literal Bible (ULB) in Telugu TH'Mar-19.</t>
  </si>
  <si>
    <t>TGG</t>
  </si>
  <si>
    <t>Portions of the New Testament in the Tangga Language, also known as the Fanamaket language, of Papua New Guinea</t>
  </si>
  <si>
    <t>TglTCB</t>
  </si>
  <si>
    <t>Tagalog Contemporary Bible (Ang Salita ng Dios) (TCB) 2015 Dec'2020</t>
  </si>
  <si>
    <t>TglULB</t>
  </si>
  <si>
    <t>Unlocked Literal Bible (ULB) in Tagalog TH'Mar-19.</t>
  </si>
  <si>
    <t>TGP</t>
  </si>
  <si>
    <t>The New Testament in the Tangoa Language of Vanuatu</t>
  </si>
  <si>
    <t>ThaTNC</t>
  </si>
  <si>
    <t>Thai New Contemporary Version 2007 (พระคริสตธรรมคัมภีร์ไทย ฉบับอมตธรรมร่วมสมัย) (TNC) 2007 Dec'2020</t>
  </si>
  <si>
    <t>TIM</t>
  </si>
  <si>
    <t>The New Testament in the Timbe Language of Papua New Guinea</t>
  </si>
  <si>
    <t>Tagalog</t>
  </si>
  <si>
    <t>Tagalog (John &amp; James)</t>
  </si>
  <si>
    <t>TagAngBiblia</t>
  </si>
  <si>
    <t>Philippine Bible Society (1905)</t>
  </si>
  <si>
    <t>TLF</t>
  </si>
  <si>
    <t>The New Testament in the Telefol Language of Papua New Guinea</t>
  </si>
  <si>
    <t>TNK</t>
  </si>
  <si>
    <t>The New Testament in the Kwamera (Nəfe) language of Southeast Tanna, TAFEA Province, Vanuatu</t>
  </si>
  <si>
    <t>TNN</t>
  </si>
  <si>
    <t>The New Testament in the North Tanna Language of Vanuatu</t>
  </si>
  <si>
    <t>TPA</t>
  </si>
  <si>
    <t>The Gospel of Mark in the Taupota Language of Papua New Guinea</t>
  </si>
  <si>
    <t>TPI</t>
  </si>
  <si>
    <t>The Holy Bible in the Tok Pisin (Melanesian Pidgin) Language of Papua New Guinea</t>
  </si>
  <si>
    <t>TPZ</t>
  </si>
  <si>
    <t>The New Testament in the Vasui (Tinputz) Language of Papua New Guinea</t>
  </si>
  <si>
    <t>TsnTNT</t>
  </si>
  <si>
    <t>The Word: Living Tswana New Testament 1993 (Lefoko: La Botshelo Kgolagano e Ntsha) (TNT) 1993 NT Dec'2020</t>
  </si>
  <si>
    <t>TTE</t>
  </si>
  <si>
    <t>The New Testament in the Tubetube language, also known as the Bwanabwana language, of Papua New Guinea</t>
  </si>
  <si>
    <t>TUCO</t>
  </si>
  <si>
    <t>The New Testament and portions of the Old Testament in the Oov Dialect of the Saveeng language of Papua New Guinea. The Saveeng language is also called Mutu or Mutu-Tuam.</t>
  </si>
  <si>
    <t>TUCT</t>
  </si>
  <si>
    <t>The New Testament and portions of the Old Testament in the Tuam dialect of the Saveeng language of Papua New Guinea. The Saveeng language is also called the Mutu language.</t>
  </si>
  <si>
    <t>TVK</t>
  </si>
  <si>
    <t>Portions of the Holy Bible in the Southeast Ambrym Language of Vanuatu</t>
  </si>
  <si>
    <t>TwiATCB</t>
  </si>
  <si>
    <t>Akuapem Twi Contemporary Bible 2020 (Akuapem Twi Nkwa Asɛm) (ATCB) 2020 Dec'2020</t>
  </si>
  <si>
    <t>UBR</t>
  </si>
  <si>
    <t>The New Testament and Genesis in the Ubir Language of Papaua New Guinea</t>
  </si>
  <si>
    <t>UBUANDELALE</t>
  </si>
  <si>
    <t>The New Testament in the Andelale Dialect of the Umbu-Ungu Language of Papua New Guinea</t>
  </si>
  <si>
    <t>UBUKALA</t>
  </si>
  <si>
    <t>The New Testament in the Kala Dialect of the Umbu-Ungu Language of Papua New Guinea</t>
  </si>
  <si>
    <t>UBUNOPENGE</t>
  </si>
  <si>
    <t>The New Testament in the No Penge Dialect of the Umbu-Ungu Language of Papua New Guinea</t>
  </si>
  <si>
    <t>Ukrainian</t>
  </si>
  <si>
    <t>Українська Біблія. Переклад Івана Огієнка.</t>
  </si>
  <si>
    <t>UkrKulish</t>
  </si>
  <si>
    <t>Новий Завіт. Переклад П. Куліша (1871)</t>
  </si>
  <si>
    <t>UrdULB</t>
  </si>
  <si>
    <t>Unlocked Literal Bible (ULB) in Urdu TH'Mar-19.</t>
  </si>
  <si>
    <t>USA</t>
  </si>
  <si>
    <t>Genesis 12-22 and The New Testament in the Usarufa Language of Papua New Guinea</t>
  </si>
  <si>
    <t>UVL</t>
  </si>
  <si>
    <t>The New Testament in the Lote Language of Papua New Guinea</t>
  </si>
  <si>
    <t>Viet</t>
  </si>
  <si>
    <t>Vietnamese Bible (1934)</t>
  </si>
  <si>
    <t>VieULB</t>
  </si>
  <si>
    <t>Unlocked Literal Bible (ULB) OT(Gen,1Ch,2Ch)+NT in Vietnamese TH'Mar-19.</t>
  </si>
  <si>
    <t>VieVCB</t>
  </si>
  <si>
    <t>Vietnamese Contemporary Bible (Kinh Thánh Hiện Đại) (VCB) 2015 Dec'2020</t>
  </si>
  <si>
    <t>VIV</t>
  </si>
  <si>
    <t>The New Testament in the Iduna Language of Papua New Guinea</t>
  </si>
  <si>
    <t>WAJ</t>
  </si>
  <si>
    <t>The New Testament in the Waffa Language of Papua New Guinea</t>
  </si>
  <si>
    <t>WED</t>
  </si>
  <si>
    <t>The Gospel of Mark in the Wedau Language of Papua New Guinea</t>
  </si>
  <si>
    <t>WEDTOPURA</t>
  </si>
  <si>
    <t>The Gospel of Mark in the Topura dialect of the Wedau Language of Papua New Guinea</t>
  </si>
  <si>
    <t>WER</t>
  </si>
  <si>
    <t>The New Testament in the Weri Language of Papua New Guinea</t>
  </si>
  <si>
    <t>WIU</t>
  </si>
  <si>
    <t>The New Testament in the Witu Language (also known as the Wiru Language) of Papua New Guinea</t>
  </si>
  <si>
    <t>WNC</t>
  </si>
  <si>
    <t>The New Testament and Psalms in the Wantoat Language of Papua New Guinea</t>
  </si>
  <si>
    <t>WNU</t>
  </si>
  <si>
    <t>New Testament in the Usan Language of Papua New Guinea</t>
  </si>
  <si>
    <t>WOS</t>
  </si>
  <si>
    <t>The New Testament and Jonah in the Hanga Hundi language of Papua New Guinea</t>
  </si>
  <si>
    <t>WRS</t>
  </si>
  <si>
    <t>Genesis, Ruth, Jonah, and The New Testament in the Waris Language, also called the Walsa Language, of Papua New Guinea</t>
  </si>
  <si>
    <t>WSK</t>
  </si>
  <si>
    <t>Genesis, Portions of Psalms, Proverbs, and The New Testament in the Waskia Language of Papua New Guinea</t>
  </si>
  <si>
    <t>WUV</t>
  </si>
  <si>
    <t>The New Testament in the Wuvalu-Aua Language of Papua New Guinea</t>
  </si>
  <si>
    <t>XBIW</t>
  </si>
  <si>
    <t>Selected Scripture Portions in the Wampukuamp Dialect of the Kombio Language of Papua New Guinea</t>
  </si>
  <si>
    <t>XBIY</t>
  </si>
  <si>
    <t>Selected Scriptures in the Yanimoi Dialect of the Kombio Language of Papua New Guinea</t>
  </si>
  <si>
    <t>XLA</t>
  </si>
  <si>
    <t>Genesis, Exodus, Jonah, and the New Testament in the Kamula language of Papua New Guinea</t>
  </si>
  <si>
    <t>XSI</t>
  </si>
  <si>
    <t>The New Testament and Psalms in the Sio Language of Papua New Guinea</t>
  </si>
  <si>
    <t>YBY</t>
  </si>
  <si>
    <t>The New Testament in the Yaweyuha Language of Papua New Guinea</t>
  </si>
  <si>
    <t>YLE</t>
  </si>
  <si>
    <t>The New Testament in the Rossel Language, also called the Yele Language, of Papua New Guinea</t>
  </si>
  <si>
    <t>YML</t>
  </si>
  <si>
    <t>The New Testament in the Iamalele Language of Papua New Guinea</t>
  </si>
  <si>
    <t>YomKCVNTPS</t>
  </si>
  <si>
    <t>Kiyombe Contemporary Version, New Testament and Psalms (Nkanda Wu Moyo) (KCVNTPS) 2002 Psa + NT Dec'2020</t>
  </si>
  <si>
    <t>YON</t>
  </si>
  <si>
    <t>Genesis, Psalms, and The New Testament in the Yongkom Language (also called the Yonggom language) of Papua New Guinea</t>
  </si>
  <si>
    <t>YorYCB</t>
  </si>
  <si>
    <t>Yoruba Contemporary Bible (Bíbélì Mímọ́ Yorùbá Òde Òn) (Bíbélì Mímọ́ ní Èdè Yorùbá Òde-Òní) (YCB) 2019 Dec'2020</t>
  </si>
  <si>
    <t>YRB</t>
  </si>
  <si>
    <t>The New Testament in the Yareba Language of Papua New Guinea</t>
  </si>
  <si>
    <t>YSSYAMANO</t>
  </si>
  <si>
    <t>The New Testament in the Yamano Dialect of the Yessan-Mayo Language of Papua New Guinea</t>
  </si>
  <si>
    <t>YSSYAWU</t>
  </si>
  <si>
    <t>The New Testament in the Yawu Dialect of the Yessan-Mayo Language of Papua New Guinea</t>
  </si>
  <si>
    <t>YUJ</t>
  </si>
  <si>
    <t>The New Testament in the Karkar-Yuri Language of Papua New Guinea</t>
  </si>
  <si>
    <t>YUT</t>
  </si>
  <si>
    <t>The New Testament in the Yopno Language of Papua New Guinea</t>
  </si>
  <si>
    <t>YUW</t>
  </si>
  <si>
    <t>The New Testament in the Yau language of Papua New Guinea</t>
  </si>
  <si>
    <t>CCB</t>
  </si>
  <si>
    <t>Chinese Contemporary Bible (圣经当代译本修订版)</t>
  </si>
  <si>
    <t>ChiNCVs</t>
  </si>
  <si>
    <t>New Chinese Version Simplified</t>
  </si>
  <si>
    <t>ChiNCVt</t>
  </si>
  <si>
    <t>New Chinese Version Traditional</t>
  </si>
  <si>
    <t>CUn</t>
  </si>
  <si>
    <t>和合本 (繁體字)</t>
  </si>
  <si>
    <t>CUns</t>
  </si>
  <si>
    <t>和合本 (繁体字)</t>
  </si>
  <si>
    <t>CmnCCBSS</t>
  </si>
  <si>
    <t>Chinese Contemporary Bible (圣经当代译本修订版) (CCBSS) 2011 in Mandarin Chinese Dec'2020</t>
  </si>
  <si>
    <t>CmnCCBTS</t>
  </si>
  <si>
    <t>Chinese Contemporary Bible (Traditional Script) (聖經當代譯本修訂版) (CCBTS) 2012 in Mandarin Chinese Dec'2020</t>
  </si>
  <si>
    <t>ZIA</t>
  </si>
  <si>
    <t>The New Testament in the Zia language of Papua New Guinea</t>
  </si>
  <si>
    <t>Code</t>
  </si>
  <si>
    <t>Name</t>
  </si>
  <si>
    <t>Type</t>
  </si>
  <si>
    <t>Bulgarian Orthodox Bible (Библия, синодално издание) 2016 TH'Aug-19.</t>
  </si>
  <si>
    <t>About the data in this file</t>
  </si>
  <si>
    <t>STEP text administration</t>
  </si>
  <si>
    <t>Version 05-Mar-21</t>
  </si>
  <si>
    <t>TextOldName</t>
  </si>
  <si>
    <t>TextNewName</t>
  </si>
  <si>
    <t>BadCodes</t>
  </si>
  <si>
    <t>Versification</t>
  </si>
  <si>
    <t>TextualIssues</t>
  </si>
  <si>
    <t>Notes</t>
  </si>
  <si>
    <t>amh_Nasv</t>
  </si>
  <si>
    <t/>
  </si>
  <si>
    <t>None.</t>
  </si>
  <si>
    <r>
      <t xml:space="preserve">Anywhere where 'lacks' appears, it indicates that the raw text lacked a verse for which (hopefully) the processing will have supplied an empty verse.
I </t>
    </r>
    <r>
      <rPr>
        <u/>
        <sz val="11"/>
        <color theme="1"/>
        <rFont val="Calibri"/>
        <family val="2"/>
        <scheme val="minor"/>
      </rPr>
      <t>always</t>
    </r>
    <r>
      <rPr>
        <sz val="11"/>
        <color theme="1"/>
        <rFont val="Calibri"/>
        <family val="2"/>
        <scheme val="minor"/>
      </rPr>
      <t xml:space="preserve"> handle any situation like this in which a chapter starts at something other than verse 1 (although I am not sure there are any examples of this); and I always handle cases where there is a gap in the sequence of verses.
Dealing with missing verses at the ends of chapters is more difficult.  If the versification scheme is NRSV(A), then I do handle such missing verses.  Any other scheme, I don't, because I don't have the information to tell me where the chapters end.  (In fact the information is available from the Crosswire header files, but I did not anticipate needing it, and have therefore not built it into the converter program.)</t>
    </r>
  </si>
  <si>
    <t>arb_Navkah</t>
  </si>
  <si>
    <t>arb_Keh</t>
  </si>
  <si>
    <t>Text has 1Tim 6:22 which is not in the NRSV versification.  Osis2mod has appended this to 1Tim 6:21.  Also had to make manual corrections.</t>
  </si>
  <si>
    <t>ceb_Ccb</t>
  </si>
  <si>
    <t>ceb_Apd</t>
  </si>
  <si>
    <t>Cebuano</t>
  </si>
  <si>
    <t>ces_Clb</t>
  </si>
  <si>
    <t>ces_Snc</t>
  </si>
  <si>
    <t>Lacks Act.28:29.</t>
  </si>
  <si>
    <t>ckb_Kssv</t>
  </si>
  <si>
    <t>ckb_Kss</t>
  </si>
  <si>
    <t>Central Kurdish</t>
  </si>
  <si>
    <t>cmn_Ccbss</t>
  </si>
  <si>
    <t>cmn_Ccb</t>
  </si>
  <si>
    <t>Lacks Jn.7:53.</t>
  </si>
  <si>
    <t>cmn_Ccbts</t>
  </si>
  <si>
    <t>cmn_Ccbt</t>
  </si>
  <si>
    <t>dan_Dnlb</t>
  </si>
  <si>
    <t>dan_Bph</t>
  </si>
  <si>
    <t>Lacks MAT 18:11, MAT 23:14, MRK 9:44, MRK 9:46, MRK 15:28, LUK 17:36, LUK 23:17, ACT 8:37, ACT 15:34, ACT 24:7, ACT 28:29, ROM 16:24.</t>
  </si>
  <si>
    <t>deu_Hfa</t>
  </si>
  <si>
    <t>Lacks MAT 17:21, MAT 18:11, MAT 23:14, MRK 7:16, MRK 9:44, MRK 9:46, MRK 11:26, MRK 15:28, LUK 17:36, JHN 5:4, ACT 8:37, ACT 15:34, ACT 24:7, ACT 28:29, ROM 16:24.  Also required manual corrections.</t>
  </si>
  <si>
    <t>eng_Nirv</t>
  </si>
  <si>
    <t>Had to make manual corrections.</t>
  </si>
  <si>
    <t>eng_Niv</t>
  </si>
  <si>
    <t>eng_Nivus</t>
  </si>
  <si>
    <t>eng_Nivre</t>
  </si>
  <si>
    <t>eng_Nivuk</t>
  </si>
  <si>
    <t>ewe_Ecv</t>
  </si>
  <si>
    <t>ewe_Bee</t>
  </si>
  <si>
    <t>fra_Bds</t>
  </si>
  <si>
    <t>Lacks MAT 17:21, MAT 18:11, MRK 9:44, MRK 9:46, MRK 15:28, JHN 5:4, ACT 28:29, ROM 16:24.</t>
  </si>
  <si>
    <t>gbr_Gnt</t>
  </si>
  <si>
    <t>gbr_Gaw</t>
  </si>
  <si>
    <t>Gbagyi</t>
  </si>
  <si>
    <t>hau_Hcb</t>
  </si>
  <si>
    <t>hau_Srk</t>
  </si>
  <si>
    <t>Lacks MAT 17:21, MAT 18:11, MAT 23:14, MRK 7:16, MRK 9:44, MRK 9:46, MRK 15:28, JHN 5:4, ACT 8:37, ACT 15:34, ACT 24:7, ACT 28:29, ROM 16:24.</t>
  </si>
  <si>
    <t>heb_Hlnt</t>
  </si>
  <si>
    <t>heb_Hhh</t>
  </si>
  <si>
    <t>hil_Hcb</t>
  </si>
  <si>
    <t>hil_Apsd</t>
  </si>
  <si>
    <t>Hiligaynon</t>
  </si>
  <si>
    <t>hin_Hcv</t>
  </si>
  <si>
    <t>hin_Hss</t>
  </si>
  <si>
    <t>hne_Nct</t>
  </si>
  <si>
    <t>hne_Nnc</t>
  </si>
  <si>
    <t>Chhattisgarhi</t>
  </si>
  <si>
    <t>hrv_Cnt</t>
  </si>
  <si>
    <t>hrv_Kok</t>
  </si>
  <si>
    <t>Lacks MAT 17:21, MAT 23:14, MRK 15:28, LUK 23:17, ACT 8:37, ACT 15:34, ACT 24:7, ACT 28:29, ROM 16:24.  NT only, but contains loads of ref links to OT books.</t>
  </si>
  <si>
    <t>hun_Ltln</t>
  </si>
  <si>
    <t>hun_Eiv</t>
  </si>
  <si>
    <t>Luke 23:57 appended to Luke 23:56; Jn 1:52 appended to Jn 1:51.</t>
  </si>
  <si>
    <t>ibo_Icb</t>
  </si>
  <si>
    <t>ibo_Biu</t>
  </si>
  <si>
    <t>NT only, but contains loads of ref links to OT books.</t>
  </si>
  <si>
    <t>ind_Ilbnt</t>
  </si>
  <si>
    <t>ind_Fayh</t>
  </si>
  <si>
    <t>Appears to lack part, most or all of Prov 11-16.  Also osis2mod merges 24 separate verses with other adjacent ones.  See converterLog.txt for detials.</t>
  </si>
  <si>
    <t>ita_Lpe</t>
  </si>
  <si>
    <t>ita_Pev</t>
  </si>
  <si>
    <t>Lacks Jn.10:42.  Also has one ref to the OT, despite being NT only.</t>
  </si>
  <si>
    <t>jpn_Jc</t>
  </si>
  <si>
    <t>jpn_Jcb</t>
  </si>
  <si>
    <t>Had to make manual corrections.  Lacks Neh 7:73.  osis2mod merges Lev 16:35  with preceding verse; ditto Ps.47:10.</t>
  </si>
  <si>
    <t>kik_Kb</t>
  </si>
  <si>
    <t>kik_Gky</t>
  </si>
  <si>
    <t>kor_Klb</t>
  </si>
  <si>
    <t>lin_Lntp</t>
  </si>
  <si>
    <t>lin_Mnb</t>
  </si>
  <si>
    <t>Lacks Psa.13:6.</t>
  </si>
  <si>
    <t>lug_Lcb</t>
  </si>
  <si>
    <t>lug_Eeee</t>
  </si>
  <si>
    <t>Nine cross-references to non-existent verses.  Plus a lot of cross-references which I can treat only as plain text, because I don't have syntax details.</t>
  </si>
  <si>
    <t>mal_Mcv</t>
  </si>
  <si>
    <t>Loads of refs to OT, despite being NT only.</t>
  </si>
  <si>
    <t>nde_Nsb</t>
  </si>
  <si>
    <t>nde_Ibe</t>
  </si>
  <si>
    <t>nld_Hb</t>
  </si>
  <si>
    <t>nld_Htb</t>
  </si>
  <si>
    <t>Segond</t>
  </si>
  <si>
    <t>osis2mod has merged 31 verses into their neighbours.   See converterLog.txt for details.</t>
  </si>
  <si>
    <t>nob_Elbn</t>
  </si>
  <si>
    <t>nob_Elb</t>
  </si>
  <si>
    <t>Lacks LUK 17:36, LUK 23:17, MAT 17:21, MAT 18:11, MAT 23:14, MRK 7:16, MRK 9:44, MRK 9:46, MRK 11:26, MRK 15:28, ROM 16:24, ACT 8:37, ACT 15:34, ACT 24:7, ACT 28:29.  NT only, but loads of references to OT and / or refs which I can do no more than treat as plain text because I can't parse them.</t>
  </si>
  <si>
    <t>nya_Gwcc</t>
  </si>
  <si>
    <t>nya_Ccl</t>
  </si>
  <si>
    <t>pes_Pcb</t>
  </si>
  <si>
    <t>Iranian Persian</t>
  </si>
  <si>
    <t>Had to make manual corrections.  A number of refs which have had to remain as plain text because I can't parse them.</t>
  </si>
  <si>
    <t>pol_Plnt</t>
  </si>
  <si>
    <t>pol_Psz</t>
  </si>
  <si>
    <t>por_Nl</t>
  </si>
  <si>
    <t>por_Nbvpb</t>
  </si>
  <si>
    <t>osis2mod merged Jud 5:32 with 31, and 1Sa 20:43 with 42.</t>
  </si>
  <si>
    <t>por_Nvi</t>
  </si>
  <si>
    <t>osis2mod has merged 1Sa 20:43 with 42.</t>
  </si>
  <si>
    <t>por_Pto</t>
  </si>
  <si>
    <t>por_Ol</t>
  </si>
  <si>
    <t>qug_Qcn</t>
  </si>
  <si>
    <t>qug_Mtds</t>
  </si>
  <si>
    <t>Chimborazo Highland Quichua</t>
  </si>
  <si>
    <t>ron_Nrt</t>
  </si>
  <si>
    <t>ron_Ntr</t>
  </si>
  <si>
    <r>
      <t xml:space="preserve">Invalid ref at start of 1KI 15 (a </t>
    </r>
    <r>
      <rPr>
        <u/>
        <sz val="11"/>
        <color theme="1"/>
        <rFont val="Calibri"/>
        <family val="2"/>
        <scheme val="minor"/>
      </rPr>
      <t>collection</t>
    </r>
    <r>
      <rPr>
        <sz val="11"/>
        <color theme="1"/>
        <rFont val="Calibri"/>
        <family val="2"/>
        <scheme val="minor"/>
      </rPr>
      <t xml:space="preserve"> of verses, which neither USX nor OSIS support), which will have been converted to plain text.</t>
    </r>
  </si>
  <si>
    <t>rus_Cars</t>
  </si>
  <si>
    <t>SynodalProt</t>
  </si>
  <si>
    <t>osis2mod has merged Rom 16:25-27 with Rom 16:24.</t>
  </si>
  <si>
    <t>rus_Carsa</t>
  </si>
  <si>
    <t>rus_Carst</t>
  </si>
  <si>
    <t>rus_Nrt</t>
  </si>
  <si>
    <t>slv_Snt</t>
  </si>
  <si>
    <t>slv_Znz</t>
  </si>
  <si>
    <t>sna_Scb</t>
  </si>
  <si>
    <t>sna_Bdsc</t>
  </si>
  <si>
    <t>spa_Nvicas</t>
  </si>
  <si>
    <t>spa_Nvi</t>
  </si>
  <si>
    <t>Lacks MAT 17:21, MAT 18:11, MAT 23:14, MRK 7:16, MRK 9:44, MRK 9:46, MRK 11:26, MRK 15:28, LUK 17:36, LUK 23:17, JHN 5:4, ACT 8:37, ACT 15:34, ACT 24:7, ACT 28:29, ROM 16:24.  osis2mod has merged Ps 47:10 with Ps 47:9.</t>
  </si>
  <si>
    <t>spa_Nvilata</t>
  </si>
  <si>
    <t>Lacks ROM 16:24.  osis2mod appends Psa 47:10 to Psa 47:9.  One other reference-related issue which shouldn't really have any impact.</t>
  </si>
  <si>
    <t>srp_Nscyr</t>
  </si>
  <si>
    <t>srp_Nsp</t>
  </si>
  <si>
    <t>Lacks JOB 38:39, JOB 38:40, JOB 38:41, JOB 41:26, JOB 41:27, JOB 41:28, JOB 41:29, JOB 41:30, JOB 41:31, JOB 41:32, JOB 41:33, JOB 41:34, EZK 20:45, EZK 20:46, EZK 20:47, EZK 20:48, EZK 20:49, JON 1:17, ACT 15:34.  osis2mod has merged verses as follows: Job 39:31-38 merged with Job 39:30; Job 40:25-28 with Job 40:24; Eze 21:33-37 with Eze 21:32; Jonah 2:11 with Jonah 2:10.</t>
  </si>
  <si>
    <t>srp_Nsla</t>
  </si>
  <si>
    <t>srp_Nspl</t>
  </si>
  <si>
    <t>swe_Sw</t>
  </si>
  <si>
    <t>swe_Nb</t>
  </si>
  <si>
    <t>Had to make manual corrections.  Lacks MAT 17:21, MAT 18:11, MAT 23:14, MRK 7:16, MRK 9:44, MRK 9:46, MRK 11:26, MRK 15:28, LUK 17:36, LUK 23:17, ACT 8:37, ACT 15:34, ACT 24:7, ACT 28:29, ROM 16:24..  Osis2mod has also merged a lot of verses – see converterLog.txt.</t>
  </si>
  <si>
    <t>swh_Kc</t>
  </si>
  <si>
    <t>swh_Nmm</t>
  </si>
  <si>
    <t>swh_Kcvntps</t>
  </si>
  <si>
    <t>swh_Nen</t>
  </si>
  <si>
    <t>tgl_Tcb</t>
  </si>
  <si>
    <t>tgl_Asd</t>
  </si>
  <si>
    <t>tha_Tnc</t>
  </si>
  <si>
    <t>tha_Tncv</t>
  </si>
  <si>
    <t>Lacks MAT 17:21, MAT 18:11, MAT 23:14, MRK 7:16, MRK 9:44, MRK 9:46, MRK 11:26, MRK 15:28, LUK 17:36, LUK 23:17, JHN 5:4, ACT 8:37, ACT 15:34, ACT 24:7, ACT 28:29, ROM 16:24.</t>
  </si>
  <si>
    <t>tsn_Tnt</t>
  </si>
  <si>
    <t>tsn_Lef</t>
  </si>
  <si>
    <t>Lacks Gal 4:16, Mrk 15:37.</t>
  </si>
  <si>
    <t>twi_Atcb</t>
  </si>
  <si>
    <t>twi_Akna</t>
  </si>
  <si>
    <t>vie_Vcb</t>
  </si>
  <si>
    <t>vie_Kthd</t>
  </si>
  <si>
    <t>Lacks MRK 7:16, MRK 9:44, MRK 9:46, MRK 11:26, LUK 23:17, JHN 5:4, ACT 8:37, ACT 28:29.</t>
  </si>
  <si>
    <t>yom_Kcvntps</t>
  </si>
  <si>
    <t>yom_Nwm</t>
  </si>
  <si>
    <t>Yombe</t>
  </si>
  <si>
    <t>Had to make manual corrections.  Lacks Act 28:29, Psa 13:6.  NT only, but contains one ref to OT.</t>
  </si>
  <si>
    <t>yor_Ycb</t>
  </si>
  <si>
    <t>yor_Bmyo</t>
  </si>
  <si>
    <t>Lacks Rev.12:18.</t>
  </si>
  <si>
    <t>Pretty much what it says on the tin.  Texts which in theory are available without making prior licensing arrangements.</t>
  </si>
  <si>
    <t>Texts subject to licensing agreements with Biblica, obtained via DBL.</t>
  </si>
  <si>
    <t>This file contains various details of texts  available within STEP, or actually or potentially available from other sources.</t>
  </si>
  <si>
    <t>Overview:</t>
  </si>
  <si>
    <t>DBL_Biblica:</t>
  </si>
  <si>
    <t xml:space="preserve"> 04-Mar-21, and revision information as per that date.</t>
  </si>
  <si>
    <t xml:space="preserve"> Late 2020.</t>
  </si>
  <si>
    <t>AlreadyInStep</t>
  </si>
  <si>
    <t>LanguageCode</t>
  </si>
  <si>
    <t>ABT</t>
  </si>
  <si>
    <t>ACR</t>
  </si>
  <si>
    <t>Amh</t>
  </si>
  <si>
    <t>AMN</t>
  </si>
  <si>
    <t>???</t>
  </si>
  <si>
    <t>Ara</t>
  </si>
  <si>
    <t>Arb</t>
  </si>
  <si>
    <t>Arm</t>
  </si>
  <si>
    <t>Asm</t>
  </si>
  <si>
    <t>Bas</t>
  </si>
  <si>
    <t>Ben</t>
  </si>
  <si>
    <t>Bul</t>
  </si>
  <si>
    <t>Bur</t>
  </si>
  <si>
    <t>Cal</t>
  </si>
  <si>
    <t>Ceb</t>
  </si>
  <si>
    <t>Ces</t>
  </si>
  <si>
    <t>Cha</t>
  </si>
  <si>
    <t>Che</t>
  </si>
  <si>
    <t>Chi</t>
  </si>
  <si>
    <t>Ckb</t>
  </si>
  <si>
    <t>Cmn</t>
  </si>
  <si>
    <t>Com</t>
  </si>
  <si>
    <t>Cop</t>
  </si>
  <si>
    <t>CPD</t>
  </si>
  <si>
    <t>CSl</t>
  </si>
  <si>
    <t>Cze</t>
  </si>
  <si>
    <t>Dia</t>
  </si>
  <si>
    <t>Dut</t>
  </si>
  <si>
    <t>Ewe</t>
  </si>
  <si>
    <t>Far</t>
  </si>
  <si>
    <t>Fin</t>
  </si>
  <si>
    <t>Fre</t>
  </si>
  <si>
    <t>Gbr</t>
  </si>
  <si>
    <t>Gee</t>
  </si>
  <si>
    <t>Ger</t>
  </si>
  <si>
    <t>God</t>
  </si>
  <si>
    <t>Guj</t>
  </si>
  <si>
    <t>Hai</t>
  </si>
  <si>
    <t>Hau</t>
  </si>
  <si>
    <t>HCS</t>
  </si>
  <si>
    <t>Heb</t>
  </si>
  <si>
    <t>Hil</t>
  </si>
  <si>
    <t>Hin</t>
  </si>
  <si>
    <t>Hna</t>
  </si>
  <si>
    <t>Hne</t>
  </si>
  <si>
    <t>Hrv</t>
  </si>
  <si>
    <t>Hun</t>
  </si>
  <si>
    <t>Ibo</t>
  </si>
  <si>
    <t>Ice</t>
  </si>
  <si>
    <t>Ilo</t>
  </si>
  <si>
    <t>Ind</t>
  </si>
  <si>
    <t>Iri</t>
  </si>
  <si>
    <t>Ita</t>
  </si>
  <si>
    <t>Kan</t>
  </si>
  <si>
    <t>Khm</t>
  </si>
  <si>
    <t>Kik</t>
  </si>
  <si>
    <t>KNV</t>
  </si>
  <si>
    <t>Kor</t>
  </si>
  <si>
    <t>Kpb</t>
  </si>
  <si>
    <t>Kpo</t>
  </si>
  <si>
    <t>Las</t>
  </si>
  <si>
    <t>Lat</t>
  </si>
  <si>
    <t>LBL</t>
  </si>
  <si>
    <t>Lee</t>
  </si>
  <si>
    <t>Lpx</t>
  </si>
  <si>
    <t>Lug</t>
  </si>
  <si>
    <t>Mal</t>
  </si>
  <si>
    <t>Mar</t>
  </si>
  <si>
    <t>Mur</t>
  </si>
  <si>
    <t>NBL</t>
  </si>
  <si>
    <t>Nde</t>
  </si>
  <si>
    <t>Nep</t>
  </si>
  <si>
    <t>NIr</t>
  </si>
  <si>
    <t>Nld</t>
  </si>
  <si>
    <t>Nor</t>
  </si>
  <si>
    <t>Noy</t>
  </si>
  <si>
    <t>Nya</t>
  </si>
  <si>
    <t>Ori</t>
  </si>
  <si>
    <t>Pan</t>
  </si>
  <si>
    <t>Pes</t>
  </si>
  <si>
    <t>Plt</t>
  </si>
  <si>
    <t>Pol</t>
  </si>
  <si>
    <t>Por</t>
  </si>
  <si>
    <t>Pot</t>
  </si>
  <si>
    <t>RKJ</t>
  </si>
  <si>
    <t>Ron</t>
  </si>
  <si>
    <t>Rot</t>
  </si>
  <si>
    <t>RSK</t>
  </si>
  <si>
    <t>Rus</t>
  </si>
  <si>
    <t>RWe</t>
  </si>
  <si>
    <t>RWO</t>
  </si>
  <si>
    <t>Ser</t>
  </si>
  <si>
    <t>Sho</t>
  </si>
  <si>
    <t>Slv</t>
  </si>
  <si>
    <t>sml</t>
  </si>
  <si>
    <t>Sna</t>
  </si>
  <si>
    <t>Spa</t>
  </si>
  <si>
    <t>Swa</t>
  </si>
  <si>
    <t>Swe</t>
  </si>
  <si>
    <t>Tam</t>
  </si>
  <si>
    <t>Tel</t>
  </si>
  <si>
    <t>Tgl</t>
  </si>
  <si>
    <t>Tha</t>
  </si>
  <si>
    <t>Tsn</t>
  </si>
  <si>
    <t>TUC</t>
  </si>
  <si>
    <t>Twi</t>
  </si>
  <si>
    <t>Tyn</t>
  </si>
  <si>
    <t>UBU</t>
  </si>
  <si>
    <t>UKJ</t>
  </si>
  <si>
    <t>Ukr</t>
  </si>
  <si>
    <t>UMG</t>
  </si>
  <si>
    <t>Urd</t>
  </si>
  <si>
    <t>Vie</t>
  </si>
  <si>
    <t>Web</t>
  </si>
  <si>
    <t>Wey</t>
  </si>
  <si>
    <t>Wul</t>
  </si>
  <si>
    <t>Wyc</t>
  </si>
  <si>
    <t>XBI</t>
  </si>
  <si>
    <t>Yom</t>
  </si>
  <si>
    <t>Yor</t>
  </si>
  <si>
    <t>YSS</t>
  </si>
  <si>
    <t>GLV</t>
  </si>
  <si>
    <t>MRI</t>
  </si>
  <si>
    <t>HBO</t>
  </si>
  <si>
    <t>GRC</t>
  </si>
  <si>
    <t>GLA</t>
  </si>
  <si>
    <t>ENG</t>
  </si>
  <si>
    <t>Commentary</t>
  </si>
  <si>
    <t>LAT</t>
  </si>
  <si>
    <t>MLG</t>
  </si>
  <si>
    <t>POR</t>
  </si>
  <si>
    <t>RON</t>
  </si>
  <si>
    <t>RUS</t>
  </si>
  <si>
    <t>SWA</t>
  </si>
  <si>
    <t>TGL</t>
  </si>
  <si>
    <t>Texts actually available in STEP.  Taken from https://www.stepbible.org/versions.jsp.</t>
  </si>
  <si>
    <t>EPO</t>
  </si>
  <si>
    <t>IntermediatePage</t>
  </si>
  <si>
    <t>Audio only</t>
  </si>
  <si>
    <t>DateDownloaded</t>
  </si>
  <si>
    <t>Dates accessed</t>
  </si>
  <si>
    <t>Short Name</t>
  </si>
  <si>
    <t>Full Name</t>
  </si>
  <si>
    <t>Contact</t>
  </si>
  <si>
    <t>Link</t>
  </si>
  <si>
    <t>ABS</t>
  </si>
  <si>
    <t>American Bible Society</t>
  </si>
  <si>
    <t>http://www.americanbible.org/</t>
  </si>
  <si>
    <t>ABSK</t>
  </si>
  <si>
    <t>Association Bible Society of Kazakhastan</t>
  </si>
  <si>
    <t>www.biblia.kz</t>
  </si>
  <si>
    <t>Aramaic Bible Translation, Inc.</t>
  </si>
  <si>
    <t>information@aramaicbible.org</t>
  </si>
  <si>
    <t>http://www.aramaicbible.org/</t>
  </si>
  <si>
    <t>APC</t>
  </si>
  <si>
    <t>Americas Publishing Committee</t>
  </si>
  <si>
    <t>ARG</t>
  </si>
  <si>
    <t>Argentine Bible Society</t>
  </si>
  <si>
    <t>http://www.sba.org.ar/</t>
  </si>
  <si>
    <t>BBS</t>
  </si>
  <si>
    <t>Bangladesh Bible Society</t>
  </si>
  <si>
    <t>info@biblesociety.org.bd</t>
  </si>
  <si>
    <t>http://biblesociety.org.bd</t>
  </si>
  <si>
    <t>BEN</t>
  </si>
  <si>
    <t>Bible Society of Benin</t>
  </si>
  <si>
    <t>abbenin@intnet.bj</t>
  </si>
  <si>
    <t>http://www.biblesociety-benin.org/</t>
  </si>
  <si>
    <t>BFBS</t>
  </si>
  <si>
    <t>British &amp; Foreign Bible Society</t>
  </si>
  <si>
    <t>derek.hill@biblesociety.org.uk</t>
  </si>
  <si>
    <t>http://www.biblesociety.org.uk/</t>
  </si>
  <si>
    <t>BI</t>
  </si>
  <si>
    <t>Bibles International</t>
  </si>
  <si>
    <t>dbladmin@biblesint.org</t>
  </si>
  <si>
    <t>http://www.biblesint.org/</t>
  </si>
  <si>
    <t>Bible Society in Cambodia</t>
  </si>
  <si>
    <t>infor@biblecambodia.org</t>
  </si>
  <si>
    <t>www.biblecambodia.org</t>
  </si>
  <si>
    <t>Biblica</t>
  </si>
  <si>
    <t>Biblica, Inc.</t>
  </si>
  <si>
    <t>Lee.Harris@biblica.com</t>
  </si>
  <si>
    <t>http://www.Biblica.com</t>
  </si>
  <si>
    <t>BLB</t>
  </si>
  <si>
    <t>Bible League - Bulgaria</t>
  </si>
  <si>
    <t>toni.petkova11@gmail.com</t>
  </si>
  <si>
    <t>http://www.bibleleague.bg/</t>
  </si>
  <si>
    <t>BLI</t>
  </si>
  <si>
    <t>Bible League International</t>
  </si>
  <si>
    <t>bmclemore@bibleleague.org</t>
  </si>
  <si>
    <t>http://www.bibleleague.org/</t>
  </si>
  <si>
    <t>BNZ</t>
  </si>
  <si>
    <t>Bible Society New Zealand</t>
  </si>
  <si>
    <t>jwatson@biblesociety.org.nz</t>
  </si>
  <si>
    <t>http://www.biblesociety.org.nz/</t>
  </si>
  <si>
    <t>BOL</t>
  </si>
  <si>
    <t>Bolivian Bible Society</t>
  </si>
  <si>
    <t>fcossio@biblesocieties.org</t>
  </si>
  <si>
    <t>http://sociedadbiblicaboliviana.org</t>
  </si>
  <si>
    <t>BOT</t>
  </si>
  <si>
    <t>Bible Society of Botswana</t>
  </si>
  <si>
    <t>stgabriel@biblesocieties.org</t>
  </si>
  <si>
    <t>http://www.unitedbiblesocieties.org/society/bible-society-in-botswana/</t>
  </si>
  <si>
    <t>BRG</t>
  </si>
  <si>
    <t>BRG Bible Ministries</t>
  </si>
  <si>
    <t>brgbible@gmail.com</t>
  </si>
  <si>
    <t>http://www.brgbible.com/</t>
  </si>
  <si>
    <t>BRK</t>
  </si>
  <si>
    <t>Bible Society of Burkina Faso</t>
  </si>
  <si>
    <t>abbf@biblesociety-bf.org</t>
  </si>
  <si>
    <t>http://alliancebiblique-bf.org/</t>
  </si>
  <si>
    <t>BS Tajikistan</t>
  </si>
  <si>
    <t>Bible Society of Tajikistan</t>
  </si>
  <si>
    <t>nigmatovs@protonmail.com</t>
  </si>
  <si>
    <t>BSA</t>
  </si>
  <si>
    <t>Bible Society Australia</t>
  </si>
  <si>
    <t>paul.eckert@biblesociety.org.au</t>
  </si>
  <si>
    <t>http://www.biblesociety.org.au</t>
  </si>
  <si>
    <t>Bible Society in Angola</t>
  </si>
  <si>
    <t>sociedadebiblica@netcabo.co.ao</t>
  </si>
  <si>
    <t>www.biblesociety-angola.org</t>
  </si>
  <si>
    <t>BSAlg</t>
  </si>
  <si>
    <t>Bible Society in Algeria</t>
  </si>
  <si>
    <t>BSARM</t>
  </si>
  <si>
    <t>Bible Society of Armenia</t>
  </si>
  <si>
    <t>info@biblesociety.am</t>
  </si>
  <si>
    <t>http://www.biblesociety.am/</t>
  </si>
  <si>
    <t>BSCAR</t>
  </si>
  <si>
    <t>Bible Society in the Central African Republic</t>
  </si>
  <si>
    <t>BSE</t>
  </si>
  <si>
    <t>admin@biblesociety-ethiopia.org</t>
  </si>
  <si>
    <t>http://biblesociety-ethiopia.org</t>
  </si>
  <si>
    <t>Bible Society of Eritrea</t>
  </si>
  <si>
    <t>biblesociety7@yahoo.com</t>
  </si>
  <si>
    <t>BSF</t>
  </si>
  <si>
    <t>Biblical Studies Foundation</t>
  </si>
  <si>
    <t>http://bible.org</t>
  </si>
  <si>
    <t>BSGABON</t>
  </si>
  <si>
    <t>Bible Society in Gabon</t>
  </si>
  <si>
    <t>http://www.biblesociety-gabon.org/</t>
  </si>
  <si>
    <t>BSKyrgyz</t>
  </si>
  <si>
    <t>Bible Society of Kyrgyzstan</t>
  </si>
  <si>
    <t>www.bible.kg</t>
  </si>
  <si>
    <t>BSL</t>
  </si>
  <si>
    <t>Bible Society in Lebanon</t>
  </si>
  <si>
    <t>bsl@biblesociety.org.lb</t>
  </si>
  <si>
    <t>http://www.biblesociety.org.lb/</t>
  </si>
  <si>
    <t>BSM</t>
  </si>
  <si>
    <t>Bible Society of Mongolia</t>
  </si>
  <si>
    <t>BSMongolia@gmail.com</t>
  </si>
  <si>
    <t>http://biblesocietymongolia.org/bsmhome.shtml</t>
  </si>
  <si>
    <t>BSNI</t>
  </si>
  <si>
    <t>Bible Society in Northern Ireland</t>
  </si>
  <si>
    <t>Info@bsni.co.uk</t>
  </si>
  <si>
    <t>www.bsni.co.uk</t>
  </si>
  <si>
    <t>BSNIG</t>
  </si>
  <si>
    <t>Bible Society of Nigeria</t>
  </si>
  <si>
    <t>ajiboye@biblesociety-nigeria.org</t>
  </si>
  <si>
    <t>http://www.biblesociety-nigeria.org/</t>
  </si>
  <si>
    <t>BSOU</t>
  </si>
  <si>
    <t>Bible Society of Uruguay</t>
  </si>
  <si>
    <t>http://www.sociedadbiblica.org.uy/</t>
  </si>
  <si>
    <t>BSR</t>
  </si>
  <si>
    <t>Bible Society in Russia</t>
  </si>
  <si>
    <t>dbl@biblesocieties.org</t>
  </si>
  <si>
    <t>http://www.biblia.ru/</t>
  </si>
  <si>
    <t>BSRM</t>
  </si>
  <si>
    <t>Bible Society of the Republic of Macedonia</t>
  </si>
  <si>
    <t>pzlateski@yahoo.it</t>
  </si>
  <si>
    <t>BSS</t>
  </si>
  <si>
    <t>Bible Society of Singapore</t>
  </si>
  <si>
    <t>alex.lim@bible.org.sg</t>
  </si>
  <si>
    <t>http://www.bible.org.sg/</t>
  </si>
  <si>
    <t>BSSA</t>
  </si>
  <si>
    <t>Bible Society of South Africa</t>
  </si>
  <si>
    <t>geldenhuys@biblesociety.co.za</t>
  </si>
  <si>
    <t>http://www.biblesociety.co.za/</t>
  </si>
  <si>
    <t>BSSER</t>
  </si>
  <si>
    <t>Bible Society of Serbia</t>
  </si>
  <si>
    <t>serbianbs@sbb.rs</t>
  </si>
  <si>
    <t>http://www.biblijskodrustvo.org.rs</t>
  </si>
  <si>
    <t>BSSL</t>
  </si>
  <si>
    <t>Bible Society in Sierra Leone</t>
  </si>
  <si>
    <t>cjones@biblesocieties.org</t>
  </si>
  <si>
    <t>BSSP</t>
  </si>
  <si>
    <t>Bible Society of the South Pacific</t>
  </si>
  <si>
    <t>mkatonivere@bible.org.fj</t>
  </si>
  <si>
    <t>http://www.bible.org.fj/</t>
  </si>
  <si>
    <t>BST</t>
  </si>
  <si>
    <t>Bible Society of Tanzania</t>
  </si>
  <si>
    <t>info@biblesociety-tanzania.org</t>
  </si>
  <si>
    <t>http://biblesociety-tanzania.org/</t>
  </si>
  <si>
    <t>BSTWN</t>
  </si>
  <si>
    <t>Bible Society in Taiwan</t>
  </si>
  <si>
    <t>joychen@bstwn.org</t>
  </si>
  <si>
    <t>www.bstwn.org</t>
  </si>
  <si>
    <t>BSZIM</t>
  </si>
  <si>
    <t>Bible Society of Zimbabwe</t>
  </si>
  <si>
    <t>gensec@biblesociety-zimbabwe.org</t>
  </si>
  <si>
    <t>http://biblesociety-zimbabwe.org</t>
  </si>
  <si>
    <t>BTI</t>
  </si>
  <si>
    <t>Bible Translation Institute at Zaoksky, Russia</t>
  </si>
  <si>
    <t>russkayabiblia@gmail.com</t>
  </si>
  <si>
    <t>http://www.russianbible.ru/</t>
  </si>
  <si>
    <t>BUL</t>
  </si>
  <si>
    <t>Bulgarian Bible Society</t>
  </si>
  <si>
    <t>apostolov@biblesociety.bg</t>
  </si>
  <si>
    <t>www.biblesocety.bg</t>
  </si>
  <si>
    <t>CAM</t>
  </si>
  <si>
    <t>Bible Society of Cameroon</t>
  </si>
  <si>
    <t>gluke@biblesocieties.org</t>
  </si>
  <si>
    <t>http://www.biblesociety-cameroon.org/</t>
  </si>
  <si>
    <t>Catholic Bible Foundation</t>
  </si>
  <si>
    <t>CBS</t>
  </si>
  <si>
    <t>Canadian Bible Society</t>
  </si>
  <si>
    <t>dbl@biblesociety.ca</t>
  </si>
  <si>
    <t>http://www.biblesociety.ca</t>
  </si>
  <si>
    <t>CEYLONBS</t>
  </si>
  <si>
    <t>Ceylon Bible Society</t>
  </si>
  <si>
    <t>info@ceylonbiblesociety.org</t>
  </si>
  <si>
    <t>http://www.ceylonbiblesociety.org/</t>
  </si>
  <si>
    <t>CHI</t>
  </si>
  <si>
    <t>Chilean Bible Society</t>
  </si>
  <si>
    <t>info@sbch.cl</t>
  </si>
  <si>
    <t>http://www.sbch.cl/</t>
  </si>
  <si>
    <t>CNG</t>
  </si>
  <si>
    <t>Bible Society of Congo (Republic)</t>
  </si>
  <si>
    <t>abicongo@biblesocieties.org</t>
  </si>
  <si>
    <t>http://alliancebiblique-congo.org/</t>
  </si>
  <si>
    <t>CP</t>
  </si>
  <si>
    <t>China Partnership</t>
  </si>
  <si>
    <t>wskua@biblesocieties.org</t>
  </si>
  <si>
    <t>http://www.ubscp.org</t>
  </si>
  <si>
    <t>CrBS</t>
  </si>
  <si>
    <t>Croatian Bible Society</t>
  </si>
  <si>
    <t>wwww.hbd.hr</t>
  </si>
  <si>
    <t>Crossway</t>
  </si>
  <si>
    <t>Crossway / Good News Publishers</t>
  </si>
  <si>
    <t>rjahns.crossway.org</t>
  </si>
  <si>
    <t>http://www.crossway.org</t>
  </si>
  <si>
    <t>CSF</t>
  </si>
  <si>
    <t>Chinese Scripture Forum</t>
  </si>
  <si>
    <t>CTI</t>
  </si>
  <si>
    <t>Bible Society of Côte d'Ivoire</t>
  </si>
  <si>
    <t>dngbesso@biblesocieties.org</t>
  </si>
  <si>
    <t>http://www.alliancebibliqueci.org/</t>
  </si>
  <si>
    <t>Davar</t>
  </si>
  <si>
    <t>nathan@davarpartners.com</t>
  </si>
  <si>
    <t>https://davarpartners.com</t>
  </si>
  <si>
    <t>DBL</t>
  </si>
  <si>
    <t>Digital Bible Library</t>
  </si>
  <si>
    <t>http://www.thedigitalbiblelibrary.org</t>
  </si>
  <si>
    <t>DBLUnitTest</t>
  </si>
  <si>
    <t>DBL Unit Test Organization</t>
  </si>
  <si>
    <t>mark@mvhsolutions.com</t>
  </si>
  <si>
    <t>http://www.thedigitalbiblelibrary.org/#</t>
  </si>
  <si>
    <t>DBS</t>
  </si>
  <si>
    <t>Digital Bible Society</t>
  </si>
  <si>
    <t>ken@dbs.org</t>
  </si>
  <si>
    <t>www.dbs.org</t>
  </si>
  <si>
    <t>DEN</t>
  </si>
  <si>
    <t>Danish Bible Society</t>
  </si>
  <si>
    <t>bibelselskabet@bibelselskabet.dk</t>
  </si>
  <si>
    <t>http://www.bibelselskabet.dk/</t>
  </si>
  <si>
    <t>DRC-BS</t>
  </si>
  <si>
    <t>Bible Society of the Democratic Republic of Congo</t>
  </si>
  <si>
    <t>http://www.biblesociety-cd.org/</t>
  </si>
  <si>
    <t>DSM</t>
  </si>
  <si>
    <t>Distant Shores Media</t>
  </si>
  <si>
    <t>dev@distantshores.org</t>
  </si>
  <si>
    <t>https://www.distantshores.org/</t>
  </si>
  <si>
    <t>Michael@eBible.org</t>
  </si>
  <si>
    <t>http://eBible.org</t>
  </si>
  <si>
    <t>ECU</t>
  </si>
  <si>
    <t>United Bible Societies in Ecuador</t>
  </si>
  <si>
    <t>comunicaciones@sbuecuador.com</t>
  </si>
  <si>
    <t>www.sbuecuador.com</t>
  </si>
  <si>
    <t>Editora Mundo Cristao</t>
  </si>
  <si>
    <t>lilian@mundocristao.com.br</t>
  </si>
  <si>
    <t>http://www.mundocristao.com.br/</t>
  </si>
  <si>
    <t>EGY</t>
  </si>
  <si>
    <t>Bible Society of Egypt</t>
  </si>
  <si>
    <t>admin@bsoe.org</t>
  </si>
  <si>
    <t>http://www.bsoe.org/</t>
  </si>
  <si>
    <t>EIB</t>
  </si>
  <si>
    <t>Ewangeliczny Instytut Biblijny</t>
  </si>
  <si>
    <t>www.feib.pl</t>
  </si>
  <si>
    <t>EIPC</t>
  </si>
  <si>
    <t>Example Intellectual Property Contributor</t>
  </si>
  <si>
    <t>dbladmin@biblesocieties.org</t>
  </si>
  <si>
    <t>http://www.dblipc.org</t>
  </si>
  <si>
    <t>EM</t>
  </si>
  <si>
    <t>Elam Ministries</t>
  </si>
  <si>
    <t>contact@elam.com</t>
  </si>
  <si>
    <t>http://www.elam.com/</t>
  </si>
  <si>
    <t>ETLT</t>
  </si>
  <si>
    <t>Eastern Tamang Language Team</t>
  </si>
  <si>
    <t>FBS</t>
  </si>
  <si>
    <t>Faroese Bible Society</t>
  </si>
  <si>
    <t>biblia@biblia.fo</t>
  </si>
  <si>
    <t>www.biblia.fo</t>
  </si>
  <si>
    <t>FCBH</t>
  </si>
  <si>
    <t>DBLinfo@fcbhmail.org</t>
  </si>
  <si>
    <t>http://www.faithcomesbyhearing.com</t>
  </si>
  <si>
    <t>FIN</t>
  </si>
  <si>
    <t>Finnish Bible Society</t>
  </si>
  <si>
    <t>info@piplia.fi</t>
  </si>
  <si>
    <t>http://www.bible.fi/</t>
  </si>
  <si>
    <t>FRA</t>
  </si>
  <si>
    <t>French Bible Society</t>
  </si>
  <si>
    <t>alliance.biblique@sbf.fr</t>
  </si>
  <si>
    <t>www.alliancebiblique.fr</t>
  </si>
  <si>
    <t>Free Bible Ministry</t>
  </si>
  <si>
    <t>info@freebibleministry.org</t>
  </si>
  <si>
    <t>http://www.freebibleministry.org/</t>
  </si>
  <si>
    <t>GAMBIABS</t>
  </si>
  <si>
    <t>Bible Society in the Gambia</t>
  </si>
  <si>
    <t>hen_akaps@hotmail.com</t>
  </si>
  <si>
    <t>http://www.unitedbiblesocieties.org/society/bible-society-in-the-gambia/</t>
  </si>
  <si>
    <t>GBI</t>
  </si>
  <si>
    <t>Global Bible Initiative</t>
  </si>
  <si>
    <t>dbl.admins@globalbibleinitiative.org</t>
  </si>
  <si>
    <t>http://www.globalbibleinitiative.org/</t>
  </si>
  <si>
    <t>GBS</t>
  </si>
  <si>
    <t>German Bible Society</t>
  </si>
  <si>
    <t>dbl@dbg.de</t>
  </si>
  <si>
    <t>http://www.die-bibel.de</t>
  </si>
  <si>
    <t>GEO</t>
  </si>
  <si>
    <t>Bible Society in Georgia</t>
  </si>
  <si>
    <t>http://www.bible.ge/</t>
  </si>
  <si>
    <t>GHBS</t>
  </si>
  <si>
    <t>Bible Society of Ghana</t>
  </si>
  <si>
    <t>dokurugu@biblesociety-ghana.org</t>
  </si>
  <si>
    <t>http://www.biblesociety-ghana.org/</t>
  </si>
  <si>
    <t>gobaith</t>
  </si>
  <si>
    <t>Gobaith i Gymru</t>
  </si>
  <si>
    <t>golygydd@beibl.net</t>
  </si>
  <si>
    <t>www.gobaith.org</t>
  </si>
  <si>
    <t>GP</t>
  </si>
  <si>
    <t>Global Partners</t>
  </si>
  <si>
    <t>terresa_hiebert@global.partners</t>
  </si>
  <si>
    <t>https://globalpartners.world/</t>
  </si>
  <si>
    <t>GRE</t>
  </si>
  <si>
    <t>Hellenic Bible Society</t>
  </si>
  <si>
    <t>info@greekbibles.org</t>
  </si>
  <si>
    <t>http://greek.bible</t>
  </si>
  <si>
    <t>GUA</t>
  </si>
  <si>
    <t>Bible Society in Guatemala</t>
  </si>
  <si>
    <t>http://www.sbiblica.org</t>
  </si>
  <si>
    <t>GUI-CON</t>
  </si>
  <si>
    <t>Bible Society in Guinea-Conakry</t>
  </si>
  <si>
    <t>alliancegn@yahoo.com</t>
  </si>
  <si>
    <t>GVM</t>
  </si>
  <si>
    <t>God's Vision Ministries</t>
  </si>
  <si>
    <t>19Kcharles71@gmail.com</t>
  </si>
  <si>
    <t>http://www.gvm.website/</t>
  </si>
  <si>
    <t>HBS</t>
  </si>
  <si>
    <t>Haitian Bible Society</t>
  </si>
  <si>
    <t>http://societebiblique-haiti.org/</t>
  </si>
  <si>
    <t>Hermon Forlag AS</t>
  </si>
  <si>
    <t>dag@hermon.no</t>
  </si>
  <si>
    <t>http://www.hermon.no/</t>
  </si>
  <si>
    <t>HKBS</t>
  </si>
  <si>
    <t>Hong Kong Bible Society</t>
  </si>
  <si>
    <t>ignatius@hkbs.org.hk</t>
  </si>
  <si>
    <t>www.hkbs.org.hk</t>
  </si>
  <si>
    <t>HND</t>
  </si>
  <si>
    <t>Honduras, Bible Society in</t>
  </si>
  <si>
    <t>info@sbuhn.org</t>
  </si>
  <si>
    <t>http://www.sbuhn.org/</t>
  </si>
  <si>
    <t>Holman</t>
  </si>
  <si>
    <t>Holman Bible Publishers</t>
  </si>
  <si>
    <t>tom.gilbert@lifeway.com</t>
  </si>
  <si>
    <t>http://csbible.com</t>
  </si>
  <si>
    <t>HUN</t>
  </si>
  <si>
    <t>Hungarian Bible Society</t>
  </si>
  <si>
    <t>info@bibliatarsulat.hu</t>
  </si>
  <si>
    <t>http://www.bibliatarsulat.hu/</t>
  </si>
  <si>
    <t>IBSA</t>
  </si>
  <si>
    <t>Interconfessional Bible Society of Albania</t>
  </si>
  <si>
    <t>gjergj@biblesocieties.org</t>
  </si>
  <si>
    <t>http://albanianbiblesociety.com</t>
  </si>
  <si>
    <t>IBSM</t>
  </si>
  <si>
    <t>Interconfessional Bible Society of Moldova</t>
  </si>
  <si>
    <t>akirillov2014@gmail.com</t>
  </si>
  <si>
    <t>http://www.ibs.md/</t>
  </si>
  <si>
    <t>IBSR</t>
  </si>
  <si>
    <t>Interconfessional Bible Society in Romania</t>
  </si>
  <si>
    <t>http://www.societateabiblica.org</t>
  </si>
  <si>
    <t>IBT</t>
  </si>
  <si>
    <t>Institute for Bible Translation</t>
  </si>
  <si>
    <t>rodion_popov@ibt.org.ru</t>
  </si>
  <si>
    <t>IBT-F</t>
  </si>
  <si>
    <t>Institute for Bible Translation, Finland</t>
  </si>
  <si>
    <t>info.fin@ibtnet.org</t>
  </si>
  <si>
    <t>http://www.rki.fi</t>
  </si>
  <si>
    <t>IBT-R</t>
  </si>
  <si>
    <t>Institute for Bible Translation, Russia</t>
  </si>
  <si>
    <t>info@ibt.org.ru</t>
  </si>
  <si>
    <t>https://ibtrussia.org</t>
  </si>
  <si>
    <t>IBT-S</t>
  </si>
  <si>
    <t>Institute for Bible Translation, Sweden</t>
  </si>
  <si>
    <t>http://www.ifb.nu</t>
  </si>
  <si>
    <t>ICBS</t>
  </si>
  <si>
    <t>Icelandic Bible Society</t>
  </si>
  <si>
    <t>gretar@grafarvogskirkja.is</t>
  </si>
  <si>
    <t>http://www.biblian.is/</t>
  </si>
  <si>
    <t>IMB</t>
  </si>
  <si>
    <t>International Mission Board of the Southern Baptist Convention</t>
  </si>
  <si>
    <t>DBLadmin@imb.org</t>
  </si>
  <si>
    <t>https://www.imb.org/</t>
  </si>
  <si>
    <t>IND</t>
  </si>
  <si>
    <t>Bible Society of India</t>
  </si>
  <si>
    <t>http://www.bsind.org/</t>
  </si>
  <si>
    <t>ISBS</t>
  </si>
  <si>
    <t>International Sharif Bible Society</t>
  </si>
  <si>
    <t>swmalek@gmail.com</t>
  </si>
  <si>
    <t>http://www.sharifbible.com</t>
  </si>
  <si>
    <t>ISR</t>
  </si>
  <si>
    <t>Bible Society in Israel</t>
  </si>
  <si>
    <t>info@bsisrael.com</t>
  </si>
  <si>
    <t>http://www.biblesocietyinisrael.com/</t>
  </si>
  <si>
    <t>ITA</t>
  </si>
  <si>
    <t>Bible Society in Italy</t>
  </si>
  <si>
    <t>v.bertalot@societabiblica.eu</t>
  </si>
  <si>
    <t>http://www.societabiblica.it/</t>
  </si>
  <si>
    <t>JBS</t>
  </si>
  <si>
    <t>Japan Bible Society</t>
  </si>
  <si>
    <t>transl@bible.or.jp</t>
  </si>
  <si>
    <t>http://www.bible.or.jp/</t>
  </si>
  <si>
    <t>John the Forerunner Church</t>
  </si>
  <si>
    <t>dengi75@ya.ru</t>
  </si>
  <si>
    <t>www.belreform.org</t>
  </si>
  <si>
    <t>Jewish Publication Society</t>
  </si>
  <si>
    <t>lmilliken2@unl.edu</t>
  </si>
  <si>
    <t>http://www.jps.org/</t>
  </si>
  <si>
    <t>KBS</t>
  </si>
  <si>
    <t>Korean Bible Society</t>
  </si>
  <si>
    <t>hjyang@bskorea.or.kr</t>
  </si>
  <si>
    <t>http://www.bskorea.or.kr/</t>
  </si>
  <si>
    <t>KCM</t>
  </si>
  <si>
    <t>Korea Computer Mission</t>
  </si>
  <si>
    <t>imanchung@yahoo.com</t>
  </si>
  <si>
    <t>http://www.kcm.kr/</t>
  </si>
  <si>
    <t>KENBS</t>
  </si>
  <si>
    <t>Bible Society of Kenya</t>
  </si>
  <si>
    <t>muriuki@biblesociety-kenya.org</t>
  </si>
  <si>
    <t>http://www.biblesociety-kenya.org/</t>
  </si>
  <si>
    <t>KPS</t>
  </si>
  <si>
    <t>Kindred Productions</t>
  </si>
  <si>
    <t>kindred@mbchurches.ca</t>
  </si>
  <si>
    <t>www.kindredproductions.com</t>
  </si>
  <si>
    <t>LAI</t>
  </si>
  <si>
    <t>Indonesian Bible Society</t>
  </si>
  <si>
    <t>anwartjen@alkitab.or.id</t>
  </si>
  <si>
    <t>http://www.alkitab.or.id/</t>
  </si>
  <si>
    <t>Latvian Bible Society</t>
  </si>
  <si>
    <t>http://www.bibelesbiedriba.lv/</t>
  </si>
  <si>
    <t>LBT</t>
  </si>
  <si>
    <t>Lutheran Bible Translators</t>
  </si>
  <si>
    <t>Jim.Laesch@lbt.org</t>
  </si>
  <si>
    <t>http://us.lbt.org/</t>
  </si>
  <si>
    <t>LBTA</t>
  </si>
  <si>
    <t>Lutheran Bible Translators Australia</t>
  </si>
  <si>
    <t>http://www.lca.org.au/</t>
  </si>
  <si>
    <t>LDBL</t>
  </si>
  <si>
    <t>Learning Digital Bible Library</t>
  </si>
  <si>
    <t>LesothoBS</t>
  </si>
  <si>
    <t>Bible Society of Lesotho</t>
  </si>
  <si>
    <t>inahaneng@yahoo.com</t>
  </si>
  <si>
    <t>http://www.unitedbiblesocieties.org/society/bible-society-of-lesotho/</t>
  </si>
  <si>
    <t>LEV</t>
  </si>
  <si>
    <t>Literal English Version</t>
  </si>
  <si>
    <t>johan.thoren@levbible.org</t>
  </si>
  <si>
    <t>http://levbible.org/</t>
  </si>
  <si>
    <t>LIB</t>
  </si>
  <si>
    <t>Bible Society in Liberia</t>
  </si>
  <si>
    <t>pstevens@biblesocieties.org</t>
  </si>
  <si>
    <t>http://www.unitedbiblesocieties.org/society/bible-society-in-liberia/</t>
  </si>
  <si>
    <t>LIT</t>
  </si>
  <si>
    <t>Bible Society of Lithuania</t>
  </si>
  <si>
    <t>tomas@biblijosdraugija.lt</t>
  </si>
  <si>
    <t>http://www.biblijosdraugija.lt/</t>
  </si>
  <si>
    <t>Lockman</t>
  </si>
  <si>
    <t>The Lockman Foundation</t>
  </si>
  <si>
    <t>digitalbiblelibrary@lockman.org</t>
  </si>
  <si>
    <t>http://www.lockman.org/</t>
  </si>
  <si>
    <t>Lumo</t>
  </si>
  <si>
    <t>Lumo Project</t>
  </si>
  <si>
    <t>TessieDevore@onehope.net</t>
  </si>
  <si>
    <t>http://lumoproject.com</t>
  </si>
  <si>
    <t>MAG</t>
  </si>
  <si>
    <t>Malagasy Bible Society</t>
  </si>
  <si>
    <t>ombanasoa@biblesociety-malagasy.org</t>
  </si>
  <si>
    <t>http://www.mampielybaiboly.mg/</t>
  </si>
  <si>
    <t>MAL</t>
  </si>
  <si>
    <t>Bible Society in Mali</t>
  </si>
  <si>
    <t>info@biblesociety-mali.org</t>
  </si>
  <si>
    <t>http://www.biblesociety-mali.org</t>
  </si>
  <si>
    <t>MAS</t>
  </si>
  <si>
    <t>Bible Society of Malaysia</t>
  </si>
  <si>
    <t>mathewpunnoose@biblemalaysia.org</t>
  </si>
  <si>
    <t>http://www.bible.org.my/</t>
  </si>
  <si>
    <t>MAU</t>
  </si>
  <si>
    <t>Bible Society of Mauritius</t>
  </si>
  <si>
    <t>http://www.biblesociety-mauritius.org/</t>
  </si>
  <si>
    <t>MBS</t>
  </si>
  <si>
    <t>Malta Bible Society</t>
  </si>
  <si>
    <t>http://www.maltabible.com/</t>
  </si>
  <si>
    <t>Megavoice</t>
  </si>
  <si>
    <t>ezagofsky@megavoice.com</t>
  </si>
  <si>
    <t>http://www.megavoice.com/</t>
  </si>
  <si>
    <t>MERN</t>
  </si>
  <si>
    <t>mern.mission@gmail.com</t>
  </si>
  <si>
    <t>http://www.zgg.nl/</t>
  </si>
  <si>
    <t>MEX</t>
  </si>
  <si>
    <t>Bible Society of Mexico</t>
  </si>
  <si>
    <t>igalicia@sbm.mx</t>
  </si>
  <si>
    <t>www.sbm.mx</t>
  </si>
  <si>
    <t>MissionAssist</t>
  </si>
  <si>
    <t>DBLAdmin@missionassist.org.uk</t>
  </si>
  <si>
    <t>https://home.missionassist.org.uk/</t>
  </si>
  <si>
    <t>MOR</t>
  </si>
  <si>
    <t>Morocco Bible Society</t>
  </si>
  <si>
    <t>bsmor@biblesocieties.org</t>
  </si>
  <si>
    <t>https://www.biblesociety.ma</t>
  </si>
  <si>
    <t>MOZ</t>
  </si>
  <si>
    <t>Bible Society of Mozambique</t>
  </si>
  <si>
    <t>sbmoz@tvcabo.co.mz</t>
  </si>
  <si>
    <t>http://www.unitedbiblesocieties.org/society/bible-society-in-mozambique/</t>
  </si>
  <si>
    <t>MUBS</t>
  </si>
  <si>
    <t>Mongolian Union Bible Society</t>
  </si>
  <si>
    <t>mubsociety@gmail.com</t>
  </si>
  <si>
    <t>www.mongol.bible</t>
  </si>
  <si>
    <t>MWI</t>
  </si>
  <si>
    <t>Bible Society of Malawi</t>
  </si>
  <si>
    <t>bsmalawi-dbl@biblesocieties.org</t>
  </si>
  <si>
    <t>http://www.biblesociety-malawi.org/</t>
  </si>
  <si>
    <t>MYA</t>
  </si>
  <si>
    <t>Bible Society of Myanmar</t>
  </si>
  <si>
    <t>http://www.myanmarbible.com/</t>
  </si>
  <si>
    <t>NAM</t>
  </si>
  <si>
    <t>Bible Society in Namibia</t>
  </si>
  <si>
    <t>gensec@nambible.org.na</t>
  </si>
  <si>
    <t>http://www.nambible.org.na</t>
  </si>
  <si>
    <t>NBSI</t>
  </si>
  <si>
    <t>National Bible Society of Ireland</t>
  </si>
  <si>
    <t>NBTT</t>
  </si>
  <si>
    <t>The Nigeria Bible Translation Trust</t>
  </si>
  <si>
    <t>heidi_rosendall@sil.org</t>
  </si>
  <si>
    <t>http://wycliffe.net</t>
  </si>
  <si>
    <t>NCC</t>
  </si>
  <si>
    <t>National Council of the Churches of Christ</t>
  </si>
  <si>
    <t>nrsvcopyright@mosaicrights.com</t>
  </si>
  <si>
    <t>http://www.nrsvbibles.org/</t>
  </si>
  <si>
    <t>NEBS</t>
  </si>
  <si>
    <t>Nepal Bible Society</t>
  </si>
  <si>
    <t>www.nepalbiblesociety.org</t>
  </si>
  <si>
    <t>NER</t>
  </si>
  <si>
    <t>Netherlands Bible Society</t>
  </si>
  <si>
    <t>info@bijbelgenootschap.nl</t>
  </si>
  <si>
    <t>https://www.bijbelgenootschap.nl/</t>
  </si>
  <si>
    <t>NET</t>
  </si>
  <si>
    <t>Bible Society in the Netherlands Antilles</t>
  </si>
  <si>
    <t>http://www.biblesocietynet.org/</t>
  </si>
  <si>
    <t>NIC</t>
  </si>
  <si>
    <t>Bible Society in Nicaragua</t>
  </si>
  <si>
    <t>freddy.fonseca@sbnic.org</t>
  </si>
  <si>
    <t>http://www.sociedadbiblica.org.ni/</t>
  </si>
  <si>
    <t>NOR</t>
  </si>
  <si>
    <t>Norwegian Bible Society</t>
  </si>
  <si>
    <t>http://www.bibelselskapet.no/</t>
  </si>
  <si>
    <t>PAK</t>
  </si>
  <si>
    <t>Pakistan Bible Society</t>
  </si>
  <si>
    <t>http://pakistanbiblesociety.org/</t>
  </si>
  <si>
    <t>PAR</t>
  </si>
  <si>
    <t>Paraguayan Bible Society</t>
  </si>
  <si>
    <t>http://sbp.org.py</t>
  </si>
  <si>
    <t>PBF</t>
  </si>
  <si>
    <t>Pastoral Bible Foundation</t>
  </si>
  <si>
    <t>www.bibleclaret.org</t>
  </si>
  <si>
    <t>PBT</t>
  </si>
  <si>
    <t>pbt@pbti.org</t>
  </si>
  <si>
    <t>www.pioneerbible.org</t>
  </si>
  <si>
    <t>PER</t>
  </si>
  <si>
    <t>Peruvian Bible Society</t>
  </si>
  <si>
    <t>http://www.sbp.org.pe/</t>
  </si>
  <si>
    <t>PHBS</t>
  </si>
  <si>
    <t>Philippine Bible Society</t>
  </si>
  <si>
    <t>http://www.bible.org.ph/</t>
  </si>
  <si>
    <t>Pioneers</t>
  </si>
  <si>
    <t>Pioneers International</t>
  </si>
  <si>
    <t>toddlprice@gmail.com</t>
  </si>
  <si>
    <t>http://www.pioneers.org/</t>
  </si>
  <si>
    <t>PNGBS</t>
  </si>
  <si>
    <t>Bible Society of Papua New Guinea</t>
  </si>
  <si>
    <t>Bible Society of Portugal</t>
  </si>
  <si>
    <t>http://www.sociedade-biblica.pt/</t>
  </si>
  <si>
    <t>RecordedWord</t>
  </si>
  <si>
    <t>RecordedWord, Inc.</t>
  </si>
  <si>
    <t>dbladmin@recordedword.com</t>
  </si>
  <si>
    <t>http://recordedword.com/</t>
  </si>
  <si>
    <t>Royal Jongbloed</t>
  </si>
  <si>
    <t>gjjkarsten@jongbloed.com</t>
  </si>
  <si>
    <t>http://www.royaljongbloed.com/</t>
  </si>
  <si>
    <t>RWA</t>
  </si>
  <si>
    <t>Bible Society of Rwanda</t>
  </si>
  <si>
    <t>bsrwanda@biblesociety-rwanda.org</t>
  </si>
  <si>
    <t>http://biblesociety-rwanda.org/</t>
  </si>
  <si>
    <t>SAGART</t>
  </si>
  <si>
    <t>An Sagart</t>
  </si>
  <si>
    <t>neil.rees@biblesociety.org.uk</t>
  </si>
  <si>
    <t>www.ansagart.ie/teagmhail</t>
  </si>
  <si>
    <t>SB</t>
  </si>
  <si>
    <t>sanskritbible.in@gmail.com</t>
  </si>
  <si>
    <t>http://www.sanskritbible.in/</t>
  </si>
  <si>
    <t>SBB</t>
  </si>
  <si>
    <t>Bible Society of Brazil</t>
  </si>
  <si>
    <t>elismar@sbb.org.br</t>
  </si>
  <si>
    <t>http://www.sbb.org.br</t>
  </si>
  <si>
    <t>Bible Society of Burundi</t>
  </si>
  <si>
    <t>mbakiono@biblesocieties.org</t>
  </si>
  <si>
    <t>SBC</t>
  </si>
  <si>
    <t>Colombian Bible Society</t>
  </si>
  <si>
    <t>dblAdmin@sbcol.org</t>
  </si>
  <si>
    <t>http://www.sociedadbiblicacolombiana.com</t>
  </si>
  <si>
    <t>SBCR</t>
  </si>
  <si>
    <t>Bible Society of Costa Rica</t>
  </si>
  <si>
    <t>mugalde@crbiblica.com</t>
  </si>
  <si>
    <t>www.crbiblica.com</t>
  </si>
  <si>
    <t>SBDG</t>
  </si>
  <si>
    <t>Société Biblique de Genève</t>
  </si>
  <si>
    <t>lj@bible.ch</t>
  </si>
  <si>
    <t>https://www.bible-society.org/en</t>
  </si>
  <si>
    <t>SBES</t>
  </si>
  <si>
    <t>Bible Society of El Salvador</t>
  </si>
  <si>
    <t>info@planetabiblias.org</t>
  </si>
  <si>
    <t>http://www.planetabiblias.org/</t>
  </si>
  <si>
    <t>SBL</t>
  </si>
  <si>
    <t>Society of Biblical Literature</t>
  </si>
  <si>
    <t>john.kutsko@sbl-site.org</t>
  </si>
  <si>
    <t>http://www.sbl-site.org/</t>
  </si>
  <si>
    <t>SBRD</t>
  </si>
  <si>
    <t>Dominican Republic Bible Society</t>
  </si>
  <si>
    <t>http://sociedadbiblicard.org/</t>
  </si>
  <si>
    <t>SBS</t>
  </si>
  <si>
    <t>Scottish Bible Society</t>
  </si>
  <si>
    <t>http://www.scottishbiblesociety.org</t>
  </si>
  <si>
    <t>SBUV</t>
  </si>
  <si>
    <t>United Bible Societies in Venezuela</t>
  </si>
  <si>
    <t>info@sociedadesbiblicas.org.ve</t>
  </si>
  <si>
    <t>www.sociedadesbiblicas.org.ve</t>
  </si>
  <si>
    <t>SCM Verlag</t>
  </si>
  <si>
    <t>SCM Verlagsgruppe GmbH</t>
  </si>
  <si>
    <t>DBLAdmin@scm-verlag.de</t>
  </si>
  <si>
    <t>http://www.scm-brockhaus.de/</t>
  </si>
  <si>
    <t>SEN</t>
  </si>
  <si>
    <t>Bible Society in Senegal</t>
  </si>
  <si>
    <t>abs_sahel@yahoo.fr</t>
  </si>
  <si>
    <t>SIM International</t>
  </si>
  <si>
    <t>pierre.barassounon@sim.org</t>
  </si>
  <si>
    <t>www.sim.org</t>
  </si>
  <si>
    <t>SKB</t>
  </si>
  <si>
    <t>dbladmin@karnbibeln.se</t>
  </si>
  <si>
    <t>http://www.karnbibeln.se/</t>
  </si>
  <si>
    <t>SLK</t>
  </si>
  <si>
    <t>Slovak Bible Society</t>
  </si>
  <si>
    <t>office@biblia.sk</t>
  </si>
  <si>
    <t>https://biblickaspolocnost.sk/podpora</t>
  </si>
  <si>
    <t>SLN</t>
  </si>
  <si>
    <t>Bible Society of Slovenia</t>
  </si>
  <si>
    <t>matjaz.crnivec@svetopismo.si</t>
  </si>
  <si>
    <t>www.svetopismo.si</t>
  </si>
  <si>
    <t>SPN</t>
  </si>
  <si>
    <t>Bible Society of Spain</t>
  </si>
  <si>
    <t>http://sociedadbiblica.org</t>
  </si>
  <si>
    <t>SSudanBS</t>
  </si>
  <si>
    <t>Bible Society in South Sudan</t>
  </si>
  <si>
    <t>ekajivora@hotmail.com</t>
  </si>
  <si>
    <t>SUBS</t>
  </si>
  <si>
    <t>Suriname Bible Society</t>
  </si>
  <si>
    <t>SudanBS</t>
  </si>
  <si>
    <t>Bible Society in Sudan</t>
  </si>
  <si>
    <t>ismailkanani@biblesocieties.org</t>
  </si>
  <si>
    <t>http://biblesociety-sudan.org/</t>
  </si>
  <si>
    <t>SWE</t>
  </si>
  <si>
    <t>Swedish Bible Society</t>
  </si>
  <si>
    <t>mikael.winninge@bibeln.se</t>
  </si>
  <si>
    <t>http://www.bibelsallskapet.se/</t>
  </si>
  <si>
    <t>SWISSBS</t>
  </si>
  <si>
    <t>Swiss Bible Society</t>
  </si>
  <si>
    <t>eva.thomi@die-bibel.ch</t>
  </si>
  <si>
    <t>http://www.die-bibel.ch/</t>
  </si>
  <si>
    <t>SYC</t>
  </si>
  <si>
    <t>Seychelles Bible Society</t>
  </si>
  <si>
    <t>biblesoc@seychelles.net</t>
  </si>
  <si>
    <t>TBI</t>
  </si>
  <si>
    <t>Talking Bibles Int’l</t>
  </si>
  <si>
    <t>clay@talkingbibles.org</t>
  </si>
  <si>
    <t>http://www.talkingbibles.org</t>
  </si>
  <si>
    <t>TCH</t>
  </si>
  <si>
    <t>Bible Society of Chad</t>
  </si>
  <si>
    <t>TEST</t>
  </si>
  <si>
    <t>Organization for DBL Testing</t>
  </si>
  <si>
    <t>http://thedigitalbiblelibrary.org</t>
  </si>
  <si>
    <t>THA</t>
  </si>
  <si>
    <t>Thailand Bible Society</t>
  </si>
  <si>
    <t>seree@thaibible.or.th</t>
  </si>
  <si>
    <t>http://www.thaibible.or.th/</t>
  </si>
  <si>
    <t>The Jesus Film Project</t>
  </si>
  <si>
    <t>chris.deckert@cru.org</t>
  </si>
  <si>
    <t>http://www.jesusfilm.org/</t>
  </si>
  <si>
    <t>TOG</t>
  </si>
  <si>
    <t>Bible Society of Togo</t>
  </si>
  <si>
    <t>http://www.biblesociety-togo.org/</t>
  </si>
  <si>
    <t>TovRose</t>
  </si>
  <si>
    <t>TOV@TovRose.com</t>
  </si>
  <si>
    <t>http://www.tovrose.com/</t>
  </si>
  <si>
    <t>TUR</t>
  </si>
  <si>
    <t>Bible Society in Turkey</t>
  </si>
  <si>
    <t>deborab@kitabimukaddes.com</t>
  </si>
  <si>
    <t>http://www.kitabimukaddes.com/</t>
  </si>
  <si>
    <t>TWFTW</t>
  </si>
  <si>
    <t>The Word For The World</t>
  </si>
  <si>
    <t>admin-us@twftw.org</t>
  </si>
  <si>
    <t>www.twftw.org</t>
  </si>
  <si>
    <t>UBS</t>
  </si>
  <si>
    <t>http://www.unitedbiblesocieties.org/</t>
  </si>
  <si>
    <t>UEEB</t>
  </si>
  <si>
    <t>UGA</t>
  </si>
  <si>
    <t>Bible Society of Uganda</t>
  </si>
  <si>
    <t>info@biblesociety-uganda.org</t>
  </si>
  <si>
    <t>http://www.biblesociety-uganda.org/</t>
  </si>
  <si>
    <t>UKR</t>
  </si>
  <si>
    <t>Ukrainian Bible Society</t>
  </si>
  <si>
    <t>info@ukrbs.org</t>
  </si>
  <si>
    <t>http://www.ukrbs.org/</t>
  </si>
  <si>
    <t>USLS</t>
  </si>
  <si>
    <t>Ulster-Scots Language Society</t>
  </si>
  <si>
    <t>www.ulsterscotslanguage.com</t>
  </si>
  <si>
    <t>Vietnam Bible Society</t>
  </si>
  <si>
    <t>lktam@biblevietnam.org</t>
  </si>
  <si>
    <t>http://www.biblevietnam.org</t>
  </si>
  <si>
    <t>WBT</t>
  </si>
  <si>
    <t>Wycliffe Bible Translators, Inc.</t>
  </si>
  <si>
    <t>dbladmin_intl@sil.org</t>
  </si>
  <si>
    <t>http://www.wycliffe.org</t>
  </si>
  <si>
    <t>WGA</t>
  </si>
  <si>
    <t>Wycliffe Global Alliance</t>
  </si>
  <si>
    <t>tom_van_wynen@wycliffe.net</t>
  </si>
  <si>
    <t>WIN</t>
  </si>
  <si>
    <t>Bible Society of the West Indies</t>
  </si>
  <si>
    <t>biblehouse@biblesocietywi.org</t>
  </si>
  <si>
    <t>http://www.biblesocietywi.com</t>
  </si>
  <si>
    <t>Yayasan Sumber Sejahtera</t>
  </si>
  <si>
    <t>ZAM</t>
  </si>
  <si>
    <t>Bible Society of Zambia</t>
  </si>
  <si>
    <t>gnyirenda@biblesociety-zambia.org</t>
  </si>
  <si>
    <t>www.biblesociety-zambia.org</t>
  </si>
  <si>
    <t>ContactsDbl:</t>
  </si>
  <si>
    <t>People to contact when seeking permission to use Bibles.</t>
  </si>
  <si>
    <t>InStep?</t>
  </si>
  <si>
    <t>Status</t>
  </si>
  <si>
    <t>Ready for use</t>
  </si>
  <si>
    <t>Bengali, Bangla</t>
  </si>
  <si>
    <t>Chinese</t>
  </si>
  <si>
    <t>Croatian</t>
  </si>
  <si>
    <t>Hausa</t>
  </si>
  <si>
    <t>Hungarian</t>
  </si>
  <si>
    <t>Ikposo</t>
  </si>
  <si>
    <t>Ilocano</t>
  </si>
  <si>
    <t>Kabiyè</t>
  </si>
  <si>
    <t>Lama</t>
  </si>
  <si>
    <t>Lopit</t>
  </si>
  <si>
    <t>Malagasy, Plateau</t>
  </si>
  <si>
    <t>Mina (hna)</t>
  </si>
  <si>
    <t>Nepali</t>
  </si>
  <si>
    <t>Oriya</t>
  </si>
  <si>
    <t>Panjabi, Punjabi</t>
  </si>
  <si>
    <t>Urdu Devanagari script</t>
  </si>
  <si>
    <t>Arabic</t>
  </si>
  <si>
    <t>Assumed already available – could be converted if needed</t>
  </si>
  <si>
    <t>Brazilian Portuguese</t>
  </si>
  <si>
    <t>French</t>
  </si>
  <si>
    <t>Hebrew, Ancient</t>
  </si>
  <si>
    <t>Koine Greek</t>
  </si>
  <si>
    <t>Latin American Spanish</t>
  </si>
  <si>
    <t>Russian</t>
  </si>
  <si>
    <t>Id</t>
  </si>
  <si>
    <t>InBibleInEveryLanguage?</t>
  </si>
  <si>
    <t>InNeither?</t>
  </si>
  <si>
    <t>Language</t>
  </si>
  <si>
    <t>Country</t>
  </si>
  <si>
    <t>Project</t>
  </si>
  <si>
    <t>Rights Holder</t>
  </si>
  <si>
    <t>Email</t>
  </si>
  <si>
    <t>Website</t>
  </si>
  <si>
    <t>Contactability</t>
  </si>
  <si>
    <t>RequestDate</t>
  </si>
  <si>
    <t>15a05bad015dec0e</t>
  </si>
  <si>
    <t>Melpa</t>
  </si>
  <si>
    <t>med</t>
  </si>
  <si>
    <t>The New Testament in Melpa</t>
  </si>
  <si>
    <t>1649efbc114f6b64</t>
  </si>
  <si>
    <t>Sharanahua</t>
  </si>
  <si>
    <t>mcd</t>
  </si>
  <si>
    <t>Peru</t>
  </si>
  <si>
    <t>Diospan Tsain</t>
  </si>
  <si>
    <t>1c1f3e283357fbe6</t>
  </si>
  <si>
    <t>Macedonian</t>
  </si>
  <si>
    <t>mkd</t>
  </si>
  <si>
    <t>Macedonia</t>
  </si>
  <si>
    <t>Macedonian Bible (Gavril&amp;#x27;s) 1990</t>
  </si>
  <si>
    <t>16c2428004ba3d2b</t>
  </si>
  <si>
    <t>Chiquitano</t>
  </si>
  <si>
    <t>cax</t>
  </si>
  <si>
    <t>Bolivia</t>
  </si>
  <si>
    <t>Manitanati Tuparrü</t>
  </si>
  <si>
    <t>174b7875a68dcccb</t>
  </si>
  <si>
    <t>Kwaio</t>
  </si>
  <si>
    <t>kwd</t>
  </si>
  <si>
    <t>Solomon Islands</t>
  </si>
  <si>
    <t>Kwaio New Testament</t>
  </si>
  <si>
    <t>1756e0608416c8ed</t>
  </si>
  <si>
    <t>Cishingini</t>
  </si>
  <si>
    <t>asg</t>
  </si>
  <si>
    <t>Nigeria</t>
  </si>
  <si>
    <t>Cishingini New Testament</t>
  </si>
  <si>
    <t>ba564ee8c611702a</t>
  </si>
  <si>
    <t>Torres Strait Creole</t>
  </si>
  <si>
    <t>tcs</t>
  </si>
  <si>
    <t>Yumplatok Bible</t>
  </si>
  <si>
    <t>182766624860673f</t>
  </si>
  <si>
    <t>Numanggang</t>
  </si>
  <si>
    <t>nop</t>
  </si>
  <si>
    <t>Bepaŋ&amp;#x27;walaŋ yofolok kobuli tiŋa kap</t>
  </si>
  <si>
    <t>1840bf350eb9de59</t>
  </si>
  <si>
    <t>Hdi</t>
  </si>
  <si>
    <t>xed</t>
  </si>
  <si>
    <t>Cameroon</t>
  </si>
  <si>
    <t>Deftera Lfiɗa Dzratawi</t>
  </si>
  <si>
    <t>18c44ab55e60fbfc</t>
  </si>
  <si>
    <t>Ambulas</t>
  </si>
  <si>
    <t>abt</t>
  </si>
  <si>
    <t>Gotna kundi</t>
  </si>
  <si>
    <t>18d745e496b93ea7</t>
  </si>
  <si>
    <t>Nabak</t>
  </si>
  <si>
    <t>naf</t>
  </si>
  <si>
    <t>Kawawaŋgalen Tâtâ Alakŋaŋ</t>
  </si>
  <si>
    <t>1941e980fb75953a</t>
  </si>
  <si>
    <t>Naasioi</t>
  </si>
  <si>
    <t>nas</t>
  </si>
  <si>
    <t>New Testament and some OT portions in Naasioi</t>
  </si>
  <si>
    <t>3a429410aeeeedbb</t>
  </si>
  <si>
    <t>Koiali, Mountain</t>
  </si>
  <si>
    <t>kpx</t>
  </si>
  <si>
    <t>Iesu Keliso Hotoe Tumu</t>
  </si>
  <si>
    <t>3a723f351e4ce265</t>
  </si>
  <si>
    <t>Tinputz</t>
  </si>
  <si>
    <t>tpz</t>
  </si>
  <si>
    <t>Soe a to&amp;#x27;to&amp;#x27;</t>
  </si>
  <si>
    <t>3b0270c18c98e227</t>
  </si>
  <si>
    <t>Mauwake</t>
  </si>
  <si>
    <t>mhl</t>
  </si>
  <si>
    <t>New Testament in Mauwake</t>
  </si>
  <si>
    <t>3b21497afc82f451</t>
  </si>
  <si>
    <t>Iyo</t>
  </si>
  <si>
    <t>nca</t>
  </si>
  <si>
    <t>Anutu koro Mande Kondé Keta Qu</t>
  </si>
  <si>
    <t>bac16c8b618be81f</t>
  </si>
  <si>
    <t>Chokri Naga</t>
  </si>
  <si>
    <t>nri</t>
  </si>
  <si>
    <t>Chakhesang Chokri Naga N.T. (BSI)</t>
  </si>
  <si>
    <t>1a3dd3d7cc6c17aa</t>
  </si>
  <si>
    <t>Paama</t>
  </si>
  <si>
    <t>pma</t>
  </si>
  <si>
    <t>Vanuatu</t>
  </si>
  <si>
    <t>Paama Bible</t>
  </si>
  <si>
    <t>1a799a2ed9bf883d</t>
  </si>
  <si>
    <t>Almeida Revised and Updated Study Bible</t>
  </si>
  <si>
    <t>1ab811ab711e227b</t>
  </si>
  <si>
    <t>Makaa</t>
  </si>
  <si>
    <t>mcp</t>
  </si>
  <si>
    <t>The New Testament in Makaa</t>
  </si>
  <si>
    <t>1b263f1ea2f0fd75</t>
  </si>
  <si>
    <t>Agarabi</t>
  </si>
  <si>
    <t>agd</t>
  </si>
  <si>
    <t>Yisasini Kama Vaya</t>
  </si>
  <si>
    <t>1c002a45d6b8394a</t>
  </si>
  <si>
    <t>Halh Mongolian</t>
  </si>
  <si>
    <t>khk</t>
  </si>
  <si>
    <t>Mongolia</t>
  </si>
  <si>
    <t>Ariun Bible 2013</t>
  </si>
  <si>
    <t>ee569b4cf377475a</t>
  </si>
  <si>
    <t>New Testament, Saral Hindi Bible</t>
  </si>
  <si>
    <t>bc48fc402bb64d4e</t>
  </si>
  <si>
    <t>Suba</t>
  </si>
  <si>
    <t>sxb</t>
  </si>
  <si>
    <t>Kenya</t>
  </si>
  <si>
    <t>Endagano Empia</t>
  </si>
  <si>
    <t>1ed38e2de48644b8</t>
  </si>
  <si>
    <t>Wipi</t>
  </si>
  <si>
    <t>gdr</t>
  </si>
  <si>
    <t>Wipi Yɨt God ma Yɨna Sisɨl Yɨna Peba</t>
  </si>
  <si>
    <t>75f29d58de5e13cf</t>
  </si>
  <si>
    <t>Enhlit (Lengua Norte)</t>
  </si>
  <si>
    <t>leg</t>
  </si>
  <si>
    <t>Paraguay</t>
  </si>
  <si>
    <t>Enhlit Bible</t>
  </si>
  <si>
    <t>3b91c03e7354d6ba</t>
  </si>
  <si>
    <t>Nobonob</t>
  </si>
  <si>
    <t>gaw</t>
  </si>
  <si>
    <t>KAYAKNU NAI Tituanak Bau</t>
  </si>
  <si>
    <t>3b9fdc679b9319c3</t>
  </si>
  <si>
    <t>Acholi</t>
  </si>
  <si>
    <t>ach</t>
  </si>
  <si>
    <t>Uganda</t>
  </si>
  <si>
    <t>Acholi New Testament 1985</t>
  </si>
  <si>
    <t>3c00e731a01d9414</t>
  </si>
  <si>
    <t>Farefare</t>
  </si>
  <si>
    <t>gur</t>
  </si>
  <si>
    <t>Burkina Faso</t>
  </si>
  <si>
    <t>Ninkaré NT Burkina Faso</t>
  </si>
  <si>
    <t>3c0c900912c86b41</t>
  </si>
  <si>
    <t>Eastern Maroon Creole</t>
  </si>
  <si>
    <t>djk</t>
  </si>
  <si>
    <t>Suriname</t>
  </si>
  <si>
    <t>Beibel: okanisi tongo</t>
  </si>
  <si>
    <t>3c8ed09b9e38c6f3</t>
  </si>
  <si>
    <t>Emberá, Northern</t>
  </si>
  <si>
    <t>emp</t>
  </si>
  <si>
    <t>Panama</t>
  </si>
  <si>
    <t>Ãcõrẽ Bed̶ea</t>
  </si>
  <si>
    <t>bd063638ab22049c</t>
  </si>
  <si>
    <t>Malagasy</t>
  </si>
  <si>
    <t>plt</t>
  </si>
  <si>
    <t>Madagascar</t>
  </si>
  <si>
    <t>Malagasy Bible Revision Version</t>
  </si>
  <si>
    <t>b4c47db8fcdecdd3</t>
  </si>
  <si>
    <t>Tagbanwa</t>
  </si>
  <si>
    <t>tbw</t>
  </si>
  <si>
    <t>Philippines</t>
  </si>
  <si>
    <t>Tagbanwa NT+</t>
  </si>
  <si>
    <t>bd600cff7fab7616</t>
  </si>
  <si>
    <t>Pakistan</t>
  </si>
  <si>
    <t>Revised Urdu Bible</t>
  </si>
  <si>
    <t>3c95d358bb1dda71</t>
  </si>
  <si>
    <t>Plenitud Study Bible Almeida Revised and Corrected</t>
  </si>
  <si>
    <t>bd686ab2d8b290b1</t>
  </si>
  <si>
    <t>Chipaya</t>
  </si>
  <si>
    <t>cap</t>
  </si>
  <si>
    <t>Ew Testamento: Chipay Tawkquiztan</t>
  </si>
  <si>
    <t>b5b0fba3121aef83</t>
  </si>
  <si>
    <t>Noone</t>
  </si>
  <si>
    <t>nhu</t>
  </si>
  <si>
    <t>Ŋwa&amp;#x27; Nyo&amp;#x27; Moŋkan mo Monfɛm</t>
  </si>
  <si>
    <t>1f2e7f3daf3c47fa</t>
  </si>
  <si>
    <t>Carrier, Southern</t>
  </si>
  <si>
    <t>caf</t>
  </si>
  <si>
    <t>Yakʼusda bughunek: k’andit khunek neba lhaidinla</t>
  </si>
  <si>
    <t>1fb5cf5da5e8b768</t>
  </si>
  <si>
    <t>Tunebo, Central</t>
  </si>
  <si>
    <t>tuf</t>
  </si>
  <si>
    <t>Colombia</t>
  </si>
  <si>
    <t>Sir chihtá</t>
  </si>
  <si>
    <t>3cef173ab6aed410</t>
  </si>
  <si>
    <t>Ngombe (Democratic Republic of Congo)</t>
  </si>
  <si>
    <t>ngc</t>
  </si>
  <si>
    <t>Democratic Republic of Congo</t>
  </si>
  <si>
    <t>Ngombe New Testament 1961</t>
  </si>
  <si>
    <t>bd9a8212895d8408</t>
  </si>
  <si>
    <t>South Azerbaijani</t>
  </si>
  <si>
    <t>azb</t>
  </si>
  <si>
    <t>Iran, Islamic Republic of</t>
  </si>
  <si>
    <t>Iranian Azeri Bible</t>
  </si>
  <si>
    <t>3d47299508c1f948</t>
  </si>
  <si>
    <t>Amele</t>
  </si>
  <si>
    <t>aey</t>
  </si>
  <si>
    <t>Bal cehec je haun</t>
  </si>
  <si>
    <t>3d557b6158119b19</t>
  </si>
  <si>
    <t>Ogea</t>
  </si>
  <si>
    <t>eri</t>
  </si>
  <si>
    <t>Ogea New Testament</t>
  </si>
  <si>
    <t>3d68be9d4efdad72</t>
  </si>
  <si>
    <t>Lukpa</t>
  </si>
  <si>
    <t>dop</t>
  </si>
  <si>
    <t>Benin</t>
  </si>
  <si>
    <t>La Bible en Langue Lokpa Bible 2001</t>
  </si>
  <si>
    <t>3dbef35d9c17f592</t>
  </si>
  <si>
    <t>Mongo</t>
  </si>
  <si>
    <t>lol</t>
  </si>
  <si>
    <t>Democratic Republic of the Congo</t>
  </si>
  <si>
    <t>The New Testament in Mongo-Nkundu 1958</t>
  </si>
  <si>
    <t>3de6c420cb00e851</t>
  </si>
  <si>
    <t>Kalam</t>
  </si>
  <si>
    <t>kmh</t>
  </si>
  <si>
    <t>Mɨnɨm Komiŋ</t>
  </si>
  <si>
    <t>3e0050847cbb9d0f</t>
  </si>
  <si>
    <t>Saposa</t>
  </si>
  <si>
    <t>sps</t>
  </si>
  <si>
    <t>The New Testament in Saposa</t>
  </si>
  <si>
    <t>3e402352c375457f</t>
  </si>
  <si>
    <t>TaNaKH Bible</t>
  </si>
  <si>
    <t>20b98d9866fd54f0</t>
  </si>
  <si>
    <t>Afrikaans</t>
  </si>
  <si>
    <t>afr</t>
  </si>
  <si>
    <t>South Africa</t>
  </si>
  <si>
    <t>Bybel vir almal 2007</t>
  </si>
  <si>
    <t>20cf7cd5096a2531</t>
  </si>
  <si>
    <t>Basa (Nigeria)</t>
  </si>
  <si>
    <t>bzw</t>
  </si>
  <si>
    <t>North-South language Bible</t>
  </si>
  <si>
    <t>2185805f79763ca2</t>
  </si>
  <si>
    <t>Mekeo</t>
  </si>
  <si>
    <t>mek</t>
  </si>
  <si>
    <t>Mekeo NT</t>
  </si>
  <si>
    <t>21c885838f34e4cf</t>
  </si>
  <si>
    <t>Guahibo</t>
  </si>
  <si>
    <t>guh</t>
  </si>
  <si>
    <t>Dios pejumelivaisibaxuto pejanalivaisibaxuto</t>
  </si>
  <si>
    <t>223a50e3d94e1916</t>
  </si>
  <si>
    <t>Gotna Kudi</t>
  </si>
  <si>
    <t>22c2218f97a261bc</t>
  </si>
  <si>
    <t>Toba</t>
  </si>
  <si>
    <t>tob</t>
  </si>
  <si>
    <t>Argentina</t>
  </si>
  <si>
    <t>Biblia Toba Qom</t>
  </si>
  <si>
    <t>22ce1faa429e6520</t>
  </si>
  <si>
    <t>Maya, Mopán</t>
  </si>
  <si>
    <t>mop</t>
  </si>
  <si>
    <t>Belize</t>
  </si>
  <si>
    <t>Le&amp;#x27;ec Ada&amp;#x27; U T&amp;#x27;an A Dios A Tumulbene</t>
  </si>
  <si>
    <t>233bb830b213bf5d</t>
  </si>
  <si>
    <t>Manam</t>
  </si>
  <si>
    <t>mva</t>
  </si>
  <si>
    <t>Testamen Oauoau</t>
  </si>
  <si>
    <t>237997b8dab43975</t>
  </si>
  <si>
    <t>hrv</t>
  </si>
  <si>
    <t>Croatia</t>
  </si>
  <si>
    <t>Bible</t>
  </si>
  <si>
    <t>beff6093a9da71e9</t>
  </si>
  <si>
    <t>Wantoat</t>
  </si>
  <si>
    <t>wnc</t>
  </si>
  <si>
    <t>Wantoat NT with Psalms</t>
  </si>
  <si>
    <t>bf4cb4fff223b396</t>
  </si>
  <si>
    <t>Tetun</t>
  </si>
  <si>
    <t>tet</t>
  </si>
  <si>
    <t>God&amp;#x27;s Word in Tetun</t>
  </si>
  <si>
    <t>237c316a234a0fa7</t>
  </si>
  <si>
    <t>Woun Meu</t>
  </si>
  <si>
    <t>noa</t>
  </si>
  <si>
    <t>Hẽwandam Hiek</t>
  </si>
  <si>
    <t>bfe3d27ca02d8188</t>
  </si>
  <si>
    <t>Kashinawa</t>
  </si>
  <si>
    <t>cbs</t>
  </si>
  <si>
    <t>Kaxinawá Bible</t>
  </si>
  <si>
    <t>bff836b0831ab741</t>
  </si>
  <si>
    <t>Saniyo-Hiyewe</t>
  </si>
  <si>
    <t>sny</t>
  </si>
  <si>
    <t>Owane Sitewi lo Peri Te&amp;#x27;e Naneiyei He&amp;#x27;i</t>
  </si>
  <si>
    <t>3ffc9d667633f7f2</t>
  </si>
  <si>
    <t>Guayabero</t>
  </si>
  <si>
    <t>guo</t>
  </si>
  <si>
    <t>Pajelwʉajan Dios pejjamechan</t>
  </si>
  <si>
    <t>40b4d3e993032b4c</t>
  </si>
  <si>
    <t>Mro-Khimi Chin</t>
  </si>
  <si>
    <t>cmr</t>
  </si>
  <si>
    <t>Myanmar</t>
  </si>
  <si>
    <t>Mro New Testament</t>
  </si>
  <si>
    <t>bffc71500c568dd0</t>
  </si>
  <si>
    <t>Amanab</t>
  </si>
  <si>
    <t>amn</t>
  </si>
  <si>
    <t>Godna mo Awai mona go</t>
  </si>
  <si>
    <t>41fe607dd3a97318</t>
  </si>
  <si>
    <t>Iduna</t>
  </si>
  <si>
    <t>viv</t>
  </si>
  <si>
    <t>Yaubada Bonana Veyao Ivaguna</t>
  </si>
  <si>
    <t>4212ea007316fdc6</t>
  </si>
  <si>
    <t>Chumburung</t>
  </si>
  <si>
    <t>ncu</t>
  </si>
  <si>
    <t>Ghana</t>
  </si>
  <si>
    <t>Abware̱se̱ŋ Wo̱re̱-ɔ</t>
  </si>
  <si>
    <t>4217ffaedaf1878e</t>
  </si>
  <si>
    <t>Quechua, North Junín</t>
  </si>
  <si>
    <t>qvn</t>
  </si>
  <si>
    <t>Tayta Diospa Guepacag Testamentun</t>
  </si>
  <si>
    <t>42376f5311f0a24b</t>
  </si>
  <si>
    <t>Yawa</t>
  </si>
  <si>
    <t>yva</t>
  </si>
  <si>
    <t>Ayao amisy urairi wanyin</t>
  </si>
  <si>
    <t>42cfb6a2ac831392</t>
  </si>
  <si>
    <t>Lahu</t>
  </si>
  <si>
    <t>lhu</t>
  </si>
  <si>
    <t>Lahu Bible</t>
  </si>
  <si>
    <t>430c1a68e87c4848</t>
  </si>
  <si>
    <t>Mbuko</t>
  </si>
  <si>
    <t>mqb</t>
  </si>
  <si>
    <t>Aɓan &amp;#x27;am wiya awan</t>
  </si>
  <si>
    <t>23b1ad8e17569bc0</t>
  </si>
  <si>
    <t>Guambiano</t>
  </si>
  <si>
    <t>gum</t>
  </si>
  <si>
    <t>The New Testament and Genesis in Guambiano</t>
  </si>
  <si>
    <t>c177bbb17c7c6190</t>
  </si>
  <si>
    <t>Namiae</t>
  </si>
  <si>
    <t>nvm</t>
  </si>
  <si>
    <t>Godon Vuak Ma Ijin</t>
  </si>
  <si>
    <t>c2b9214bd29164d9</t>
  </si>
  <si>
    <t>Holy Bible</t>
  </si>
  <si>
    <t>c30c20ed913e6e85</t>
  </si>
  <si>
    <t>Mien (Yao)</t>
  </si>
  <si>
    <t>ium</t>
  </si>
  <si>
    <t>Mien Bible (Old Roman Script Script)</t>
  </si>
  <si>
    <t>c315622e66e68f12</t>
  </si>
  <si>
    <t>Borana-Arsi-Guji Oromo</t>
  </si>
  <si>
    <t>gax</t>
  </si>
  <si>
    <t>Guji Oromo New Testament 2007</t>
  </si>
  <si>
    <t>c3d874881bb6965e</t>
  </si>
  <si>
    <t>Rawa</t>
  </si>
  <si>
    <t>rwo</t>
  </si>
  <si>
    <t>Anutlo Sumange Mande Keda</t>
  </si>
  <si>
    <t>c41d493c5c23540e</t>
  </si>
  <si>
    <t>Carib</t>
  </si>
  <si>
    <t>car</t>
  </si>
  <si>
    <t>Asery Tamusi karetary</t>
  </si>
  <si>
    <t>7db214bcc316fddc</t>
  </si>
  <si>
    <t>hne</t>
  </si>
  <si>
    <t>New Chhattisgarhi Translation</t>
  </si>
  <si>
    <t>c552ccb9e7d40ce6</t>
  </si>
  <si>
    <t>Gonja</t>
  </si>
  <si>
    <t>gjn</t>
  </si>
  <si>
    <t>Gonja Bible</t>
  </si>
  <si>
    <t>0c8e333a7aa78c92</t>
  </si>
  <si>
    <t>Hindi CL Bible (BSI)</t>
  </si>
  <si>
    <t>c59cf0d2e5f5d42d</t>
  </si>
  <si>
    <t>Chin: Tedim</t>
  </si>
  <si>
    <t>ctd</t>
  </si>
  <si>
    <t>Tedim Bible</t>
  </si>
  <si>
    <t>c5ebfa6a724f2e70</t>
  </si>
  <si>
    <t>Giziga</t>
  </si>
  <si>
    <t>giz</t>
  </si>
  <si>
    <t>Guiziga Bible with DC books</t>
  </si>
  <si>
    <t>c63752b0d7665cca</t>
  </si>
  <si>
    <t>Olo</t>
  </si>
  <si>
    <t>ong</t>
  </si>
  <si>
    <t>Il Teingipe Ma Ili Topwepe Lapiri Lirouku</t>
  </si>
  <si>
    <t>c6defb2acee73d28</t>
  </si>
  <si>
    <t>Bedjond</t>
  </si>
  <si>
    <t>bjv</t>
  </si>
  <si>
    <t>Chad</t>
  </si>
  <si>
    <t>Bible Nangnda</t>
  </si>
  <si>
    <t>c73e2a7bcfc06044</t>
  </si>
  <si>
    <t>Poumei Naga</t>
  </si>
  <si>
    <t>pmx</t>
  </si>
  <si>
    <t>Poumai Naga Bible (BSI)</t>
  </si>
  <si>
    <t>c74a7152a134ddba</t>
  </si>
  <si>
    <t>Nsenga</t>
  </si>
  <si>
    <t>nse</t>
  </si>
  <si>
    <t>Zambia</t>
  </si>
  <si>
    <t>The Gospel of Mark in Nsenga</t>
  </si>
  <si>
    <t>c7c3c73c2874659d</t>
  </si>
  <si>
    <t>Saramaccan</t>
  </si>
  <si>
    <t>srm</t>
  </si>
  <si>
    <t>Gadu Buku</t>
  </si>
  <si>
    <t>c802a74757da84b5</t>
  </si>
  <si>
    <t>Bomu</t>
  </si>
  <si>
    <t>bmq</t>
  </si>
  <si>
    <t>Mali</t>
  </si>
  <si>
    <t>Boomu Bible</t>
  </si>
  <si>
    <t>597a4b6f7639ff59</t>
  </si>
  <si>
    <t>Telugu Old Version Bible (BSI)</t>
  </si>
  <si>
    <t>0eb011c8e3982310</t>
  </si>
  <si>
    <t>Finnish</t>
  </si>
  <si>
    <t>fin</t>
  </si>
  <si>
    <t>Finland</t>
  </si>
  <si>
    <t>DigiMarkus</t>
  </si>
  <si>
    <t>284d5fd1e3269856</t>
  </si>
  <si>
    <t>Bribri</t>
  </si>
  <si>
    <t>bzd</t>
  </si>
  <si>
    <t>Costa Rica</t>
  </si>
  <si>
    <t>Tte Pa̱&amp;#x27;a̱li̱ Me&amp;#x27; Skëköl tö Se&amp;#x27; a̱</t>
  </si>
  <si>
    <t>28959c42cfaca95a</t>
  </si>
  <si>
    <t>Carapana</t>
  </si>
  <si>
    <t>cbc</t>
  </si>
  <si>
    <t>Dios Cʉ̃ Cauetibʉjʉ Cũrĩcã Tuti</t>
  </si>
  <si>
    <t>4524cdb7a7098420</t>
  </si>
  <si>
    <t>England</t>
  </si>
  <si>
    <t>The Trench Epistles GWC 1915</t>
  </si>
  <si>
    <t>British &amp;amp; Foreign Bible Society</t>
  </si>
  <si>
    <t>454bac3e076408d9</t>
  </si>
  <si>
    <t>Bugawac</t>
  </si>
  <si>
    <t>buk</t>
  </si>
  <si>
    <t>Anötö ndê Yom Lêŋsêm Wakuc</t>
  </si>
  <si>
    <t>4557016c806bfaf3</t>
  </si>
  <si>
    <t>Vute</t>
  </si>
  <si>
    <t>vut</t>
  </si>
  <si>
    <t>Vute New Testament</t>
  </si>
  <si>
    <t>456676e82207764b</t>
  </si>
  <si>
    <t>Lashi (Lacid)</t>
  </si>
  <si>
    <t>lsi</t>
  </si>
  <si>
    <t>Lacid Common Language Bible</t>
  </si>
  <si>
    <t>c916b34131690f7e</t>
  </si>
  <si>
    <t>Sea Island Creole English</t>
  </si>
  <si>
    <t>gul</t>
  </si>
  <si>
    <t>Gullah New Testament</t>
  </si>
  <si>
    <t>c99b2260742223ee</t>
  </si>
  <si>
    <t>Ifè</t>
  </si>
  <si>
    <t>ife</t>
  </si>
  <si>
    <t>Togo</t>
  </si>
  <si>
    <t>Ifè New Testament (Togo)</t>
  </si>
  <si>
    <t>c9d4748bb8d2cd9a</t>
  </si>
  <si>
    <t>Wandala</t>
  </si>
  <si>
    <t>mfi</t>
  </si>
  <si>
    <t>Le Nouveau Testament en Mandara (Cameroun)</t>
  </si>
  <si>
    <t>28b49503236ab541</t>
  </si>
  <si>
    <t>Tz&amp;#x27;utujil</t>
  </si>
  <si>
    <t>tzj</t>
  </si>
  <si>
    <t>Guatemala</t>
  </si>
  <si>
    <t>Ja Cꞌacꞌa Chominem</t>
  </si>
  <si>
    <t>ca94fec9e35bb807</t>
  </si>
  <si>
    <t>Galo</t>
  </si>
  <si>
    <t>adl</t>
  </si>
  <si>
    <t>Galo New Testament (BSI)</t>
  </si>
  <si>
    <t>cb20871ac4639ace</t>
  </si>
  <si>
    <t>Ditammari</t>
  </si>
  <si>
    <t>tbz</t>
  </si>
  <si>
    <t>Ditammari Bible</t>
  </si>
  <si>
    <t>cb38452d1e7ef95d</t>
  </si>
  <si>
    <t>Toba: Sombrero Negro</t>
  </si>
  <si>
    <t>plg</t>
  </si>
  <si>
    <t>Toba Sombrero Negro New Testament</t>
  </si>
  <si>
    <t>cb5dbaee527dccf3</t>
  </si>
  <si>
    <t>Eastern Arrernte</t>
  </si>
  <si>
    <t>aer</t>
  </si>
  <si>
    <t>Eastern and Central Arrernte Scripture Translation</t>
  </si>
  <si>
    <t>cc5e71b41a3ed10c</t>
  </si>
  <si>
    <t>Vengo</t>
  </si>
  <si>
    <t>bav</t>
  </si>
  <si>
    <t>The New Testament in thew Babungo Language</t>
  </si>
  <si>
    <t>cc6504f5108ab136</t>
  </si>
  <si>
    <t>Lhaovo (Maru)</t>
  </si>
  <si>
    <t>mhx</t>
  </si>
  <si>
    <t>Lhaovo Common Language Bible</t>
  </si>
  <si>
    <t>47019921599a9b25</t>
  </si>
  <si>
    <t>Buamu</t>
  </si>
  <si>
    <t>box</t>
  </si>
  <si>
    <t>Dónbeenì páaníi fĩnle vũahṹ</t>
  </si>
  <si>
    <t>47f9b85c980d0ab3</t>
  </si>
  <si>
    <t>Awa (Papua New Guinea)</t>
  </si>
  <si>
    <t>awb</t>
  </si>
  <si>
    <t>Manikáne O Ehwehne</t>
  </si>
  <si>
    <t>cd8557df47a14a91</t>
  </si>
  <si>
    <t>Guidar</t>
  </si>
  <si>
    <t>gid</t>
  </si>
  <si>
    <t>Gidar New Testament</t>
  </si>
  <si>
    <t>48041fd0be223550</t>
  </si>
  <si>
    <t>Koma</t>
  </si>
  <si>
    <t>kmy</t>
  </si>
  <si>
    <t>The New Testament in Koma (Ghana)</t>
  </si>
  <si>
    <t>cd9f60f4a5bee8b5</t>
  </si>
  <si>
    <t>Pilagá</t>
  </si>
  <si>
    <t>Pilagá NT</t>
  </si>
  <si>
    <t>ceaf15813d1bf804</t>
  </si>
  <si>
    <t>Jola-Kasa</t>
  </si>
  <si>
    <t>csk</t>
  </si>
  <si>
    <t>Senegal</t>
  </si>
  <si>
    <t>Jola-Kasa New Testament</t>
  </si>
  <si>
    <t>2a04aad6ab150dbc</t>
  </si>
  <si>
    <t>Nakanai</t>
  </si>
  <si>
    <t>nak</t>
  </si>
  <si>
    <t>New Testament in Nakanai</t>
  </si>
  <si>
    <t>48a8679b11416a36</t>
  </si>
  <si>
    <t>Paicî</t>
  </si>
  <si>
    <t>pri</t>
  </si>
  <si>
    <t>New Caledonia</t>
  </si>
  <si>
    <t>Tii Pwicîri: Âmu Aamwari naa na cî</t>
  </si>
  <si>
    <t>cf4f4155e0dcf607</t>
  </si>
  <si>
    <t>rus</t>
  </si>
  <si>
    <t>Russian Federation</t>
  </si>
  <si>
    <t>Russian Bible: Easy-to-Read Version</t>
  </si>
  <si>
    <t>48b8d0667e45f283</t>
  </si>
  <si>
    <t>Bola</t>
  </si>
  <si>
    <t>bnp</t>
  </si>
  <si>
    <t>A Nitana Vure</t>
  </si>
  <si>
    <t>cfbd290acef8c7bf</t>
  </si>
  <si>
    <t>Fulfulde, Nigerian</t>
  </si>
  <si>
    <t>fuv</t>
  </si>
  <si>
    <t>Fulfulde Nigeria New Testament</t>
  </si>
  <si>
    <t>cfca4ad623e8f6c8</t>
  </si>
  <si>
    <t>Faiwol</t>
  </si>
  <si>
    <t>fai</t>
  </si>
  <si>
    <t>Got Weng Abem</t>
  </si>
  <si>
    <t>2b10b6bb3ca69c4a</t>
  </si>
  <si>
    <t>Wayampi</t>
  </si>
  <si>
    <t>oym</t>
  </si>
  <si>
    <t>Wayampi NT</t>
  </si>
  <si>
    <t>d033e8e10c647589</t>
  </si>
  <si>
    <t>Khana</t>
  </si>
  <si>
    <t>ogo</t>
  </si>
  <si>
    <t>Ogani Khana Bible</t>
  </si>
  <si>
    <t>d0475be5a0c3310e</t>
  </si>
  <si>
    <t>MacArthur Study Bible Almeida Revised and Updated</t>
  </si>
  <si>
    <t>d0863d1ac22b8b84</t>
  </si>
  <si>
    <t>Limbu</t>
  </si>
  <si>
    <t>lif</t>
  </si>
  <si>
    <t>Nepal</t>
  </si>
  <si>
    <t>Yesu khristarɛ kunisaam</t>
  </si>
  <si>
    <t>d08b1ba63332068e</t>
  </si>
  <si>
    <t>Central Mnong</t>
  </si>
  <si>
    <t>cmo</t>
  </si>
  <si>
    <t>The New Testament in the Bunong Language</t>
  </si>
  <si>
    <t>49b30668fe3647ca</t>
  </si>
  <si>
    <t>Muinane</t>
  </si>
  <si>
    <t>bmr</t>
  </si>
  <si>
    <t>Moocaani iijɨ</t>
  </si>
  <si>
    <t>d151e4b491739a7f</t>
  </si>
  <si>
    <t>Ikwere</t>
  </si>
  <si>
    <t>ikw</t>
  </si>
  <si>
    <t>Ikwere New Testament</t>
  </si>
  <si>
    <t>d1842795870f0f6d</t>
  </si>
  <si>
    <t>Nek</t>
  </si>
  <si>
    <t>nif</t>
  </si>
  <si>
    <t>Nek New Testament</t>
  </si>
  <si>
    <t>d219732427fc797d</t>
  </si>
  <si>
    <t>Talinga-Bwisi</t>
  </si>
  <si>
    <t>tlj</t>
  </si>
  <si>
    <t>The New Testament in the Lubwisi language of Uganda</t>
  </si>
  <si>
    <t>d26ef201ef9cf3f2</t>
  </si>
  <si>
    <t>Slovo na cestu (Czech Living Bible) 2012</t>
  </si>
  <si>
    <t>d2b9d8ad4f21083f</t>
  </si>
  <si>
    <t>Kwamera</t>
  </si>
  <si>
    <t>tnk</t>
  </si>
  <si>
    <t>Nǝfe New Testament</t>
  </si>
  <si>
    <t>2b12d679fd489973</t>
  </si>
  <si>
    <t>Huitoto, Minica</t>
  </si>
  <si>
    <t>hto</t>
  </si>
  <si>
    <t>Juziñamui Ñuera Uai</t>
  </si>
  <si>
    <t>d37a165ef0ea3f20</t>
  </si>
  <si>
    <t>Siwu</t>
  </si>
  <si>
    <t>akp</t>
  </si>
  <si>
    <t>Siwu New Testament</t>
  </si>
  <si>
    <t>4a203667d02c23d7</t>
  </si>
  <si>
    <t>Balkan Romani</t>
  </si>
  <si>
    <t>rmn</t>
  </si>
  <si>
    <t>Bosnia and Herzegovina</t>
  </si>
  <si>
    <t>Romani Gurbeti-Arlija Gospel of Luke 1936 (Yugoslavia)</t>
  </si>
  <si>
    <t>d4106b26a5c784b0</t>
  </si>
  <si>
    <t>Southern Nuni</t>
  </si>
  <si>
    <t>nnw</t>
  </si>
  <si>
    <t>Le Nouveau Testament en Nun</t>
  </si>
  <si>
    <t>d426eb3c2426527d</t>
  </si>
  <si>
    <t>Gude</t>
  </si>
  <si>
    <t>gde</t>
  </si>
  <si>
    <t>Le Nouveau Testament en gude</t>
  </si>
  <si>
    <t>ecfa3f25d8296825</t>
  </si>
  <si>
    <t>Beaver</t>
  </si>
  <si>
    <t>bea</t>
  </si>
  <si>
    <t>Lǫ́ǫ́se nadááse (John 3:1-21)</t>
  </si>
  <si>
    <t>d596baef515171e2</t>
  </si>
  <si>
    <t>Kandawo</t>
  </si>
  <si>
    <t>gam</t>
  </si>
  <si>
    <t>Kandawo New Testament</t>
  </si>
  <si>
    <t>4bcf9b87971e1261</t>
  </si>
  <si>
    <t>Kayan</t>
  </si>
  <si>
    <t>pdu</t>
  </si>
  <si>
    <t>Malaysia</t>
  </si>
  <si>
    <t>Today&amp;#x27;s Dahun Kayan Bible 1990</t>
  </si>
  <si>
    <t>2bcb0f5d5147e66c</t>
  </si>
  <si>
    <t>Rade</t>
  </si>
  <si>
    <t>rad</t>
  </si>
  <si>
    <t>Rade Bible</t>
  </si>
  <si>
    <t>d646b47beb54e69c</t>
  </si>
  <si>
    <t>Kara</t>
  </si>
  <si>
    <t>leu</t>
  </si>
  <si>
    <t>The New Testament in the Kara language</t>
  </si>
  <si>
    <t>4de26e18fe3e46cc</t>
  </si>
  <si>
    <t>Western Bolivian Guaraní</t>
  </si>
  <si>
    <t>gnw</t>
  </si>
  <si>
    <t>Las Escrituras en Guaraní de Chuquisaca, Bolivia</t>
  </si>
  <si>
    <t>4df5178e9f46c3fb</t>
  </si>
  <si>
    <t>Peere</t>
  </si>
  <si>
    <t>pfe</t>
  </si>
  <si>
    <t>Nouveau Testament en Pere</t>
  </si>
  <si>
    <t>4df9bb4c20fe4807</t>
  </si>
  <si>
    <t>Kako</t>
  </si>
  <si>
    <t>kkj</t>
  </si>
  <si>
    <t>Le Nouveau Testament en langue kakɔ (kakɔ-est) Cameroun et RCA</t>
  </si>
  <si>
    <t>4e0306ced143b0c0</t>
  </si>
  <si>
    <t>Maring Naga</t>
  </si>
  <si>
    <t>nng</t>
  </si>
  <si>
    <t>Maring Naga Bible (BSI)</t>
  </si>
  <si>
    <t>4e558d011298deae</t>
  </si>
  <si>
    <t>Saint Lucian Creole French</t>
  </si>
  <si>
    <t>acf</t>
  </si>
  <si>
    <t>Saint Lucia</t>
  </si>
  <si>
    <t>Tèstèman nèf-la: Épi an posyòn an liv samz-la</t>
  </si>
  <si>
    <t>2d8b3d8d484d9752</t>
  </si>
  <si>
    <t>Hopi</t>
  </si>
  <si>
    <t>hop</t>
  </si>
  <si>
    <t>God Lavayiyat Aṅ Puhuvasiwni</t>
  </si>
  <si>
    <t>bf64a66687323985</t>
  </si>
  <si>
    <t>fra</t>
  </si>
  <si>
    <t>Kwatay Back Translation</t>
  </si>
  <si>
    <t>d827ab8c5abbf424</t>
  </si>
  <si>
    <t>Romanian</t>
  </si>
  <si>
    <t>ron</t>
  </si>
  <si>
    <t>Romania</t>
  </si>
  <si>
    <t>Romanian Interconfessional New Testament 2010</t>
  </si>
  <si>
    <t>2dad83033884a3ad</t>
  </si>
  <si>
    <t>Ixil</t>
  </si>
  <si>
    <t>ixl</t>
  </si>
  <si>
    <t>U ak&amp;#x27; Testamento tu kuyob&amp;#x27;al</t>
  </si>
  <si>
    <t>d9340931627e297d</t>
  </si>
  <si>
    <t>Besiro (Chiquitano)</t>
  </si>
  <si>
    <t>Chiquitano New Testament</t>
  </si>
  <si>
    <t>d980ad19668bb50d</t>
  </si>
  <si>
    <t>Middle Newar</t>
  </si>
  <si>
    <t>nwx</t>
  </si>
  <si>
    <t>Newar New Testament with Psalms and Proverbs</t>
  </si>
  <si>
    <t>d98b0a3f623a95e8</t>
  </si>
  <si>
    <t>Mien Bible (New Roman Script)</t>
  </si>
  <si>
    <t>d9fce7e21c197582</t>
  </si>
  <si>
    <t>Minaveha</t>
  </si>
  <si>
    <t>mvn</t>
  </si>
  <si>
    <t>Minaveha New Testament</t>
  </si>
  <si>
    <t>da069a7e82ce2576</t>
  </si>
  <si>
    <t>Ezaa</t>
  </si>
  <si>
    <t>eza</t>
  </si>
  <si>
    <t>The Bible in Ezaa</t>
  </si>
  <si>
    <t>da82d1b913bfc9f4</t>
  </si>
  <si>
    <t>Ngangam</t>
  </si>
  <si>
    <t>gng</t>
  </si>
  <si>
    <t>Uwien ya Jɔtiefɛ̀nku ya gbɔnku</t>
  </si>
  <si>
    <t>da84ad82c8887d25</t>
  </si>
  <si>
    <t>Liangmai Naga</t>
  </si>
  <si>
    <t>njn</t>
  </si>
  <si>
    <t>Liangmai Naga (Re-Edited) (BSI)</t>
  </si>
  <si>
    <t>db03a61d034c6a47</t>
  </si>
  <si>
    <t>Hrangkhol</t>
  </si>
  <si>
    <t>hra</t>
  </si>
  <si>
    <t>Hrangkhol CL Bible (BSI)</t>
  </si>
  <si>
    <t>db2b010bc71cbcef</t>
  </si>
  <si>
    <t>Tii</t>
  </si>
  <si>
    <t>txq</t>
  </si>
  <si>
    <t>The Word of God: New Testament with Genesis</t>
  </si>
  <si>
    <t>db41e057dbf54ebe</t>
  </si>
  <si>
    <t>Ignaciano</t>
  </si>
  <si>
    <t>ign</t>
  </si>
  <si>
    <t>New Testament</t>
  </si>
  <si>
    <t>db427f4fbf3d0ffc</t>
  </si>
  <si>
    <t>Obolo</t>
  </si>
  <si>
    <t>ann</t>
  </si>
  <si>
    <t>Obolo Catholic Bible</t>
  </si>
  <si>
    <t>db53489a3334ddd2</t>
  </si>
  <si>
    <t>Guaraní, Eastern Bolivian</t>
  </si>
  <si>
    <t>gui</t>
  </si>
  <si>
    <t>Nuevo Testamento Guaraní Pe</t>
  </si>
  <si>
    <t>db8cc8a6919c992e</t>
  </si>
  <si>
    <t>Guaraní, Western Bolivian</t>
  </si>
  <si>
    <t>dc3cedda769a43bc</t>
  </si>
  <si>
    <t>Dusun: Menggatal</t>
  </si>
  <si>
    <t>dtp</t>
  </si>
  <si>
    <t>Today&amp;#x27;s Dusun Version Bible</t>
  </si>
  <si>
    <t>dca772a6b8227d8a</t>
  </si>
  <si>
    <t>Tampulma</t>
  </si>
  <si>
    <t>tpm</t>
  </si>
  <si>
    <t>The New Testament in the Tampula language</t>
  </si>
  <si>
    <t>dcb0d58ed8dfbec1</t>
  </si>
  <si>
    <t>Hindi O.V. - Re-edited (BSI)</t>
  </si>
  <si>
    <t>dccc59ac65e7e9ad</t>
  </si>
  <si>
    <t>Jur Modo</t>
  </si>
  <si>
    <t>bex</t>
  </si>
  <si>
    <t>Jur Mödö NT, Genesis and Exodus</t>
  </si>
  <si>
    <t>dce2349db2f93d46</t>
  </si>
  <si>
    <t>Zande (individual language)</t>
  </si>
  <si>
    <t>zne</t>
  </si>
  <si>
    <t>Zande Bible 1978</t>
  </si>
  <si>
    <t>dcf8f591a97571b5</t>
  </si>
  <si>
    <t>Southern Birifor</t>
  </si>
  <si>
    <t>biv</t>
  </si>
  <si>
    <t>Birifor NT (Ghana)</t>
  </si>
  <si>
    <t>dd2c66303d47974e</t>
  </si>
  <si>
    <t>Quechua, San Martín</t>
  </si>
  <si>
    <t>qvs</t>
  </si>
  <si>
    <t>Tata Diospa Mushuk Rimanan</t>
  </si>
  <si>
    <t>dd4552ba397683dd</t>
  </si>
  <si>
    <t>Ngyemboon (Ngiemboon)</t>
  </si>
  <si>
    <t>nnh</t>
  </si>
  <si>
    <t>d9610ffb2f032758</t>
  </si>
  <si>
    <t>Tswana</t>
  </si>
  <si>
    <t>tsn</t>
  </si>
  <si>
    <t>Botswana</t>
  </si>
  <si>
    <t>The Word: Tswana New Testament</t>
  </si>
  <si>
    <t>4f684f4a0bee8478</t>
  </si>
  <si>
    <t>Amarasi</t>
  </si>
  <si>
    <t>aaz</t>
  </si>
  <si>
    <t>Amarasi NT + Genesis</t>
  </si>
  <si>
    <t>500ed69f829cb7f8</t>
  </si>
  <si>
    <t>Quechua, North Bolivian</t>
  </si>
  <si>
    <t>qul</t>
  </si>
  <si>
    <t>Mosoj Testamento</t>
  </si>
  <si>
    <t>2ef4ad5622cfd98b</t>
  </si>
  <si>
    <t>France</t>
  </si>
  <si>
    <t>Bible Segond 1910</t>
  </si>
  <si>
    <t>de198d2d1e3c22c2</t>
  </si>
  <si>
    <t>Gourmanchéma</t>
  </si>
  <si>
    <t>gux</t>
  </si>
  <si>
    <t>Gulmancema (Gourma) Bible</t>
  </si>
  <si>
    <t>debd09bd10dddd19</t>
  </si>
  <si>
    <t>Limbum</t>
  </si>
  <si>
    <t>lmp</t>
  </si>
  <si>
    <t>Limbum New Testament</t>
  </si>
  <si>
    <t>df36ed618056b7ef</t>
  </si>
  <si>
    <t>Lyélé</t>
  </si>
  <si>
    <t>lee</t>
  </si>
  <si>
    <t>Lyélé NT (Burkina Faso)</t>
  </si>
  <si>
    <t>df7e97ad10444eb0</t>
  </si>
  <si>
    <t>Uri</t>
  </si>
  <si>
    <t>uvh</t>
  </si>
  <si>
    <t>Uri New Testament</t>
  </si>
  <si>
    <t>dfab669caf65b1ac</t>
  </si>
  <si>
    <t>Candoshi-Shapra</t>
  </si>
  <si>
    <t>cbu</t>
  </si>
  <si>
    <t>Apanlli Kuku</t>
  </si>
  <si>
    <t>dfdea90c6b0c8ad6</t>
  </si>
  <si>
    <t>Hawaii Pidgin</t>
  </si>
  <si>
    <t>hwc</t>
  </si>
  <si>
    <t>e1d0a80dc2f3e0e1</t>
  </si>
  <si>
    <t>Anutro Mande Keta</t>
  </si>
  <si>
    <t>e1fa355c914d067e</t>
  </si>
  <si>
    <t>West-Central Limba</t>
  </si>
  <si>
    <t>lia</t>
  </si>
  <si>
    <t>Sierra Leone</t>
  </si>
  <si>
    <t>Limba New Testament 2011</t>
  </si>
  <si>
    <t>e266825cdd225657</t>
  </si>
  <si>
    <t>Riang (India)</t>
  </si>
  <si>
    <t>ria</t>
  </si>
  <si>
    <t>Kau Bru Bible (BSI)</t>
  </si>
  <si>
    <t>e26a918b0acf5e36</t>
  </si>
  <si>
    <t>Ixil NT of Chajul</t>
  </si>
  <si>
    <t>5073a9a2b20ca175</t>
  </si>
  <si>
    <t>Usan</t>
  </si>
  <si>
    <t>wnu</t>
  </si>
  <si>
    <t>Usan NT</t>
  </si>
  <si>
    <t>e2a098be8b4d45fe</t>
  </si>
  <si>
    <t>Moore</t>
  </si>
  <si>
    <t>mos</t>
  </si>
  <si>
    <t>Moore Bible + DC</t>
  </si>
  <si>
    <t>e38e8f46c52f8635</t>
  </si>
  <si>
    <t>Chang Naga</t>
  </si>
  <si>
    <t>nbc</t>
  </si>
  <si>
    <t>Chang Naga Bible (BSI)</t>
  </si>
  <si>
    <t>50c0b93e64d10cf0</t>
  </si>
  <si>
    <t>Yaminahua</t>
  </si>
  <si>
    <t>yaa</t>
  </si>
  <si>
    <t>Niospa meka fena Jesucristoõnoa</t>
  </si>
  <si>
    <t>50d5dd99e6679f98</t>
  </si>
  <si>
    <t>Iatmul</t>
  </si>
  <si>
    <t>ian</t>
  </si>
  <si>
    <t>God Waa Nyaangɨt</t>
  </si>
  <si>
    <t>51384900514e954c</t>
  </si>
  <si>
    <t>Kalenjin</t>
  </si>
  <si>
    <t>kln</t>
  </si>
  <si>
    <t>Kalenjin Revised Bible 2016</t>
  </si>
  <si>
    <t>2fb7cabcc2144633</t>
  </si>
  <si>
    <t>Achi</t>
  </si>
  <si>
    <t>acr</t>
  </si>
  <si>
    <t>Ri utzilaj tzij re ri kanimajawal Jesucristo</t>
  </si>
  <si>
    <t>51a0a28e923a20c5</t>
  </si>
  <si>
    <t>Zeme Naga</t>
  </si>
  <si>
    <t>nzm</t>
  </si>
  <si>
    <t>Zeme Naga CL Bible (BSI)</t>
  </si>
  <si>
    <t>e47c0124c5c3381d</t>
  </si>
  <si>
    <t>Yagua</t>
  </si>
  <si>
    <t>yad</t>
  </si>
  <si>
    <t>Ju̱denu jto̱ nijya̱nvamyu</t>
  </si>
  <si>
    <t>30b7a24e9d3041aa</t>
  </si>
  <si>
    <t>Kalanga</t>
  </si>
  <si>
    <t>kck</t>
  </si>
  <si>
    <t>Kalanga New Testament and Psalms</t>
  </si>
  <si>
    <t>e50e1eac1cd1073b</t>
  </si>
  <si>
    <t>Amri Karbi</t>
  </si>
  <si>
    <t>ajz</t>
  </si>
  <si>
    <t>Amri Karbi N.T. (BSI)</t>
  </si>
  <si>
    <t>e555434ec4677f3b</t>
  </si>
  <si>
    <t>Mam: Huehuetenango (northern)</t>
  </si>
  <si>
    <t>mam</t>
  </si>
  <si>
    <t>Mam de Huehuetenango Bible</t>
  </si>
  <si>
    <t>e58c4cd449c50042</t>
  </si>
  <si>
    <t>Massa (Masana)</t>
  </si>
  <si>
    <t>mcn</t>
  </si>
  <si>
    <t>Massana Bible</t>
  </si>
  <si>
    <t>e5d134bdcf47ff17</t>
  </si>
  <si>
    <t>Gangte</t>
  </si>
  <si>
    <t>gnb</t>
  </si>
  <si>
    <t>Gangte Bible (BSI)</t>
  </si>
  <si>
    <t>e64160ca16360481</t>
  </si>
  <si>
    <t>Mampruli</t>
  </si>
  <si>
    <t>maw</t>
  </si>
  <si>
    <t>The New Testament in the Mampruli language of Ghana</t>
  </si>
  <si>
    <t>e6b1b8ae87484fa4</t>
  </si>
  <si>
    <t>Karkar-Yuri</t>
  </si>
  <si>
    <t>yuj</t>
  </si>
  <si>
    <t>Kwaromp kwapwe kare kar</t>
  </si>
  <si>
    <t>e6bfa771f4cdb342</t>
  </si>
  <si>
    <t>Dooyaayo</t>
  </si>
  <si>
    <t>dow</t>
  </si>
  <si>
    <t>New Testament in Doyayo</t>
  </si>
  <si>
    <t>e7119a58dec9d438</t>
  </si>
  <si>
    <t>Konyak Naga</t>
  </si>
  <si>
    <t>nbe</t>
  </si>
  <si>
    <t>Konyak Naga Bible (BSI)</t>
  </si>
  <si>
    <t>e78ad0628fb0757b</t>
  </si>
  <si>
    <t>Tsou</t>
  </si>
  <si>
    <t>tsu</t>
  </si>
  <si>
    <t>Taiwan</t>
  </si>
  <si>
    <t>The Tsou New Testament (2014)</t>
  </si>
  <si>
    <t>e812d32167641176</t>
  </si>
  <si>
    <t>Quechua: Boliviano</t>
  </si>
  <si>
    <t>quh</t>
  </si>
  <si>
    <t>Quechua Norte New Testament</t>
  </si>
  <si>
    <t>e82e3f94be6eb19d</t>
  </si>
  <si>
    <t>Kasua</t>
  </si>
  <si>
    <t>khs</t>
  </si>
  <si>
    <t>Kasua New Testament</t>
  </si>
  <si>
    <t>317f10add7d1324f</t>
  </si>
  <si>
    <t>Southeast Ambrym</t>
  </si>
  <si>
    <t>tvk</t>
  </si>
  <si>
    <t>ea2af832dfd2740d</t>
  </si>
  <si>
    <t>Ghomala (Bandjoun)</t>
  </si>
  <si>
    <t>bbj</t>
  </si>
  <si>
    <t>Ghomala New Testament</t>
  </si>
  <si>
    <t>ead08a37313379b8</t>
  </si>
  <si>
    <t>Phom Naga</t>
  </si>
  <si>
    <t>nph</t>
  </si>
  <si>
    <t>Phom Naga Bible (BSI)</t>
  </si>
  <si>
    <t>eae763c09d34b829</t>
  </si>
  <si>
    <t>Nomatsiguenga</t>
  </si>
  <si>
    <t>not</t>
  </si>
  <si>
    <t>Irinibare Tosorintsi Ocomantëgotëri Antigomi Jesoquirisito</t>
  </si>
  <si>
    <t>eb1985f15eb64b69</t>
  </si>
  <si>
    <t>Lithuanian</t>
  </si>
  <si>
    <t>lit</t>
  </si>
  <si>
    <t>Lithuania</t>
  </si>
  <si>
    <t>Lithuanian Bible</t>
  </si>
  <si>
    <t>eb3333e780e53287</t>
  </si>
  <si>
    <t>Ticuna</t>
  </si>
  <si>
    <t>tca</t>
  </si>
  <si>
    <t>Tupanaarü Ore i Tórü Cori ya Ngechuchu ya Cristuchiga</t>
  </si>
  <si>
    <t>5211959f924acd0f</t>
  </si>
  <si>
    <t>Umbu-Ungu, Andelale</t>
  </si>
  <si>
    <t>ubu</t>
  </si>
  <si>
    <t>Pulu Yemonga Ungu Kondemo</t>
  </si>
  <si>
    <t>52301a7c10ce2f59</t>
  </si>
  <si>
    <t>Mape</t>
  </si>
  <si>
    <t>mlh</t>
  </si>
  <si>
    <t>New Testament in Mape</t>
  </si>
  <si>
    <t>52fd6d389373d675</t>
  </si>
  <si>
    <t>Bimoba</t>
  </si>
  <si>
    <t>bim</t>
  </si>
  <si>
    <t>The Bible in Bimoba (Ghana)</t>
  </si>
  <si>
    <t>ebcffc72103e5c5f</t>
  </si>
  <si>
    <t>Ganda</t>
  </si>
  <si>
    <t>lug</t>
  </si>
  <si>
    <t>Luganda Bible 1968 Edition</t>
  </si>
  <si>
    <t>ec46bbfa141b767f</t>
  </si>
  <si>
    <t>Sango</t>
  </si>
  <si>
    <t>sag</t>
  </si>
  <si>
    <t>Central African Republic</t>
  </si>
  <si>
    <t>La Bible en Sango courant</t>
  </si>
  <si>
    <t>ecf45c8fd9cd9b4c</t>
  </si>
  <si>
    <t>Migabac</t>
  </si>
  <si>
    <t>mpp</t>
  </si>
  <si>
    <t>Migbac NT Portions</t>
  </si>
  <si>
    <t>ede3d2abf8a9ad28</t>
  </si>
  <si>
    <t>Pichis Ashéninka</t>
  </si>
  <si>
    <t>cpu</t>
  </si>
  <si>
    <t>KAMEETHARI ÑAANTSI: Iñaaventaitzirira Avinkatharite Jesucristo</t>
  </si>
  <si>
    <t>edf5d16f1a1a6209</t>
  </si>
  <si>
    <t>Sio</t>
  </si>
  <si>
    <t>xsi</t>
  </si>
  <si>
    <t>ee31843f596a9302</t>
  </si>
  <si>
    <t>Hebrew</t>
  </si>
  <si>
    <t>heb</t>
  </si>
  <si>
    <t>Israel</t>
  </si>
  <si>
    <t>Modern Hebrew New Testament</t>
  </si>
  <si>
    <t>ee56460be19230b5</t>
  </si>
  <si>
    <t>Kimré</t>
  </si>
  <si>
    <t>kqp</t>
  </si>
  <si>
    <t>New Testament in Kimré</t>
  </si>
  <si>
    <t>ef16f515a091f55b</t>
  </si>
  <si>
    <t>Baltic Romani</t>
  </si>
  <si>
    <t>rml</t>
  </si>
  <si>
    <t>Latvia</t>
  </si>
  <si>
    <t>Gospel of John in Lettish Romani 1933</t>
  </si>
  <si>
    <t>ef2ec9d0100f1129</t>
  </si>
  <si>
    <t>Nande</t>
  </si>
  <si>
    <t>nnb</t>
  </si>
  <si>
    <t>Kinandi Bible 1980</t>
  </si>
  <si>
    <t>efa1237b86c0bf7e</t>
  </si>
  <si>
    <t>Moyon Naga</t>
  </si>
  <si>
    <t>nmo</t>
  </si>
  <si>
    <t>Moyon Naga New Testament (BSI)</t>
  </si>
  <si>
    <t>effed64409897793</t>
  </si>
  <si>
    <t>Fanamaket</t>
  </si>
  <si>
    <t>bjp</t>
  </si>
  <si>
    <t>Tangga NT</t>
  </si>
  <si>
    <t>f082abd265a64adf</t>
  </si>
  <si>
    <t>Karbi</t>
  </si>
  <si>
    <t>mjw</t>
  </si>
  <si>
    <t>Karbi Holy Bible (BSI)</t>
  </si>
  <si>
    <t>530a0d3eed9af741</t>
  </si>
  <si>
    <t>Nii</t>
  </si>
  <si>
    <t>nii</t>
  </si>
  <si>
    <t>New Testament in Nii</t>
  </si>
  <si>
    <t>53b04f4df1f82934</t>
  </si>
  <si>
    <t>Gheg Albanian</t>
  </si>
  <si>
    <t>aln</t>
  </si>
  <si>
    <t>Albania</t>
  </si>
  <si>
    <t>Albanian Gheg New Testament Konstandin Kristoforidhi 1872</t>
  </si>
  <si>
    <t>f117ccc000be0fc2</t>
  </si>
  <si>
    <t>Sango Bible 1966</t>
  </si>
  <si>
    <t>53e15f60debb25f5</t>
  </si>
  <si>
    <t>Penan</t>
  </si>
  <si>
    <t>pne</t>
  </si>
  <si>
    <t>f187d7f7786a7cd1</t>
  </si>
  <si>
    <t>Garifuna</t>
  </si>
  <si>
    <t>cab</t>
  </si>
  <si>
    <t>Honduras</t>
  </si>
  <si>
    <t>Biblia en Garífuna</t>
  </si>
  <si>
    <t>f1b4d233684ac6b7</t>
  </si>
  <si>
    <t>Pennsylvania German</t>
  </si>
  <si>
    <t>pdc</t>
  </si>
  <si>
    <t>Pennsylvania Dutch Bible</t>
  </si>
  <si>
    <t>f1e7561126851850</t>
  </si>
  <si>
    <t>Khassonké</t>
  </si>
  <si>
    <t>kao</t>
  </si>
  <si>
    <t>Khassonke New Testament</t>
  </si>
  <si>
    <t>f206c1e04f866b3e</t>
  </si>
  <si>
    <t>Tangkhul Naga (India)</t>
  </si>
  <si>
    <t>nmf</t>
  </si>
  <si>
    <t>Tangkhul Naga Bible (BSI)</t>
  </si>
  <si>
    <t>f36594ae498252b4</t>
  </si>
  <si>
    <t>Sinaugoro</t>
  </si>
  <si>
    <t>snc</t>
  </si>
  <si>
    <t>New Testament in Sinaugoro</t>
  </si>
  <si>
    <t>f370b3da13dad173</t>
  </si>
  <si>
    <t>Bulgaria</t>
  </si>
  <si>
    <t>Romani Gurbeti-Arlija Gospel of Luke 1912 (Bulgaria)</t>
  </si>
  <si>
    <t>f38114e2c13945c3</t>
  </si>
  <si>
    <t>Kenga</t>
  </si>
  <si>
    <t>kyq</t>
  </si>
  <si>
    <t>NT in Kenga</t>
  </si>
  <si>
    <t>f3c97d897c9f36e8</t>
  </si>
  <si>
    <t>Muyuw</t>
  </si>
  <si>
    <t>myw</t>
  </si>
  <si>
    <t>The New Testament in Muyuw</t>
  </si>
  <si>
    <t>f4130c32a476f720</t>
  </si>
  <si>
    <t>Falam Chin</t>
  </si>
  <si>
    <t>cfm</t>
  </si>
  <si>
    <t>Falam Common Language Bible</t>
  </si>
  <si>
    <t>f42c8a7b7de98849</t>
  </si>
  <si>
    <t>Mian</t>
  </si>
  <si>
    <t>mpt</t>
  </si>
  <si>
    <t>Gode Dowan Wengobe</t>
  </si>
  <si>
    <t>faa224d7ea8141fc</t>
  </si>
  <si>
    <t>Ancient Greek (to 1453)</t>
  </si>
  <si>
    <t>Nestle-Aland 28</t>
  </si>
  <si>
    <t>54f5d36e29a48eaf</t>
  </si>
  <si>
    <t>Southwest Gbaya</t>
  </si>
  <si>
    <t>gso</t>
  </si>
  <si>
    <t>Gbaya South West</t>
  </si>
  <si>
    <t>55655f2fa526d9bf</t>
  </si>
  <si>
    <t>Odoodee</t>
  </si>
  <si>
    <t>kkc</t>
  </si>
  <si>
    <t>Odoodee Scripture Portions</t>
  </si>
  <si>
    <t>557a279911ff808a</t>
  </si>
  <si>
    <t>Wik-Mungkan</t>
  </si>
  <si>
    <t>wim</t>
  </si>
  <si>
    <t>Wik-Mungkan NT</t>
  </si>
  <si>
    <t>55aaa447e47d3ca1</t>
  </si>
  <si>
    <t>Miskito</t>
  </si>
  <si>
    <t>miq</t>
  </si>
  <si>
    <t>Nicaragua</t>
  </si>
  <si>
    <t>Miskitu Bible</t>
  </si>
  <si>
    <t>b7a4c822da56da3c</t>
  </si>
  <si>
    <t>Telefol</t>
  </si>
  <si>
    <t>tlf</t>
  </si>
  <si>
    <t>God Imi Weng</t>
  </si>
  <si>
    <t>b7a56acb45706acb</t>
  </si>
  <si>
    <t>Yoruba</t>
  </si>
  <si>
    <t>yor</t>
  </si>
  <si>
    <t>The Holy Bible in Yoruba</t>
  </si>
  <si>
    <t>b8fac4cb3083f770</t>
  </si>
  <si>
    <t>Kalam Baybol Buk gor minim nuk kisen angayak</t>
  </si>
  <si>
    <t>b9a1d7a938c0960c</t>
  </si>
  <si>
    <t>Kaluli</t>
  </si>
  <si>
    <t>bco</t>
  </si>
  <si>
    <t>Kaluli New Testament</t>
  </si>
  <si>
    <t>f4d5cb18d83ce90c</t>
  </si>
  <si>
    <t>Georgian</t>
  </si>
  <si>
    <t>kat</t>
  </si>
  <si>
    <t>Georgia</t>
  </si>
  <si>
    <t>Bible with DC</t>
  </si>
  <si>
    <t>1464eab872541552</t>
  </si>
  <si>
    <t>Siyin Chin</t>
  </si>
  <si>
    <t>csy</t>
  </si>
  <si>
    <t>Siyin Chin Bible</t>
  </si>
  <si>
    <t>9f2dd6de8ed16764</t>
  </si>
  <si>
    <t>Taita</t>
  </si>
  <si>
    <t>dav</t>
  </si>
  <si>
    <t>Taita Bible 1997</t>
  </si>
  <si>
    <t>56b8e6e6b02c5e89</t>
  </si>
  <si>
    <t>Tase Naga</t>
  </si>
  <si>
    <t>nst</t>
  </si>
  <si>
    <t>Tangsa Naga Bible (BSI)</t>
  </si>
  <si>
    <t>f592539b819e3c40</t>
  </si>
  <si>
    <t>Southern Toussian</t>
  </si>
  <si>
    <t>wib</t>
  </si>
  <si>
    <t>Nouveau Testament en toussian</t>
  </si>
  <si>
    <t>f60f6098ed372b51</t>
  </si>
  <si>
    <t>Guinea Kpelle</t>
  </si>
  <si>
    <t>gkp</t>
  </si>
  <si>
    <t>La Bible en Kpèlèè</t>
  </si>
  <si>
    <t>f6b5c4f8273c1aee</t>
  </si>
  <si>
    <t>Biete</t>
  </si>
  <si>
    <t>biu</t>
  </si>
  <si>
    <t>Biate Bible (Re-Edited) (BSI)</t>
  </si>
  <si>
    <t>f8930f5c215d1607</t>
  </si>
  <si>
    <t>Efik</t>
  </si>
  <si>
    <t>efi</t>
  </si>
  <si>
    <t>Efik Old Bible</t>
  </si>
  <si>
    <t>f8f54202645f6861</t>
  </si>
  <si>
    <t>Tawallammat Tamajaq</t>
  </si>
  <si>
    <t>ttq</t>
  </si>
  <si>
    <t>Niger</t>
  </si>
  <si>
    <t>Le Nouveau Testament en tamajaq tawallammat, écriture shifinagh</t>
  </si>
  <si>
    <t>fa4ee8922a97f8f5</t>
  </si>
  <si>
    <t>Lala (ichi-)</t>
  </si>
  <si>
    <t>leb</t>
  </si>
  <si>
    <t>Lala New Testament</t>
  </si>
  <si>
    <t>fa53fbc157a012a1</t>
  </si>
  <si>
    <t>Lerérun Búngiu To Lánina Iséri Darádu</t>
  </si>
  <si>
    <t>fa7ab4b5487afa8a</t>
  </si>
  <si>
    <t>Anjam</t>
  </si>
  <si>
    <t>boj</t>
  </si>
  <si>
    <t>Yesus Aqa Anjam Bole</t>
  </si>
  <si>
    <t>fa88c8b8d6caf5e8</t>
  </si>
  <si>
    <t>Label</t>
  </si>
  <si>
    <t>lbb</t>
  </si>
  <si>
    <t>faffff7e61b14475</t>
  </si>
  <si>
    <t>Wedau</t>
  </si>
  <si>
    <t>wed</t>
  </si>
  <si>
    <t>Wedau Mark</t>
  </si>
  <si>
    <t>fb2c2b8257ebc32c</t>
  </si>
  <si>
    <t>Piapoco</t>
  </si>
  <si>
    <t>pio</t>
  </si>
  <si>
    <t>El Nuevo Testamento de nuestro Señor Jesucristo en el idioma piapoco</t>
  </si>
  <si>
    <t>fb8475ebff44d58a</t>
  </si>
  <si>
    <t>Mandarin Chinese</t>
  </si>
  <si>
    <t>cmn</t>
  </si>
  <si>
    <t>The Four Gospels – Interconfessional Version (2015)</t>
  </si>
  <si>
    <t>fbdb2845672f2e78</t>
  </si>
  <si>
    <t>Americas Area</t>
  </si>
  <si>
    <t>Biblia del Oso 1573</t>
  </si>
  <si>
    <t>fcfe87d2e2f069c7</t>
  </si>
  <si>
    <t>Hmong Daw</t>
  </si>
  <si>
    <t>mww</t>
  </si>
  <si>
    <t>Laos</t>
  </si>
  <si>
    <t>The Holy Bible - White Hmong Standard Version (2004)</t>
  </si>
  <si>
    <t>fd45de398eaa62e4</t>
  </si>
  <si>
    <t>Tucano</t>
  </si>
  <si>
    <t>tuo</t>
  </si>
  <si>
    <t>Õ&amp;#x27;âkĩ̶ hɨ yeere uúkũri turi Tukano</t>
  </si>
  <si>
    <t>fd962c050324dd30</t>
  </si>
  <si>
    <t>Tanna, Southwest</t>
  </si>
  <si>
    <t>nwi</t>
  </si>
  <si>
    <t>Nəkwəkwə imərhakə kape kughen: nɨrpenien vi</t>
  </si>
  <si>
    <t>fdeb071778bd3428</t>
  </si>
  <si>
    <t>KƗLӘ-MƗNDƗ KƗ SƗGƗ</t>
  </si>
  <si>
    <t>fe16539b4cc18330</t>
  </si>
  <si>
    <t>Baba Malay</t>
  </si>
  <si>
    <t>mbf</t>
  </si>
  <si>
    <t>Singapore</t>
  </si>
  <si>
    <t>Perjanjian Bharu</t>
  </si>
  <si>
    <t>ff0de9086fc6f4a5</t>
  </si>
  <si>
    <t>Songe</t>
  </si>
  <si>
    <t>sop</t>
  </si>
  <si>
    <t>Nouveau Testament en Luba-Kalebwe 1952</t>
  </si>
  <si>
    <t>ff5b3a9744c3c50b</t>
  </si>
  <si>
    <t>Aimol</t>
  </si>
  <si>
    <t>aim</t>
  </si>
  <si>
    <t>Aimol New Testament (Re-edited) (BSI)</t>
  </si>
  <si>
    <t>ff9d66b11afd0ee1</t>
  </si>
  <si>
    <t>Binumarien</t>
  </si>
  <si>
    <t>bjr</t>
  </si>
  <si>
    <t>Fúka Moodaanaki Kira Ufa Afaqínaasa Ufa</t>
  </si>
  <si>
    <t>ffef1d33ef42e824</t>
  </si>
  <si>
    <t>Moro</t>
  </si>
  <si>
    <t>mor</t>
  </si>
  <si>
    <t>Sudan</t>
  </si>
  <si>
    <t>Nuba Moro New Testament 1993</t>
  </si>
  <si>
    <t>ef63a1b9522ec604</t>
  </si>
  <si>
    <t>mri</t>
  </si>
  <si>
    <t>New Zealand</t>
  </si>
  <si>
    <t>Maori Bible Revised Format</t>
  </si>
  <si>
    <t>963fbbc15c8cd2cd</t>
  </si>
  <si>
    <t>Habrit Hakhadasha/Haderekh “The Way” (Hebrew Living NT)</t>
  </si>
  <si>
    <t>587ce319d6700dfd</t>
  </si>
  <si>
    <t>Lushai</t>
  </si>
  <si>
    <t>lus</t>
  </si>
  <si>
    <t>Mizo C.L. (Lushai) Bible (BSI)</t>
  </si>
  <si>
    <t>ceb4a25889355797</t>
  </si>
  <si>
    <t>Hawa Naga Bible</t>
  </si>
  <si>
    <t>68b3940198168697</t>
  </si>
  <si>
    <t>Korean</t>
  </si>
  <si>
    <t>kor</t>
  </si>
  <si>
    <t>South Korea</t>
  </si>
  <si>
    <t>New Korean Revised Version</t>
  </si>
  <si>
    <t>39739f1a7dcfe810</t>
  </si>
  <si>
    <t>ceb</t>
  </si>
  <si>
    <t>Cebuano Contemporary Bible (Ang Pulong sa Dios)</t>
  </si>
  <si>
    <t>2c520f50d52489f1</t>
  </si>
  <si>
    <t>isl</t>
  </si>
  <si>
    <t>Iceland</t>
  </si>
  <si>
    <t>Biblián Heilög Ritning</t>
  </si>
  <si>
    <t>2880c78491b2f8ce</t>
  </si>
  <si>
    <t>DBL Test Version with DC</t>
  </si>
  <si>
    <t>e649ac99d195c40d</t>
  </si>
  <si>
    <t>Scots Gaelic</t>
  </si>
  <si>
    <t>gla</t>
  </si>
  <si>
    <t>Scotland</t>
  </si>
  <si>
    <t>Gospel of Mark 1980 in Today&amp;#x27;s Gaelic Version (TGV)</t>
  </si>
  <si>
    <t>fdb480d858e14ced</t>
  </si>
  <si>
    <t>Het Boek (The Book)</t>
  </si>
  <si>
    <t>1682054c2c815cb0</t>
  </si>
  <si>
    <t>Hong Kong</t>
  </si>
  <si>
    <t>Lu Chen-Chung 2018</t>
  </si>
  <si>
    <t>5a893b91fef690b2</t>
  </si>
  <si>
    <t>Gwahatike</t>
  </si>
  <si>
    <t>dah</t>
  </si>
  <si>
    <t>Al Kuruŋyen Mere Igiŋ</t>
  </si>
  <si>
    <t>fc606c9b3b3a5dfd</t>
  </si>
  <si>
    <t>Mano</t>
  </si>
  <si>
    <t>mev</t>
  </si>
  <si>
    <t>Liberia</t>
  </si>
  <si>
    <t>Mann Holy Bible</t>
  </si>
  <si>
    <t>9585f82ba3f0a1a5</t>
  </si>
  <si>
    <t>Tumbuka</t>
  </si>
  <si>
    <t>tum</t>
  </si>
  <si>
    <t>Tumbuka Bible (Mazgu ɣa Ciuta) Version 1987</t>
  </si>
  <si>
    <t>f162be7554f3b482</t>
  </si>
  <si>
    <t>Hun-Saare</t>
  </si>
  <si>
    <t>dud</t>
  </si>
  <si>
    <t>ut-Hun New Testament</t>
  </si>
  <si>
    <t>5aad8e5ca3501a42</t>
  </si>
  <si>
    <t>Denya</t>
  </si>
  <si>
    <t>anv</t>
  </si>
  <si>
    <t>Ŋwɛ menomenyɛɛ́ mekɛ́</t>
  </si>
  <si>
    <t>7a29e1242c9ee60d</t>
  </si>
  <si>
    <t>Young&amp;#x27;s Literal Translation 3rd Revised Edition 1898</t>
  </si>
  <si>
    <t>2048238eee3592f8</t>
  </si>
  <si>
    <t>Latin</t>
  </si>
  <si>
    <t>lat</t>
  </si>
  <si>
    <t>Latin: Biblia Sacra Vulgata 1983</t>
  </si>
  <si>
    <t>cd05ba05c49702d3</t>
  </si>
  <si>
    <t>Lautu Chin</t>
  </si>
  <si>
    <t>clt</t>
  </si>
  <si>
    <t>New Testament in Chin Lautu</t>
  </si>
  <si>
    <t>e959e47176271f18</t>
  </si>
  <si>
    <t>Korea, Republic of</t>
  </si>
  <si>
    <t>Korean Living Bible (현대인의 성경)</t>
  </si>
  <si>
    <t>361230230363baec</t>
  </si>
  <si>
    <t>New Serbian Translation (NSP)</t>
  </si>
  <si>
    <t>5b02e5f5891d201f</t>
  </si>
  <si>
    <t>Kamasau</t>
  </si>
  <si>
    <t>kms</t>
  </si>
  <si>
    <t>The New Testament in Kamasau</t>
  </si>
  <si>
    <t>5b07998818b610cb</t>
  </si>
  <si>
    <t>Kuku Yalanji</t>
  </si>
  <si>
    <t>gvn</t>
  </si>
  <si>
    <t>Kuku Yalanji Bible</t>
  </si>
  <si>
    <t>5b459ab6febf2fd1</t>
  </si>
  <si>
    <t>Yimchungru Naga</t>
  </si>
  <si>
    <t>yim</t>
  </si>
  <si>
    <t>Yimchungru Naga CL Bible (BSI)</t>
  </si>
  <si>
    <t>5b4fe9f370613a61</t>
  </si>
  <si>
    <t>Kube</t>
  </si>
  <si>
    <t>kgf</t>
  </si>
  <si>
    <t>Kube NT + Psalms</t>
  </si>
  <si>
    <t>5c0f37846329399c</t>
  </si>
  <si>
    <t>Selepet</t>
  </si>
  <si>
    <t>spl</t>
  </si>
  <si>
    <t>Yeshuât Den Pat Âlepŋe</t>
  </si>
  <si>
    <t>1478d85a54261302</t>
  </si>
  <si>
    <t>Danish</t>
  </si>
  <si>
    <t>dan</t>
  </si>
  <si>
    <t>Denmark</t>
  </si>
  <si>
    <t>Danish Bible Standard Version</t>
  </si>
  <si>
    <t>d7794536459724a8</t>
  </si>
  <si>
    <t>Kannada Jevoha Version Bible (BSI)</t>
  </si>
  <si>
    <t>5b3f1d8e7e48cc4f</t>
  </si>
  <si>
    <t>twi</t>
  </si>
  <si>
    <t>Asante Twi Bible Revision Bible</t>
  </si>
  <si>
    <t>02b5a9eaf9f3cac6</t>
  </si>
  <si>
    <t>Central Bikol</t>
  </si>
  <si>
    <t>bcl</t>
  </si>
  <si>
    <t>Bikol Meaning-Based Bible: Marahay na Bareta Biblia 1992 - Mother File</t>
  </si>
  <si>
    <t>1e83167e4147c613</t>
  </si>
  <si>
    <t>Nyakyusa-Ngonde</t>
  </si>
  <si>
    <t>nyy</t>
  </si>
  <si>
    <t>Nyakyusa Ngonde New Testament (Ulwitikano Ulupya) 1966</t>
  </si>
  <si>
    <t>d6ad1defd100c8ce</t>
  </si>
  <si>
    <t>Eastern Karaboro</t>
  </si>
  <si>
    <t>xrb</t>
  </si>
  <si>
    <t>Karaboro NT of Burkina Faso</t>
  </si>
  <si>
    <t>0c58aad1794dc647</t>
  </si>
  <si>
    <t>Babanki</t>
  </si>
  <si>
    <t>bbk</t>
  </si>
  <si>
    <t>Babanki NT</t>
  </si>
  <si>
    <t>e24841fc6ee84fe0</t>
  </si>
  <si>
    <t>Den Nye Aftale – Det Nye Testamente på nudansk</t>
  </si>
  <si>
    <t>5d0ad184487035d9</t>
  </si>
  <si>
    <t>Ramoaaina</t>
  </si>
  <si>
    <t>rai</t>
  </si>
  <si>
    <t>Buk Taabu Matakin</t>
  </si>
  <si>
    <t>5d2e19b1b345456a</t>
  </si>
  <si>
    <t>Northern Kissi</t>
  </si>
  <si>
    <t>kqs</t>
  </si>
  <si>
    <t>La Bible en kisiei</t>
  </si>
  <si>
    <t>5d51f31db3568268</t>
  </si>
  <si>
    <t>Bafia</t>
  </si>
  <si>
    <t>ksf</t>
  </si>
  <si>
    <t>Bafia New Testament</t>
  </si>
  <si>
    <t>5d7dc1eff15fa51e</t>
  </si>
  <si>
    <t>Guarayu</t>
  </si>
  <si>
    <t>gyr</t>
  </si>
  <si>
    <t>5e218a0fc5db6875</t>
  </si>
  <si>
    <t>Doromu-Koki</t>
  </si>
  <si>
    <t>kqc</t>
  </si>
  <si>
    <t>Doromu-Koki Bible</t>
  </si>
  <si>
    <t>94b11e1e18ddca36</t>
  </si>
  <si>
    <t>Inuinnaqtun</t>
  </si>
  <si>
    <t>ikt</t>
  </si>
  <si>
    <t>Inuinnaqtun Bible</t>
  </si>
  <si>
    <t>5ed5ad6997340af2</t>
  </si>
  <si>
    <t>Nkonya</t>
  </si>
  <si>
    <t>nko</t>
  </si>
  <si>
    <t>Bulu ntam pɔpwɛ; Nkonya</t>
  </si>
  <si>
    <t>a0eead58359eebd2</t>
  </si>
  <si>
    <t>Parole de Vie 2017</t>
  </si>
  <si>
    <t>899087b6b2dac460</t>
  </si>
  <si>
    <t>Paite Chin</t>
  </si>
  <si>
    <t>pck</t>
  </si>
  <si>
    <t>Paite OV (Re-edited) Bible - BSI</t>
  </si>
  <si>
    <t>91f8949f7dcf0585</t>
  </si>
  <si>
    <t>Molsom New Testament - BSI</t>
  </si>
  <si>
    <t>0f38fd5da9d586dc</t>
  </si>
  <si>
    <t>76bc3a962669e6a4</t>
  </si>
  <si>
    <t>French Guiana</t>
  </si>
  <si>
    <t>La Bible Segond 21</t>
  </si>
  <si>
    <t>5f6b896f1c83b362</t>
  </si>
  <si>
    <t>Kuna, San Blas</t>
  </si>
  <si>
    <t>cuk</t>
  </si>
  <si>
    <t>Bab dummad Jesucristoba igar mesisad garda</t>
  </si>
  <si>
    <t>5f74f096be578a6b</t>
  </si>
  <si>
    <t>Quichua, Salasaca Highland</t>
  </si>
  <si>
    <t>qxl</t>
  </si>
  <si>
    <t>Ecuador</t>
  </si>
  <si>
    <t>El Nuevo Testamento en Quechua, Salasaca Highland</t>
  </si>
  <si>
    <t>ce3c03e514e5cd89</t>
  </si>
  <si>
    <t>Monsang Naga</t>
  </si>
  <si>
    <t>nmh</t>
  </si>
  <si>
    <t>Monsang Naga NT - BSI</t>
  </si>
  <si>
    <t>699b9e6b33aa2329</t>
  </si>
  <si>
    <t>nuBibeln (Swedish Contemporary Bible)</t>
  </si>
  <si>
    <t>524b0f0a4457738d</t>
  </si>
  <si>
    <t>Français courant 97 final version</t>
  </si>
  <si>
    <t>5fa891587445e9d4</t>
  </si>
  <si>
    <t>Nali</t>
  </si>
  <si>
    <t>nss</t>
  </si>
  <si>
    <t>5feee0321ad67d9e</t>
  </si>
  <si>
    <t>Albanian Geg Psalms Konstandin Kristoforidhi 1872</t>
  </si>
  <si>
    <t>246fadbadcb1e783</t>
  </si>
  <si>
    <t>Simte</t>
  </si>
  <si>
    <t>smt</t>
  </si>
  <si>
    <t>Simte New Testament - BSI</t>
  </si>
  <si>
    <t>f2d1225ca6b872c6</t>
  </si>
  <si>
    <t>Thangal Naga</t>
  </si>
  <si>
    <t>nki</t>
  </si>
  <si>
    <t>Thangkhal NT - BSI</t>
  </si>
  <si>
    <t>05a948b5ec68ea1b</t>
  </si>
  <si>
    <t>Kwara&amp;#x27;ae</t>
  </si>
  <si>
    <t>kwf</t>
  </si>
  <si>
    <t>Kwara&amp;#x27;ae New Testament [kwf] Solomon Islands publication snapshot</t>
  </si>
  <si>
    <t>6b4cafa423208e08</t>
  </si>
  <si>
    <t>Wala</t>
  </si>
  <si>
    <t>lgl</t>
  </si>
  <si>
    <t>Wala New Testament [lgl] Solomon Islands publication snapshot</t>
  </si>
  <si>
    <t>5c2399b2db07c98c</t>
  </si>
  <si>
    <t>English: Revised English Bible UK 1989</t>
  </si>
  <si>
    <t>8e1af7eb1788afde</t>
  </si>
  <si>
    <t>Roviana</t>
  </si>
  <si>
    <t>rug</t>
  </si>
  <si>
    <t>Roviana Bible [rug] Solomon Islands</t>
  </si>
  <si>
    <t>ebdf80c0c43363ab</t>
  </si>
  <si>
    <t>Biblia de estudio esquematizada</t>
  </si>
  <si>
    <t>59dd4d6a50e84fa3</t>
  </si>
  <si>
    <t>Literary Chinese</t>
  </si>
  <si>
    <t>lzh</t>
  </si>
  <si>
    <t>Griffith JOHN, Wenli NT (1886) 楊格非文理《新約全書》</t>
  </si>
  <si>
    <t>1667d18d408b5caf</t>
  </si>
  <si>
    <t>Griffith JOHN, Mandarin NT (1892) 楊格非官話《新約全書》</t>
  </si>
  <si>
    <t>e411905ce99fcb59</t>
  </si>
  <si>
    <t>Eastern Khumi Chin</t>
  </si>
  <si>
    <t>cek</t>
  </si>
  <si>
    <t>The New Testament in the Lemi Chin Language</t>
  </si>
  <si>
    <t>6037803ed5dd19ba</t>
  </si>
  <si>
    <t>Lote</t>
  </si>
  <si>
    <t>uvl</t>
  </si>
  <si>
    <t>Tomunga Hel Heueu Ngana</t>
  </si>
  <si>
    <t>609d35c1ad8f5c52</t>
  </si>
  <si>
    <t>Tuwuli</t>
  </si>
  <si>
    <t>bov</t>
  </si>
  <si>
    <t>The New Testament the Tuwuli language (Ghana)</t>
  </si>
  <si>
    <t>270a3ec35df7ab70</t>
  </si>
  <si>
    <t>Ayacucho Quechua</t>
  </si>
  <si>
    <t>quy</t>
  </si>
  <si>
    <t>Chuya Qellqa - La Biblia en Quechua de Ayacucho 2012</t>
  </si>
  <si>
    <t>f1358a170d76f24f</t>
  </si>
  <si>
    <t>Sanskrit New Testament - BSI</t>
  </si>
  <si>
    <t>a25eae5b5f7fee0f</t>
  </si>
  <si>
    <t>Highland Totonac</t>
  </si>
  <si>
    <t>tos</t>
  </si>
  <si>
    <t>Mexico</t>
  </si>
  <si>
    <t>Hua̱ xasa̱sti talacca̱xlan quinTla̱tican Jesucristo</t>
  </si>
  <si>
    <t>60e5971313e0723a</t>
  </si>
  <si>
    <t>Siane</t>
  </si>
  <si>
    <t>snp</t>
  </si>
  <si>
    <t>Goti Ukuwala Hala</t>
  </si>
  <si>
    <t>473fd6c86c78f92d</t>
  </si>
  <si>
    <t>Yala</t>
  </si>
  <si>
    <t>yba</t>
  </si>
  <si>
    <t>Yala New Testament</t>
  </si>
  <si>
    <t>610cf4f1d5aa4029</t>
  </si>
  <si>
    <t>Ese</t>
  </si>
  <si>
    <t>mcq</t>
  </si>
  <si>
    <t>Godoni vuʼa maiuʼina</t>
  </si>
  <si>
    <t>1668c350ff10d9c7</t>
  </si>
  <si>
    <t>hil</t>
  </si>
  <si>
    <t>Hiligaynon Meaning-Based Bible: Maayong Balita nga Biblia (2012)</t>
  </si>
  <si>
    <t>0497dd05f576e9c6</t>
  </si>
  <si>
    <t>Waray (Philippines)</t>
  </si>
  <si>
    <t>war</t>
  </si>
  <si>
    <t>Samarenyo Meaning-Based Bible: Baraan nga Biblia (1984)</t>
  </si>
  <si>
    <t>6143d8c5bae3a41f</t>
  </si>
  <si>
    <t>Kombio</t>
  </si>
  <si>
    <t>xbi</t>
  </si>
  <si>
    <t>Kombio Portions</t>
  </si>
  <si>
    <t>7644e4ab6e4c2101</t>
  </si>
  <si>
    <t>tgl</t>
  </si>
  <si>
    <t>Tagalog Meaning-Based Bible: Magandang Balita Biblia (2012)</t>
  </si>
  <si>
    <t>38387c25c5050abc</t>
  </si>
  <si>
    <t>Garo</t>
  </si>
  <si>
    <t>grt</t>
  </si>
  <si>
    <t>Bangladesh</t>
  </si>
  <si>
    <t>Garo Abeng Bible (NT)</t>
  </si>
  <si>
    <t>d77449e8a471c0c9</t>
  </si>
  <si>
    <t>Mussulmani-Bangla, Kitabul Mukkados</t>
  </si>
  <si>
    <t>e1592fe262f26754</t>
  </si>
  <si>
    <t>New Living Bible (Nueva Biblia Viva)</t>
  </si>
  <si>
    <t>616296e8e170ebc1</t>
  </si>
  <si>
    <t>Kreol: Mauritien</t>
  </si>
  <si>
    <t>mfe</t>
  </si>
  <si>
    <t>Mauritius</t>
  </si>
  <si>
    <t>Mauritian Kreol New Testament</t>
  </si>
  <si>
    <t>3394ed13ade34fbc</t>
  </si>
  <si>
    <t>Anal</t>
  </si>
  <si>
    <t>anm</t>
  </si>
  <si>
    <t>Anal (Pakan) Naga CL Bible - BSI</t>
  </si>
  <si>
    <t>fd5611d2910878bc</t>
  </si>
  <si>
    <t>Santali</t>
  </si>
  <si>
    <t>sat</t>
  </si>
  <si>
    <t>Santali Common Language New Testament</t>
  </si>
  <si>
    <t>61cb9ab58510baff</t>
  </si>
  <si>
    <t>Kaba</t>
  </si>
  <si>
    <t>ksp</t>
  </si>
  <si>
    <t>Congo</t>
  </si>
  <si>
    <t>Kaba Bible</t>
  </si>
  <si>
    <t>142e0e7feb6616a6</t>
  </si>
  <si>
    <t>Biblia de Estudio Guía Poder Sabiduría</t>
  </si>
  <si>
    <t>59b9fa377b341097</t>
  </si>
  <si>
    <t>Bawm Chin</t>
  </si>
  <si>
    <t>bgr</t>
  </si>
  <si>
    <t>Bawm Common Language Bible Version</t>
  </si>
  <si>
    <t>6248d0474704fe95</t>
  </si>
  <si>
    <t>Faiwol NT</t>
  </si>
  <si>
    <t>debeca57efd19bc2</t>
  </si>
  <si>
    <t>Tarao Naga</t>
  </si>
  <si>
    <t>tro</t>
  </si>
  <si>
    <t>Tarao NT - BSI</t>
  </si>
  <si>
    <t>529f7029e63d75e1</t>
  </si>
  <si>
    <t>Luba-Lulua</t>
  </si>
  <si>
    <t>lua</t>
  </si>
  <si>
    <t>Congo, the Democratic Republic of the</t>
  </si>
  <si>
    <t>Bible avec Livres Deutérocanoniques en Tshiluba Version 1996 (Mukanda wa mvidi Mukulu)</t>
  </si>
  <si>
    <t>aeb99463c03f4577</t>
  </si>
  <si>
    <t>swh</t>
  </si>
  <si>
    <t>Kiswahili Contemporary Scriptures (Neno: Maandiko Matakatifu)</t>
  </si>
  <si>
    <t>624ab6be442c0806</t>
  </si>
  <si>
    <t>Choctaw</t>
  </si>
  <si>
    <t>cho</t>
  </si>
  <si>
    <t>Jesus Isht Anno̱pa Mark i̱ Holisso, Genesis</t>
  </si>
  <si>
    <t>6f11b47e2c044902</t>
  </si>
  <si>
    <t>North Azerbaijani</t>
  </si>
  <si>
    <t>azj</t>
  </si>
  <si>
    <t>Azerbaijan</t>
  </si>
  <si>
    <t>Azeri: Northern Azeri Bible 2009</t>
  </si>
  <si>
    <t>62a98cab32d3a606</t>
  </si>
  <si>
    <t>Suena</t>
  </si>
  <si>
    <t>sue</t>
  </si>
  <si>
    <t>New Testament in Suena</t>
  </si>
  <si>
    <t>a7cb6d848b49168f</t>
  </si>
  <si>
    <t>Kalabari</t>
  </si>
  <si>
    <t>ijn</t>
  </si>
  <si>
    <t>KALABARI BIBLE TRANSLATION PROJECT</t>
  </si>
  <si>
    <t>1a340f5ae072b2f4</t>
  </si>
  <si>
    <t>Zotung Chin</t>
  </si>
  <si>
    <t>czt</t>
  </si>
  <si>
    <t>Zotung Bible</t>
  </si>
  <si>
    <t>1ed8190a624c71e1</t>
  </si>
  <si>
    <t>Bari</t>
  </si>
  <si>
    <t>bfa</t>
  </si>
  <si>
    <t>BARI BIBLE 1979</t>
  </si>
  <si>
    <t>ed802e8d7ea795a1</t>
  </si>
  <si>
    <t>Pangasinan</t>
  </si>
  <si>
    <t>pag</t>
  </si>
  <si>
    <t>Pangasinan Meaning-Based Bible: Maung a Balita Biblia (1983)</t>
  </si>
  <si>
    <t>778401047597ce5a</t>
  </si>
  <si>
    <t>Menge-Bibel</t>
  </si>
  <si>
    <t>f9af105ac9dfff5d</t>
  </si>
  <si>
    <t>Romanian Cornilescu Literal Translation 1931</t>
  </si>
  <si>
    <t>340662ffaaab18a0</t>
  </si>
  <si>
    <t>Hmar</t>
  </si>
  <si>
    <t>hmr</t>
  </si>
  <si>
    <t>Hmar CL Bible - BSI</t>
  </si>
  <si>
    <t>43ef3e296de94444</t>
  </si>
  <si>
    <t>dnj</t>
  </si>
  <si>
    <t>Dan Bible Translation And Literacy Project</t>
  </si>
  <si>
    <t>003296945b771e5b</t>
  </si>
  <si>
    <t>Ewondo</t>
  </si>
  <si>
    <t>ewo</t>
  </si>
  <si>
    <t>Ewondo New Testament</t>
  </si>
  <si>
    <t>004aed1cc30ba0b3</t>
  </si>
  <si>
    <t>Car Nicobarese</t>
  </si>
  <si>
    <t>caq</t>
  </si>
  <si>
    <t>Car Nicobarese Bible (BSI)</t>
  </si>
  <si>
    <t>ed9b36fcea687c57</t>
  </si>
  <si>
    <t>Tagalog Form-Based Bible: Ang Biblia (2001)</t>
  </si>
  <si>
    <t>fe0b2a309061e1ba</t>
  </si>
  <si>
    <t>Moroccan Arabic</t>
  </si>
  <si>
    <t>ary</t>
  </si>
  <si>
    <t>Morocco</t>
  </si>
  <si>
    <t>Moroccan Arabic NT</t>
  </si>
  <si>
    <t>0069c835ae68b7b4</t>
  </si>
  <si>
    <t>Kanasi</t>
  </si>
  <si>
    <t>soq</t>
  </si>
  <si>
    <t>Ina Sanaa Gagalowa</t>
  </si>
  <si>
    <t>a9a339ce4ac96acc</t>
  </si>
  <si>
    <t>Tagalog Form-Based Bible: Ang Biblia (1982)</t>
  </si>
  <si>
    <t>3e08146aeb79d7ea</t>
  </si>
  <si>
    <t>Injiʹl i Muqaddas - Romanised Urdu New Testament 1955</t>
  </si>
  <si>
    <t>00911a07694470fa</t>
  </si>
  <si>
    <t>Manx</t>
  </si>
  <si>
    <t>glv</t>
  </si>
  <si>
    <t>Isle of Man</t>
  </si>
  <si>
    <t>Manx Apocrypha 1772</t>
  </si>
  <si>
    <t>00cab34583aacaae</t>
  </si>
  <si>
    <t>Nehan</t>
  </si>
  <si>
    <t>nsn</t>
  </si>
  <si>
    <t>O uelhire uaia</t>
  </si>
  <si>
    <t>63b935e9a82375f4</t>
  </si>
  <si>
    <t>Sena (Chisena)</t>
  </si>
  <si>
    <t>seh</t>
  </si>
  <si>
    <t>Malawi</t>
  </si>
  <si>
    <t>Cisena New Testament</t>
  </si>
  <si>
    <t>00f8a1a8be6d4cbd</t>
  </si>
  <si>
    <t>Mutu</t>
  </si>
  <si>
    <t>tuc</t>
  </si>
  <si>
    <t>Maaron Saveeŋ Tooni Patabuyaaŋ</t>
  </si>
  <si>
    <t>017a5237548af856</t>
  </si>
  <si>
    <t>Wedau Topura Mark</t>
  </si>
  <si>
    <t>The Holy Gospel of Jesus for the Matumbi</t>
  </si>
  <si>
    <t>63d99e07915d7c2e</t>
  </si>
  <si>
    <t>Bambara</t>
  </si>
  <si>
    <t>bam</t>
  </si>
  <si>
    <t>Bamanan Bible</t>
  </si>
  <si>
    <t>The New Testament in Mwela</t>
  </si>
  <si>
    <t>6448f5b0238b9c6c</t>
  </si>
  <si>
    <t>Dedua</t>
  </si>
  <si>
    <t>ded</t>
  </si>
  <si>
    <t>Dedua Bible</t>
  </si>
  <si>
    <t>fa7bb1485e7a9fa7</t>
  </si>
  <si>
    <t>Khasi</t>
  </si>
  <si>
    <t>kha</t>
  </si>
  <si>
    <t>Khasi CL Bible - BSI</t>
  </si>
  <si>
    <t>83d17ee935523638</t>
  </si>
  <si>
    <t>Sumi Naga</t>
  </si>
  <si>
    <t>nsm</t>
  </si>
  <si>
    <t>Sumi Naga CL Bible - BSI</t>
  </si>
  <si>
    <t>365df148f7d55c34</t>
  </si>
  <si>
    <t>Breton</t>
  </si>
  <si>
    <t>bre</t>
  </si>
  <si>
    <t>Breton New Testament and Genesis (Jenkins) 1897</t>
  </si>
  <si>
    <t>f5e9ffc5f2faa91e</t>
  </si>
  <si>
    <t>Southern Rengma Naga</t>
  </si>
  <si>
    <t>nre</t>
  </si>
  <si>
    <t>Rengma Naga CL Bible (BSI)</t>
  </si>
  <si>
    <t>780da0fe4c6adf46</t>
  </si>
  <si>
    <t>Luthertestament 1975</t>
  </si>
  <si>
    <t>658736ab467664e8</t>
  </si>
  <si>
    <t>Tawala</t>
  </si>
  <si>
    <t>tbo</t>
  </si>
  <si>
    <t>Yaubada A Wogatala Wouna</t>
  </si>
  <si>
    <t>230818817fa2d7ac</t>
  </si>
  <si>
    <t>Kurukh</t>
  </si>
  <si>
    <t>kru</t>
  </si>
  <si>
    <t>Kurux (Devanagiri) NT - BSI</t>
  </si>
  <si>
    <t>65eb1779153f56e0</t>
  </si>
  <si>
    <t>Adzera</t>
  </si>
  <si>
    <t>adz</t>
  </si>
  <si>
    <t>Adzera Genesis</t>
  </si>
  <si>
    <t>66283bab67192fa1</t>
  </si>
  <si>
    <t>Goan Konkani</t>
  </si>
  <si>
    <t>gom</t>
  </si>
  <si>
    <t>Konkani Goan NT (BSI)</t>
  </si>
  <si>
    <t>aee9474b4a88eefb</t>
  </si>
  <si>
    <t>Portugal</t>
  </si>
  <si>
    <t>Portuguese-PT: O Livro 2017</t>
  </si>
  <si>
    <t>67bf9aac0fd65bda</t>
  </si>
  <si>
    <t>1962 Ndandi New Testament and Psalms</t>
  </si>
  <si>
    <t>d2f50421716b5a3e</t>
  </si>
  <si>
    <t>Welsh</t>
  </si>
  <si>
    <t>cym</t>
  </si>
  <si>
    <t>Salesbury New Testament - 1850 Edition</t>
  </si>
  <si>
    <t>5f6adf67ae80e262</t>
  </si>
  <si>
    <t>Breton Psalms (Williams) 1873</t>
  </si>
  <si>
    <t>4f632bbc83e31016</t>
  </si>
  <si>
    <t>Slovak</t>
  </si>
  <si>
    <t>slk</t>
  </si>
  <si>
    <t>Slovak Ecumenical Bible 2008</t>
  </si>
  <si>
    <t>c1b6163a681c54b2</t>
  </si>
  <si>
    <t>Biblia Habari Njema Study Bible</t>
  </si>
  <si>
    <t>26b544b11ad2796b</t>
  </si>
  <si>
    <t>Polish Bible</t>
  </si>
  <si>
    <t>0b4763d877ed1fcb</t>
  </si>
  <si>
    <t>Algonquin</t>
  </si>
  <si>
    <t>alq</t>
  </si>
  <si>
    <t>Algonquin New Testament</t>
  </si>
  <si>
    <t>686e872878dd346a</t>
  </si>
  <si>
    <t>Maskelynes</t>
  </si>
  <si>
    <t>klv</t>
  </si>
  <si>
    <t>The New Promise — The Word of God in the language of Uluveu, New Testɑment, Mɑskelynes (Vanuatu)</t>
  </si>
  <si>
    <t>6874b5ef247124a6</t>
  </si>
  <si>
    <t>Tupurri (Tupuri)</t>
  </si>
  <si>
    <t>tui</t>
  </si>
  <si>
    <t>Tupuri Bible</t>
  </si>
  <si>
    <t>39966db4c1157343</t>
  </si>
  <si>
    <t>Cree: Moose</t>
  </si>
  <si>
    <t>crm</t>
  </si>
  <si>
    <t>Moose Cree New Testament</t>
  </si>
  <si>
    <t>22369d764b3d60a2</t>
  </si>
  <si>
    <t>Mi&amp;#x27;kmaq</t>
  </si>
  <si>
    <t>mic</t>
  </si>
  <si>
    <t>Mi&amp;#x27;kmaq New Testament</t>
  </si>
  <si>
    <t>048fb2b0de86181f</t>
  </si>
  <si>
    <t>Ojibwe: Saulteaux (Western)</t>
  </si>
  <si>
    <t>ojb</t>
  </si>
  <si>
    <t>Ojibwe Shorter Bible (Syllabic Script)</t>
  </si>
  <si>
    <t>56627b4580f64fcf</t>
  </si>
  <si>
    <t>Inuttitut: Labrador</t>
  </si>
  <si>
    <t>ike</t>
  </si>
  <si>
    <t>Labrador Inuttitut Heritage Bible</t>
  </si>
  <si>
    <t>f805c3334f0d9b3d</t>
  </si>
  <si>
    <t>Khumi Chin</t>
  </si>
  <si>
    <t>cnk</t>
  </si>
  <si>
    <t>Khumi Common Language Bible</t>
  </si>
  <si>
    <t>e05c242cb3c351ce</t>
  </si>
  <si>
    <t>sna</t>
  </si>
  <si>
    <t>Zimbabwe</t>
  </si>
  <si>
    <t>Shona Union Version 2002</t>
  </si>
  <si>
    <t>7f70e690865fd234</t>
  </si>
  <si>
    <t>Nuer</t>
  </si>
  <si>
    <t>nus</t>
  </si>
  <si>
    <t>Nuer Bible 2012</t>
  </si>
  <si>
    <t>688c203e9150c9de</t>
  </si>
  <si>
    <t>Komba</t>
  </si>
  <si>
    <t>kpf</t>
  </si>
  <si>
    <t>Siŋgi âlip ekap</t>
  </si>
  <si>
    <t>8be97fa5c75c4f72</t>
  </si>
  <si>
    <t>Gilbertese</t>
  </si>
  <si>
    <t>gil</t>
  </si>
  <si>
    <t>Kiribati</t>
  </si>
  <si>
    <t>Kiribati New Version Bible</t>
  </si>
  <si>
    <t>4d4ab3dadde68da4</t>
  </si>
  <si>
    <t>Central Aymara</t>
  </si>
  <si>
    <t>ayr</t>
  </si>
  <si>
    <t>Bolivia, Plurinational State of</t>
  </si>
  <si>
    <t>Biblia Aymara 1997</t>
  </si>
  <si>
    <t>9f1b35f14ce01aa9</t>
  </si>
  <si>
    <t>beibl.net (Welsh Colloquial Bible) 2015</t>
  </si>
  <si>
    <t>f5a49c9ba8b87806</t>
  </si>
  <si>
    <t>Perjanjian Baru TB 1997</t>
  </si>
  <si>
    <t>e8e53db46eda5719</t>
  </si>
  <si>
    <t>Sola</t>
  </si>
  <si>
    <t>soy</t>
  </si>
  <si>
    <t>Sola New Testament</t>
  </si>
  <si>
    <t>e8f0b21a5ced8e9c</t>
  </si>
  <si>
    <t>Boko</t>
  </si>
  <si>
    <t>bqc</t>
  </si>
  <si>
    <t>Boko Bible</t>
  </si>
  <si>
    <t>5b888a42e2d9a89d</t>
  </si>
  <si>
    <t>New International Readers Version 2014</t>
  </si>
  <si>
    <t>68c1649441af60d9</t>
  </si>
  <si>
    <t>Bulgarian</t>
  </si>
  <si>
    <t>bul</t>
  </si>
  <si>
    <t>Contemporary Bulgarian Translation (with Deuterocanon)</t>
  </si>
  <si>
    <t>2d334d9fc8b4fe36</t>
  </si>
  <si>
    <t>Uduk</t>
  </si>
  <si>
    <t>udu</t>
  </si>
  <si>
    <t>Uduk New Testament and OT Portions</t>
  </si>
  <si>
    <t>90e7603034510058</t>
  </si>
  <si>
    <t>Fulfulde Burkina Faso</t>
  </si>
  <si>
    <t>fuh</t>
  </si>
  <si>
    <t>Fulfulde Burkina Faso New Testament</t>
  </si>
  <si>
    <t>69242b1592015aad</t>
  </si>
  <si>
    <t>Tosk Albanian</t>
  </si>
  <si>
    <t>als</t>
  </si>
  <si>
    <t>Old Testament books in Tosk by Konstandin Kristoforidhi 1884 (transliteration from Greek to Latin)</t>
  </si>
  <si>
    <t>37ffb43f3c791e0d</t>
  </si>
  <si>
    <t>ewe</t>
  </si>
  <si>
    <t>Ewe Bible Revised Version 1913</t>
  </si>
  <si>
    <t>c279cbea36ee449c</t>
  </si>
  <si>
    <t>Bariba</t>
  </si>
  <si>
    <t>bba</t>
  </si>
  <si>
    <t>Bariba Bible</t>
  </si>
  <si>
    <t>e07bde4b48aeff94</t>
  </si>
  <si>
    <t>Somali</t>
  </si>
  <si>
    <t>som</t>
  </si>
  <si>
    <t>Somalia</t>
  </si>
  <si>
    <t>Somali Bible</t>
  </si>
  <si>
    <t>050820426894bd7f</t>
  </si>
  <si>
    <t>Monkole</t>
  </si>
  <si>
    <t>mkl</t>
  </si>
  <si>
    <t>Monkole New Testament</t>
  </si>
  <si>
    <t>9754574447204f8a</t>
  </si>
  <si>
    <t>Dios Habla Hoy DC de Estudio</t>
  </si>
  <si>
    <t>fa052d4be2f94ac4</t>
  </si>
  <si>
    <t>Northern Kurdish</t>
  </si>
  <si>
    <t>kmr</t>
  </si>
  <si>
    <t>Turkey</t>
  </si>
  <si>
    <t>Kurmanji Kurdish Proverbs 1947</t>
  </si>
  <si>
    <t>21e3d02e7324b0bc</t>
  </si>
  <si>
    <t>Dinka, Southwestern</t>
  </si>
  <si>
    <t>dik</t>
  </si>
  <si>
    <t>New Testament in Dinka Rek, Southwestern</t>
  </si>
  <si>
    <t>74a986a9a183ae1c</t>
  </si>
  <si>
    <t>Slovenian</t>
  </si>
  <si>
    <t>slv</t>
  </si>
  <si>
    <t>Slovenia</t>
  </si>
  <si>
    <t>Slovenian Living New Testament</t>
  </si>
  <si>
    <t>c9e70a9ad9689bdf</t>
  </si>
  <si>
    <t>gej</t>
  </si>
  <si>
    <t>Mina Bible 2014</t>
  </si>
  <si>
    <t>aeac580f739e841c</t>
  </si>
  <si>
    <t>Guevea De Humboldt Zapotec</t>
  </si>
  <si>
    <t>zpg</t>
  </si>
  <si>
    <t>Zapoteco, El Nuevo Testamento de Guevea de Humboldt</t>
  </si>
  <si>
    <t>693b459281313125</t>
  </si>
  <si>
    <t>Lamkang</t>
  </si>
  <si>
    <t>lmk</t>
  </si>
  <si>
    <t>Lamkang Naga NT with PSA and PRO (BSI)</t>
  </si>
  <si>
    <t>af5ec0cf514e94ec</t>
  </si>
  <si>
    <t>Kikuyu</t>
  </si>
  <si>
    <t>kik</t>
  </si>
  <si>
    <t>Kiugo Gĩtheru Kĩa Ngai (The Holy Word of God)</t>
  </si>
  <si>
    <t>07676fc09ac6d76e</t>
  </si>
  <si>
    <t>Majang</t>
  </si>
  <si>
    <t>mpe</t>
  </si>
  <si>
    <t>Majang New Testament</t>
  </si>
  <si>
    <t>6a4f0e51f43594cf</t>
  </si>
  <si>
    <t>Kilivila</t>
  </si>
  <si>
    <t>kij</t>
  </si>
  <si>
    <t>The Bible in the language of Kiriwina, Trobriand Island</t>
  </si>
  <si>
    <t>14b6d35df9ad145a</t>
  </si>
  <si>
    <t>Cebuano MBB: Maayong Balita Biblia 1999</t>
  </si>
  <si>
    <t>6a8ae62b04cf3cf3</t>
  </si>
  <si>
    <t>Kala Lagaw Ya</t>
  </si>
  <si>
    <t>mwp</t>
  </si>
  <si>
    <t>Kalaw Lagaw Portions</t>
  </si>
  <si>
    <t>305ebd10f3d3d11d</t>
  </si>
  <si>
    <t>Akuapem Twi Contemporary Version NT and Psalms</t>
  </si>
  <si>
    <t>9f416b94d78f903c</t>
  </si>
  <si>
    <t>Mongolian (Halh)</t>
  </si>
  <si>
    <t>Mongolian Ariun Bible, 2004 Edition</t>
  </si>
  <si>
    <t>7f3087d7e0433625</t>
  </si>
  <si>
    <t>Gulei</t>
  </si>
  <si>
    <t>gvl</t>
  </si>
  <si>
    <t>Gulei New Testament</t>
  </si>
  <si>
    <t>6ae3d9ec3d8e7da9</t>
  </si>
  <si>
    <t>Northern Dagara</t>
  </si>
  <si>
    <t>dgi</t>
  </si>
  <si>
    <t>Dagara NT</t>
  </si>
  <si>
    <t>b9440e028243c012</t>
  </si>
  <si>
    <t>Fijian</t>
  </si>
  <si>
    <t>fij</t>
  </si>
  <si>
    <t>Fiji/Rotuma</t>
  </si>
  <si>
    <t>Fijian New Version including Deuterocanonical Books</t>
  </si>
  <si>
    <t>9d48f0fbcfc84089</t>
  </si>
  <si>
    <t>Ngbaka</t>
  </si>
  <si>
    <t>nga</t>
  </si>
  <si>
    <t>Ngbaka Bible (We Nu Gale) 1995</t>
  </si>
  <si>
    <t>4312d7ee99fdec46</t>
  </si>
  <si>
    <t>Malay</t>
  </si>
  <si>
    <t>zlm</t>
  </si>
  <si>
    <t>Keasberry High Malay New Testament 1866</t>
  </si>
  <si>
    <t>e4d1aefc60ee0c37</t>
  </si>
  <si>
    <t>Maori Bible 1952</t>
  </si>
  <si>
    <t>ba04d26f0f66944e</t>
  </si>
  <si>
    <t>Koorete</t>
  </si>
  <si>
    <t>kqy</t>
  </si>
  <si>
    <t>Koorete NT</t>
  </si>
  <si>
    <t>f1e22f1a0a5b44b1</t>
  </si>
  <si>
    <t>Korafe-Yegha</t>
  </si>
  <si>
    <t>kpr</t>
  </si>
  <si>
    <t>Korafe-Yegha Bible</t>
  </si>
  <si>
    <t>d2cd998b3ecd4fb7</t>
  </si>
  <si>
    <t>Ewé Contemporary Version</t>
  </si>
  <si>
    <t>cd23cb08c39ff641</t>
  </si>
  <si>
    <t>Macedonian Standard Bible 2006 (66 books)</t>
  </si>
  <si>
    <t>7a82194188f38c0b</t>
  </si>
  <si>
    <t>Ainu (Japan)</t>
  </si>
  <si>
    <t>ain</t>
  </si>
  <si>
    <t>Japan</t>
  </si>
  <si>
    <t>Ainu New Testament 1897</t>
  </si>
  <si>
    <t>6ca787a577ebfb8a</t>
  </si>
  <si>
    <t>Sinte Romani</t>
  </si>
  <si>
    <t>rmo</t>
  </si>
  <si>
    <t>Sinte Gospel of Mark 1912 (BFBS)</t>
  </si>
  <si>
    <t>6df79accf8238bbe</t>
  </si>
  <si>
    <t>Kurti</t>
  </si>
  <si>
    <t>ktm</t>
  </si>
  <si>
    <t>Kurti Bible</t>
  </si>
  <si>
    <t>102957ee737c332f</t>
  </si>
  <si>
    <t>Kunda</t>
  </si>
  <si>
    <t>kdn</t>
  </si>
  <si>
    <t>Chikunda Bible</t>
  </si>
  <si>
    <t>d7f7cae664680674</t>
  </si>
  <si>
    <t>Haka Chin</t>
  </si>
  <si>
    <t>cnh</t>
  </si>
  <si>
    <t>Haka Chin NT with PSA &amp;amp;amp; PRO - BSI</t>
  </si>
  <si>
    <t>bd0215680e20f18d</t>
  </si>
  <si>
    <t>9a41774c9bd550e8</t>
  </si>
  <si>
    <t>Chikunda</t>
  </si>
  <si>
    <t>Chikunda NT</t>
  </si>
  <si>
    <t>6ee9811de867084c</t>
  </si>
  <si>
    <t>Rotokas</t>
  </si>
  <si>
    <t>roo</t>
  </si>
  <si>
    <t>Airepa Vae Reo Ovoi</t>
  </si>
  <si>
    <t>6f0b0d3ea27a7bd7</t>
  </si>
  <si>
    <t>Cerma</t>
  </si>
  <si>
    <t>cme</t>
  </si>
  <si>
    <t>Diiloŋ-nelma Tobisĩfɛlɛnni</t>
  </si>
  <si>
    <t>6f9daa43905b6b6b</t>
  </si>
  <si>
    <t>Q&amp;#x27;anjob&amp;#x27;al, Eastern</t>
  </si>
  <si>
    <t>kjb</t>
  </si>
  <si>
    <t>Kanjobal Bible</t>
  </si>
  <si>
    <t>c7a3bbd4a11c092b</t>
  </si>
  <si>
    <t>Ndau</t>
  </si>
  <si>
    <t>ndc</t>
  </si>
  <si>
    <t>CHINDAU BIBLE</t>
  </si>
  <si>
    <t>488d756c43d16ad4</t>
  </si>
  <si>
    <t>Shona: Union</t>
  </si>
  <si>
    <t>Shona Bible Union Version 1979</t>
  </si>
  <si>
    <t>6ff43bd45b7d9d72</t>
  </si>
  <si>
    <t>Chuave</t>
  </si>
  <si>
    <t>cjv</t>
  </si>
  <si>
    <t>Yai Guman Gunom Kam</t>
  </si>
  <si>
    <t>75fdab2201547183</t>
  </si>
  <si>
    <t>Slovene</t>
  </si>
  <si>
    <t>Life with Jesus</t>
  </si>
  <si>
    <t>7111aa8f0412a181</t>
  </si>
  <si>
    <t>Oksapmin</t>
  </si>
  <si>
    <t>opm</t>
  </si>
  <si>
    <t>Got orhe meng brak ban</t>
  </si>
  <si>
    <t>717f718a6e4de539</t>
  </si>
  <si>
    <t>Dyula</t>
  </si>
  <si>
    <t>dyu</t>
  </si>
  <si>
    <t>Jula Bible + DC08</t>
  </si>
  <si>
    <t>334c1956967a2e33</t>
  </si>
  <si>
    <t>Capanahua</t>
  </si>
  <si>
    <t>kaq</t>
  </si>
  <si>
    <t>Noquen hihbaan joi</t>
  </si>
  <si>
    <t>3410eec89a3ed19f</t>
  </si>
  <si>
    <t>Angloromani</t>
  </si>
  <si>
    <t>rme</t>
  </si>
  <si>
    <t>The Kushti Bokkengro (The Good Shepherd) SGM booklet 1985</t>
  </si>
  <si>
    <t>5ad758fc90f8b6b4</t>
  </si>
  <si>
    <t>Paraguayan Guaraní</t>
  </si>
  <si>
    <t>gug</t>
  </si>
  <si>
    <t>Paraguayan Guarani 1913 New Testament</t>
  </si>
  <si>
    <t>343ff7def331c54b</t>
  </si>
  <si>
    <t>Waris</t>
  </si>
  <si>
    <t>wrs</t>
  </si>
  <si>
    <t>Waris NT+</t>
  </si>
  <si>
    <t>71e49a53b2b93c0b</t>
  </si>
  <si>
    <t>The New Testament in the Bunong Language (Khmer script)</t>
  </si>
  <si>
    <t>71e98a8be449f278</t>
  </si>
  <si>
    <t>Urat</t>
  </si>
  <si>
    <t>urt</t>
  </si>
  <si>
    <t>Urat NT</t>
  </si>
  <si>
    <t>2543f6d53dc93b8c</t>
  </si>
  <si>
    <t>Latin: Biblia Sacra Vulgata 1983 Greek Psalms</t>
  </si>
  <si>
    <t>35fc369a5a6cf08e</t>
  </si>
  <si>
    <t>Timbe</t>
  </si>
  <si>
    <t>tim</t>
  </si>
  <si>
    <t>Yusugât Pat Âlep Den</t>
  </si>
  <si>
    <t>36a0f78a6b3da8ba</t>
  </si>
  <si>
    <t>Pochuri Naga</t>
  </si>
  <si>
    <t>npo</t>
  </si>
  <si>
    <t>Pochuri Naga Bible (BSI)</t>
  </si>
  <si>
    <t>36c61c6886d149a8</t>
  </si>
  <si>
    <t>Kandas</t>
  </si>
  <si>
    <t>kqw</t>
  </si>
  <si>
    <t>Kandas New Testament portions</t>
  </si>
  <si>
    <t>37171ee02c881ca0</t>
  </si>
  <si>
    <t>Walmajarri</t>
  </si>
  <si>
    <t>wmt</t>
  </si>
  <si>
    <t>Walmajarri NT</t>
  </si>
  <si>
    <t>3758c24926e51426</t>
  </si>
  <si>
    <t>Fon</t>
  </si>
  <si>
    <t>fon</t>
  </si>
  <si>
    <t>Fon Bible</t>
  </si>
  <si>
    <t>37cc745907ad9ae9</t>
  </si>
  <si>
    <t>Sangtam Naga</t>
  </si>
  <si>
    <t>nsa</t>
  </si>
  <si>
    <t>Sangtam Naga Bible (BSI)</t>
  </si>
  <si>
    <t>726a5008948550b7</t>
  </si>
  <si>
    <t>Tairora, North</t>
  </si>
  <si>
    <t>tbg</t>
  </si>
  <si>
    <t>Qaraaka uva tivatora</t>
  </si>
  <si>
    <t>37e4e88535e79c41</t>
  </si>
  <si>
    <t>The Acts of the Apostles in Moravian Romani 1936</t>
  </si>
  <si>
    <t>382313a334278777</t>
  </si>
  <si>
    <t>Chuj</t>
  </si>
  <si>
    <t>cac</t>
  </si>
  <si>
    <t>Chuj San Mateo NT/Psa/Pro 1993</t>
  </si>
  <si>
    <t>38265555ed5c9c9e</t>
  </si>
  <si>
    <t>Kenyah</t>
  </si>
  <si>
    <t>whk</t>
  </si>
  <si>
    <t>Kenyah New Testament</t>
  </si>
  <si>
    <t>38406059d788b2f0</t>
  </si>
  <si>
    <t>Zia</t>
  </si>
  <si>
    <t>zia</t>
  </si>
  <si>
    <t>Tuwa Yesu Kristora bowi iwaing</t>
  </si>
  <si>
    <t>38a5ef8e91cac158</t>
  </si>
  <si>
    <t>Mangseng</t>
  </si>
  <si>
    <t>mbh</t>
  </si>
  <si>
    <t>The New Testament in the Mangseng language of Papua New Guinea</t>
  </si>
  <si>
    <t>38b4cea20f812a89</t>
  </si>
  <si>
    <t>Ndonga</t>
  </si>
  <si>
    <t>ndo</t>
  </si>
  <si>
    <t>Namibia</t>
  </si>
  <si>
    <t>Oshindonga Bible</t>
  </si>
  <si>
    <t>81e19ca51554f679</t>
  </si>
  <si>
    <t>Shona Common Language Bible</t>
  </si>
  <si>
    <t>fa5c2f1ce7fa9b82</t>
  </si>
  <si>
    <t>Northern Rengma Naga</t>
  </si>
  <si>
    <t>nnl</t>
  </si>
  <si>
    <t>Rengma Naga (N) CL Bible - BSI</t>
  </si>
  <si>
    <t>02b9ecf33e732aad</t>
  </si>
  <si>
    <t>Kisi</t>
  </si>
  <si>
    <t>kiz</t>
  </si>
  <si>
    <t>Kisi Bible Quick 2013</t>
  </si>
  <si>
    <t>46b9644ff7371aaf</t>
  </si>
  <si>
    <t>Gola</t>
  </si>
  <si>
    <t>gol</t>
  </si>
  <si>
    <t>Gola Translation and Literacy Project</t>
  </si>
  <si>
    <t>e018c16d70f44b55</t>
  </si>
  <si>
    <t>Cebuano Form-Based Bible: Ang Biblia (2011)</t>
  </si>
  <si>
    <t>517f2ffe6433ad18</t>
  </si>
  <si>
    <t>Taiwan, Province of China</t>
  </si>
  <si>
    <t>Chinese Contemporary Bible (Traditional Script)</t>
  </si>
  <si>
    <t>726c7191aa7853de</t>
  </si>
  <si>
    <t>Piaroa</t>
  </si>
  <si>
    <t>pid</t>
  </si>
  <si>
    <t>Venezuela</t>
  </si>
  <si>
    <t>Nuevo Testamento U̧wo̧ttü̧ja̧</t>
  </si>
  <si>
    <t>7271813783279c80</t>
  </si>
  <si>
    <t>hat</t>
  </si>
  <si>
    <t>Haiti</t>
  </si>
  <si>
    <t>Haitian Creole</t>
  </si>
  <si>
    <t>e936f9967f00529a</t>
  </si>
  <si>
    <t>Kannada C.L. Bible (BSI)</t>
  </si>
  <si>
    <t>72dd0b9b0f2b4024</t>
  </si>
  <si>
    <t>North Tanna</t>
  </si>
  <si>
    <t>tnn</t>
  </si>
  <si>
    <t>Naoa rəha uhgɨn nəniəkɨsən wi</t>
  </si>
  <si>
    <t>99d1420a104be966</t>
  </si>
  <si>
    <t>Hmar OV (Re-edited) Millennium Edition - BSI</t>
  </si>
  <si>
    <t>736b4aeba7af8a5f</t>
  </si>
  <si>
    <t>Aneme Wake</t>
  </si>
  <si>
    <t>aby</t>
  </si>
  <si>
    <t>Godinu irau wake</t>
  </si>
  <si>
    <t>73bdfd1b8fd51d4a</t>
  </si>
  <si>
    <t>Ebira</t>
  </si>
  <si>
    <t>igb</t>
  </si>
  <si>
    <t>Ebira First Bible</t>
  </si>
  <si>
    <t>73ccfd1246b31010</t>
  </si>
  <si>
    <t>Dangaléat</t>
  </si>
  <si>
    <t>daa</t>
  </si>
  <si>
    <t>Jamaw ta Marbinto: Kabarre ta Gala ɗo bi ka Iisa Masi iŋ daŋla</t>
  </si>
  <si>
    <t>73ecd15376e7db01</t>
  </si>
  <si>
    <t>Nawuri</t>
  </si>
  <si>
    <t>naw</t>
  </si>
  <si>
    <t>The New Testament in the Nawuri Language</t>
  </si>
  <si>
    <t>7496ee19eb0a3b85</t>
  </si>
  <si>
    <t>Awara</t>
  </si>
  <si>
    <t>awx</t>
  </si>
  <si>
    <t>Awara Bible Portions</t>
  </si>
  <si>
    <t>d825aeedcdfea7ae</t>
  </si>
  <si>
    <t>English: NT Background Notes - Craig Keener</t>
  </si>
  <si>
    <t>75458ff49e9440e6</t>
  </si>
  <si>
    <t>Dobu</t>
  </si>
  <si>
    <t>dob</t>
  </si>
  <si>
    <t>Loina Tabu Auwauna</t>
  </si>
  <si>
    <t>76068028b0e94f65</t>
  </si>
  <si>
    <t>Wichí Lhamtés Nocten</t>
  </si>
  <si>
    <t>mtp</t>
  </si>
  <si>
    <t>0851c4dcaee3893d</t>
  </si>
  <si>
    <t>English: New English Translation (NET Bible) 1996 - pre July 2011 update</t>
  </si>
  <si>
    <t>b1bb2a840333b52f</t>
  </si>
  <si>
    <t>Biblical Culture Notes (eng)</t>
  </si>
  <si>
    <t>745b1e89928f3f37</t>
  </si>
  <si>
    <t>Original Shona Union Bible 1949 Doke orthography</t>
  </si>
  <si>
    <t>764ae8fe46fcc0e6</t>
  </si>
  <si>
    <t>Quechua, Huaylas Ancash</t>
  </si>
  <si>
    <t>qwh</t>
  </si>
  <si>
    <t>Teyta Diospa Mushoq Testamentun</t>
  </si>
  <si>
    <t>766ccd4cc676636d</t>
  </si>
  <si>
    <t>nde</t>
  </si>
  <si>
    <t>Ndebele Contemporary Version</t>
  </si>
  <si>
    <t>76fb22fdf42248f7</t>
  </si>
  <si>
    <t>Tagalog Meaning-Based Bible (2005)</t>
  </si>
  <si>
    <t>143f04484bacfc56</t>
  </si>
  <si>
    <t>Nduga</t>
  </si>
  <si>
    <t>ndx</t>
  </si>
  <si>
    <t>New Testament in Nduga Version</t>
  </si>
  <si>
    <t>f69a84b51a2d1036</t>
  </si>
  <si>
    <t>La Parola è Vita</t>
  </si>
  <si>
    <t>7752b16568d81812</t>
  </si>
  <si>
    <t>Mofa</t>
  </si>
  <si>
    <t>maf</t>
  </si>
  <si>
    <t>Mofa New Testament</t>
  </si>
  <si>
    <t>77fb512ad4c08311</t>
  </si>
  <si>
    <t>Revised Chinese Union Version (Traditional Script) Shen Edition</t>
  </si>
  <si>
    <t>fbb56b9b74e17435</t>
  </si>
  <si>
    <t>Ranglong</t>
  </si>
  <si>
    <t>rnl</t>
  </si>
  <si>
    <t>Ranglong NT and PSA - BSI</t>
  </si>
  <si>
    <t>8068b8298caefd56</t>
  </si>
  <si>
    <t>Mayangna</t>
  </si>
  <si>
    <t>yan</t>
  </si>
  <si>
    <t>Sumo Bible</t>
  </si>
  <si>
    <t>783b58a5c610fc4e</t>
  </si>
  <si>
    <t>Poqomchi&amp;#x27;</t>
  </si>
  <si>
    <t>poh</t>
  </si>
  <si>
    <t>Reꞌ Lokꞌ Laj Hu̱j Wilic wi̱ꞌ Ribiral i Jesus</t>
  </si>
  <si>
    <t>78750c5e553d77d2</t>
  </si>
  <si>
    <t>Saliba</t>
  </si>
  <si>
    <t>sbe</t>
  </si>
  <si>
    <t>New Testament portions in the Saliba language of Papua New Guinea</t>
  </si>
  <si>
    <t>78b5ca615ee7f539</t>
  </si>
  <si>
    <t>Kasem</t>
  </si>
  <si>
    <t>xsm</t>
  </si>
  <si>
    <t>Kasem NT</t>
  </si>
  <si>
    <t>79a43b406fe98a4e</t>
  </si>
  <si>
    <t>Kisar</t>
  </si>
  <si>
    <t>kje</t>
  </si>
  <si>
    <t>Makromod lalap lirna wawan</t>
  </si>
  <si>
    <t>79cc9cd347153294</t>
  </si>
  <si>
    <t>Central Yupik</t>
  </si>
  <si>
    <t>esu</t>
  </si>
  <si>
    <t>Yupik Bible</t>
  </si>
  <si>
    <t>79eafcc60f337d8c</t>
  </si>
  <si>
    <t>Maaron Saveeŋ Toni Patabuaŋ</t>
  </si>
  <si>
    <t>79f7d696b3c5dd9e</t>
  </si>
  <si>
    <t>Kuot</t>
  </si>
  <si>
    <t>kto</t>
  </si>
  <si>
    <t>Bais ula mumuru aime iesu</t>
  </si>
  <si>
    <t>7a935266bd5cffdd</t>
  </si>
  <si>
    <t>Kobon</t>
  </si>
  <si>
    <t>kpw</t>
  </si>
  <si>
    <t>Kobon New Testament</t>
  </si>
  <si>
    <t>39d55004bcd11d2f</t>
  </si>
  <si>
    <t>Statenvertaling (Jongbloed-editie)</t>
  </si>
  <si>
    <t>4073e7bb18185955</t>
  </si>
  <si>
    <t>Western Kayah</t>
  </si>
  <si>
    <t>kyu</t>
  </si>
  <si>
    <t>KYU WRK Project</t>
  </si>
  <si>
    <t>c770cf7a443c73d2</t>
  </si>
  <si>
    <t>Damal</t>
  </si>
  <si>
    <t>uhn</t>
  </si>
  <si>
    <t>Today&amp;#x27;s Damal version</t>
  </si>
  <si>
    <t>571698a943916776</t>
  </si>
  <si>
    <t>Gute Nachricht Bibel NR 2000</t>
  </si>
  <si>
    <t>5c82a5b4ccb94e76</t>
  </si>
  <si>
    <t>Southeastern Dinka</t>
  </si>
  <si>
    <t>dks</t>
  </si>
  <si>
    <t>Dinka Bor Pointed Psalms 1956</t>
  </si>
  <si>
    <t>9a18e4e22edb23d4</t>
  </si>
  <si>
    <t>Coptic</t>
  </si>
  <si>
    <t>cop</t>
  </si>
  <si>
    <t>Egypt</t>
  </si>
  <si>
    <t>Coptic New Testament Version (Diglot Edition)</t>
  </si>
  <si>
    <t>d125bceacf2fa912</t>
  </si>
  <si>
    <t>Chinese Contemporary Bible</t>
  </si>
  <si>
    <t>7b2acc127ab19d99</t>
  </si>
  <si>
    <t>Wagi</t>
  </si>
  <si>
    <t>fad</t>
  </si>
  <si>
    <t>Wagi Luke</t>
  </si>
  <si>
    <t>4ec29e6125f12df1</t>
  </si>
  <si>
    <t>Thado Chin</t>
  </si>
  <si>
    <t>tcz</t>
  </si>
  <si>
    <t>Thadou Kuki CL (Re-edited) - BSI</t>
  </si>
  <si>
    <t>7b75dea8288f8e6e</t>
  </si>
  <si>
    <t>Chin: Haka</t>
  </si>
  <si>
    <t>Hakha Common Language Bible</t>
  </si>
  <si>
    <t>7bf4eeca71710eb1</t>
  </si>
  <si>
    <t>Maram Naga</t>
  </si>
  <si>
    <t>nma</t>
  </si>
  <si>
    <t>Maram Naga CL NT (BSI)</t>
  </si>
  <si>
    <t>7c027c9eab018d02</t>
  </si>
  <si>
    <t>Adi</t>
  </si>
  <si>
    <t>adi</t>
  </si>
  <si>
    <t>Adi Bible (Re-edited) (BSI)</t>
  </si>
  <si>
    <t>37232bf5c3f02e7c</t>
  </si>
  <si>
    <t>Kirike</t>
  </si>
  <si>
    <t>okr</t>
  </si>
  <si>
    <t>OKRIKA BIBLE TRANSLATION PROJECT</t>
  </si>
  <si>
    <t>7cfd00645acbd43f</t>
  </si>
  <si>
    <t>Tairora, South</t>
  </si>
  <si>
    <t>omw</t>
  </si>
  <si>
    <t>Qaraakya Qua Timwatora</t>
  </si>
  <si>
    <t>04c8a4b759e9b41c</t>
  </si>
  <si>
    <t>Nivaclé</t>
  </si>
  <si>
    <t>cag</t>
  </si>
  <si>
    <t>Nivacle Bible 1994</t>
  </si>
  <si>
    <t>eb8d44e6061b8452</t>
  </si>
  <si>
    <t>Gulmancema Protestant Bible Unicode</t>
  </si>
  <si>
    <t>7e094294de93fdbc</t>
  </si>
  <si>
    <t>Hanga</t>
  </si>
  <si>
    <t>hag</t>
  </si>
  <si>
    <t>Selections from Genesis</t>
  </si>
  <si>
    <t>7ebad02e9db58844</t>
  </si>
  <si>
    <t>Dios Habla Hoy DK</t>
  </si>
  <si>
    <t>7fbf3b359933e2b7</t>
  </si>
  <si>
    <t>Kuo</t>
  </si>
  <si>
    <t>xuo</t>
  </si>
  <si>
    <t>Mbeɗe sáka kuni fie</t>
  </si>
  <si>
    <t>802e5ae718c58e71</t>
  </si>
  <si>
    <t>Ngochang (Ngo Chang)</t>
  </si>
  <si>
    <t>acn</t>
  </si>
  <si>
    <t>Ngochang Common Language Bible</t>
  </si>
  <si>
    <t>8038353ef8dc59f0</t>
  </si>
  <si>
    <t>hau</t>
  </si>
  <si>
    <t>Littafi Mai Tsarki</t>
  </si>
  <si>
    <t>804cc342b7cc775a</t>
  </si>
  <si>
    <t>Orokaiva</t>
  </si>
  <si>
    <t>okv</t>
  </si>
  <si>
    <t>God Ta Duru Javotoho</t>
  </si>
  <si>
    <t>80669cd98f406e7d</t>
  </si>
  <si>
    <t>Lango</t>
  </si>
  <si>
    <t>laj</t>
  </si>
  <si>
    <t>Bible 1979</t>
  </si>
  <si>
    <t>80ba1625faaa88ca</t>
  </si>
  <si>
    <t>Revised Chinese Union Version (Simplified Script) Shen Edition</t>
  </si>
  <si>
    <t>814f362ceaf526ca</t>
  </si>
  <si>
    <t>Bemba (Zambia)</t>
  </si>
  <si>
    <t>bem</t>
  </si>
  <si>
    <t>Bemba Bible 1956</t>
  </si>
  <si>
    <t>ff338b1664f3a1ed</t>
  </si>
  <si>
    <t>Batak Toba</t>
  </si>
  <si>
    <t>bbc</t>
  </si>
  <si>
    <t>Batak Toba Bible Revised Edition 1998</t>
  </si>
  <si>
    <t>81c90cd4c4652a6f</t>
  </si>
  <si>
    <t>Gotiki olu kutifi ledami ka kofawa</t>
  </si>
  <si>
    <t>8362a52f904a0b7b</t>
  </si>
  <si>
    <t>Paumarí</t>
  </si>
  <si>
    <t>pad</t>
  </si>
  <si>
    <t>Deus Athi Kapapirani Hida</t>
  </si>
  <si>
    <t>7a10b3929dd88e09</t>
  </si>
  <si>
    <t>Nivacle Bible 2018</t>
  </si>
  <si>
    <t>00c1e1e86d4ef747</t>
  </si>
  <si>
    <t>Punjabi Common Language (North American Version)</t>
  </si>
  <si>
    <t>7f996672a9b6d67a</t>
  </si>
  <si>
    <t>qug</t>
  </si>
  <si>
    <t>Mushuj Testamento Diospaj Shimi (Quichua-Chimborazo NT)</t>
  </si>
  <si>
    <t>594da635d2f76dfe</t>
  </si>
  <si>
    <t>Fiji</t>
  </si>
  <si>
    <t>Fijian New Version Bible</t>
  </si>
  <si>
    <t>1dc90b2f2b5827e0</t>
  </si>
  <si>
    <t>Umbundu</t>
  </si>
  <si>
    <t>umb</t>
  </si>
  <si>
    <t>Angola</t>
  </si>
  <si>
    <t>Umbundu Nova Tradução</t>
  </si>
  <si>
    <t>83cd3f071bf98f68</t>
  </si>
  <si>
    <t>Bariai</t>
  </si>
  <si>
    <t>bch</t>
  </si>
  <si>
    <t>Deo Ele Posanga</t>
  </si>
  <si>
    <t>83fdc3fda81a407b</t>
  </si>
  <si>
    <t>Vlax Romani</t>
  </si>
  <si>
    <t>rmy</t>
  </si>
  <si>
    <t>Kalderash Gospel of Mark 1977</t>
  </si>
  <si>
    <t>844baff0c1853fd6</t>
  </si>
  <si>
    <t>Pere (Peere)</t>
  </si>
  <si>
    <t>Pere New Testament</t>
  </si>
  <si>
    <t>f0b18ec9dfec16fd</t>
  </si>
  <si>
    <t>Kupang Malay</t>
  </si>
  <si>
    <t>mkn</t>
  </si>
  <si>
    <t>Kupang Malay Bible</t>
  </si>
  <si>
    <t>71c6eab17ae5b667</t>
  </si>
  <si>
    <t>New International Version 2011</t>
  </si>
  <si>
    <t>a223c98ef4fc87eb</t>
  </si>
  <si>
    <t>Modern Greek (1453-)</t>
  </si>
  <si>
    <t>ell</t>
  </si>
  <si>
    <t>Greek Vellas New Testament</t>
  </si>
  <si>
    <t>cbdba9cb162c9b7a</t>
  </si>
  <si>
    <t>Tetela</t>
  </si>
  <si>
    <t>tll</t>
  </si>
  <si>
    <t>La Bible en Otetela (Bible K&amp;#x27;Ekila)</t>
  </si>
  <si>
    <t>bc6b001571866237</t>
  </si>
  <si>
    <t>Bislama</t>
  </si>
  <si>
    <t>bis</t>
  </si>
  <si>
    <t>Bislama Revised Bible 2012</t>
  </si>
  <si>
    <t>854a3c16d307e5ac</t>
  </si>
  <si>
    <t>Lahu Shi</t>
  </si>
  <si>
    <t>lhi</t>
  </si>
  <si>
    <t>The New Testament in the Lahu Shi language</t>
  </si>
  <si>
    <t>51aaa77d846e3c35</t>
  </si>
  <si>
    <t>Manikion</t>
  </si>
  <si>
    <t>mnx</t>
  </si>
  <si>
    <t>New Testament in Sougb Version</t>
  </si>
  <si>
    <t>96e55923bbea6822</t>
  </si>
  <si>
    <t>Batak Karo</t>
  </si>
  <si>
    <t>btx</t>
  </si>
  <si>
    <t>Today&amp;#x27;s Batak Karo Bible</t>
  </si>
  <si>
    <t>5900e04ba5a99884</t>
  </si>
  <si>
    <t>Nueva Versión Internacional 2015</t>
  </si>
  <si>
    <t>5d73986246cb876f</t>
  </si>
  <si>
    <t>Urdu Bible [urd] Pakistan (BCS) publication snapshot</t>
  </si>
  <si>
    <t>b9f689085e67e7a4</t>
  </si>
  <si>
    <t>Plateau Malagasy</t>
  </si>
  <si>
    <t>Dikanteny Iombonana Eto Madagasikara</t>
  </si>
  <si>
    <t>8d157691202518e4</t>
  </si>
  <si>
    <t>hun</t>
  </si>
  <si>
    <t>Hungary</t>
  </si>
  <si>
    <t>Hungarian New Testament: Life, Truth and Light</t>
  </si>
  <si>
    <t>12bb74b60088b209</t>
  </si>
  <si>
    <t>Jamamadí</t>
  </si>
  <si>
    <t>jaa</t>
  </si>
  <si>
    <t>O Novo Testamento na língua Jamamadi do Brasil</t>
  </si>
  <si>
    <t>555fef9a6cb31151</t>
  </si>
  <si>
    <t>Contemporary English Version</t>
  </si>
  <si>
    <t>621b2076a4942f05</t>
  </si>
  <si>
    <t>Koyraboro Senni Songhai</t>
  </si>
  <si>
    <t>ses</t>
  </si>
  <si>
    <t>Songhai Bible (Gao)</t>
  </si>
  <si>
    <t>856d8ec84c44ba67</t>
  </si>
  <si>
    <t>Yine</t>
  </si>
  <si>
    <t>pib</t>
  </si>
  <si>
    <t>Gerotu Tokanchi Gipiratkaluru</t>
  </si>
  <si>
    <t>0f86e55cb449f72e</t>
  </si>
  <si>
    <t>Egyptian Arabic</t>
  </si>
  <si>
    <t>arz</t>
  </si>
  <si>
    <t>Katamaras Arabic Version (Diglot Edition)</t>
  </si>
  <si>
    <t>e267c547d907f57f</t>
  </si>
  <si>
    <t>Adangme</t>
  </si>
  <si>
    <t>ada</t>
  </si>
  <si>
    <t>Dangme New Testament (Somi He Ɔ) Version 1977</t>
  </si>
  <si>
    <t>fad27c00e7c042a2</t>
  </si>
  <si>
    <t>Who? Revised edition 2018</t>
  </si>
  <si>
    <t>e22e8026247d9ee3</t>
  </si>
  <si>
    <t>Sateré-Mawé</t>
  </si>
  <si>
    <t>mav</t>
  </si>
  <si>
    <t>Tupana Ehay Satere Mawe Pusupuo</t>
  </si>
  <si>
    <t>ade30aa6c83c3ed7</t>
  </si>
  <si>
    <t>Cornish</t>
  </si>
  <si>
    <t>cor</t>
  </si>
  <si>
    <t>Cornish Bible 2018</t>
  </si>
  <si>
    <t>507c5cbca3427ee6</t>
  </si>
  <si>
    <t>Tsonga</t>
  </si>
  <si>
    <t>tso</t>
  </si>
  <si>
    <t>Mozambique</t>
  </si>
  <si>
    <t>NOVO TESTAMENTO CHANGANA</t>
  </si>
  <si>
    <t>9def58d133a8ecea</t>
  </si>
  <si>
    <t>Chopi</t>
  </si>
  <si>
    <t>cce</t>
  </si>
  <si>
    <t>BIBLIA EM TXITXOPI</t>
  </si>
  <si>
    <t>02449f0dd277540a</t>
  </si>
  <si>
    <t>Burarra</t>
  </si>
  <si>
    <t>bvr</t>
  </si>
  <si>
    <t>Burarra NT</t>
  </si>
  <si>
    <t>02563be4b1f63b1c</t>
  </si>
  <si>
    <t>Northeastern Dinka</t>
  </si>
  <si>
    <t>dip</t>
  </si>
  <si>
    <t>The Bible in Jieeng de Padang 2011</t>
  </si>
  <si>
    <t>02c24ae9bc1abc10</t>
  </si>
  <si>
    <t>Yele</t>
  </si>
  <si>
    <t>yle</t>
  </si>
  <si>
    <t>The New Testament in the Rossel Language, also called Yele</t>
  </si>
  <si>
    <t>035e7ad8b84f6722</t>
  </si>
  <si>
    <t>Enxet (Lengua Sur)</t>
  </si>
  <si>
    <t>Lengua Sur Nuevo Testamento</t>
  </si>
  <si>
    <t>0393612187b654b8</t>
  </si>
  <si>
    <t>Aromanian</t>
  </si>
  <si>
    <t>rup</t>
  </si>
  <si>
    <t>Gospel of Luke in Albanian Aromanian 2013</t>
  </si>
  <si>
    <t>048275bd5f115553</t>
  </si>
  <si>
    <t>Ubir</t>
  </si>
  <si>
    <t>ubr</t>
  </si>
  <si>
    <t>God An Dura Bobaibasit Boboun</t>
  </si>
  <si>
    <t>6eda79520b919447</t>
  </si>
  <si>
    <t>Shona Contemporary Bible</t>
  </si>
  <si>
    <t>0501be973d9e3500</t>
  </si>
  <si>
    <t>Mocoví</t>
  </si>
  <si>
    <t>moc</t>
  </si>
  <si>
    <t>Antiguo Testamento Corto y Nuevo Testamento en Mocoví</t>
  </si>
  <si>
    <t>050790d02e5b1b75</t>
  </si>
  <si>
    <t>Ateso</t>
  </si>
  <si>
    <t>teo</t>
  </si>
  <si>
    <t>Ateso New Testament 1961</t>
  </si>
  <si>
    <t>05afe852bcb6c0ca</t>
  </si>
  <si>
    <t>Wapishana</t>
  </si>
  <si>
    <t>wap</t>
  </si>
  <si>
    <t>Guyana</t>
  </si>
  <si>
    <t>Kaimana&amp;#x27;o Tominkaru Paradan</t>
  </si>
  <si>
    <t>06200ee52166d1eb</t>
  </si>
  <si>
    <t>Tamasheq</t>
  </si>
  <si>
    <t>taq</t>
  </si>
  <si>
    <t>062c3ac80a46c4c1</t>
  </si>
  <si>
    <t>Biatah</t>
  </si>
  <si>
    <t>bth</t>
  </si>
  <si>
    <t>85c8303f96e3d399</t>
  </si>
  <si>
    <t>Kogi</t>
  </si>
  <si>
    <t>kog</t>
  </si>
  <si>
    <t>The New Testament in Kogi</t>
  </si>
  <si>
    <t>86195bc24616fc20</t>
  </si>
  <si>
    <t>Malayalam O.V. Bible (BSI)</t>
  </si>
  <si>
    <t>95617ff51f03b6b8</t>
  </si>
  <si>
    <t>Oriya (individual language)</t>
  </si>
  <si>
    <t>Odia (CL) NT - BSI</t>
  </si>
  <si>
    <t>4bdf27db603e8a08</t>
  </si>
  <si>
    <t>Palikúr</t>
  </si>
  <si>
    <t>plu</t>
  </si>
  <si>
    <t>Palikúr NT and Psalms</t>
  </si>
  <si>
    <t>41a6caa722a21d88</t>
  </si>
  <si>
    <t>Nova Versão Transformadora</t>
  </si>
  <si>
    <t>068393843c705fd8</t>
  </si>
  <si>
    <t>Acholi Bible 1985</t>
  </si>
  <si>
    <t>fc6675d21de84bec</t>
  </si>
  <si>
    <t>Kuria</t>
  </si>
  <si>
    <t>kuj</t>
  </si>
  <si>
    <t>Igikuria New Testament 1995</t>
  </si>
  <si>
    <t>069111af66fceb94</t>
  </si>
  <si>
    <t>Girawa</t>
  </si>
  <si>
    <t>bbr</t>
  </si>
  <si>
    <t>Anut nukan Ämän Eposek</t>
  </si>
  <si>
    <t>0693bad6af3fdebc</t>
  </si>
  <si>
    <t>Sekpele</t>
  </si>
  <si>
    <t>lip</t>
  </si>
  <si>
    <t>Sekpele NT (Ghana)</t>
  </si>
  <si>
    <t>074e6e888b2a5fc6</t>
  </si>
  <si>
    <t>Sirionó</t>
  </si>
  <si>
    <t>srq</t>
  </si>
  <si>
    <t>Mbia Cheẽ</t>
  </si>
  <si>
    <t>07d151c681d74614</t>
  </si>
  <si>
    <t>Meo: Blue (Hmong Njua)</t>
  </si>
  <si>
    <t>hnj</t>
  </si>
  <si>
    <t>The Holy Bible - Blue Hmong Standard Version (2004)</t>
  </si>
  <si>
    <t>081ea5d3f7b0f5d9</t>
  </si>
  <si>
    <t>Tonga (chi-): Zambia</t>
  </si>
  <si>
    <t>toi</t>
  </si>
  <si>
    <t>Tonga Bible 1996</t>
  </si>
  <si>
    <t>08a4086851bfb1ed</t>
  </si>
  <si>
    <t>Rongmei Naga</t>
  </si>
  <si>
    <t>nbu</t>
  </si>
  <si>
    <t>Rongmei Naga Bible (Revised) - BSI</t>
  </si>
  <si>
    <t>08c66b989fa5fa17</t>
  </si>
  <si>
    <t>Iyojwa&amp;#x27;ja (Chorote)</t>
  </si>
  <si>
    <t>crt</t>
  </si>
  <si>
    <t>Chorote New Testament</t>
  </si>
  <si>
    <t>9bb76cd3e5a7f9b4</t>
  </si>
  <si>
    <t>Revised Version with Apocrypha 1895</t>
  </si>
  <si>
    <t>0ab1ed4573e80dc2</t>
  </si>
  <si>
    <t>Equatorial Guinea</t>
  </si>
  <si>
    <t>Toma New Testament 1982</t>
  </si>
  <si>
    <t>0acfa9d0e474b43a</t>
  </si>
  <si>
    <t>Kok Borok</t>
  </si>
  <si>
    <t>trp</t>
  </si>
  <si>
    <t>Kokborok Bible (Re-Edited) (BSI)</t>
  </si>
  <si>
    <t>2cf0f5d6ce454c40</t>
  </si>
  <si>
    <t>Guarani Buenas Nuevas 1970</t>
  </si>
  <si>
    <t>c3b5bd720d61a236</t>
  </si>
  <si>
    <t>Isnag</t>
  </si>
  <si>
    <t>isd</t>
  </si>
  <si>
    <t>Isnag NT with Gen and Exo</t>
  </si>
  <si>
    <t>c6d3311681a81388</t>
  </si>
  <si>
    <t>Guarani Bible DC 2006</t>
  </si>
  <si>
    <t>0b5bbecaffd3055f</t>
  </si>
  <si>
    <t>Quechua, Southern Pastaza</t>
  </si>
  <si>
    <t>qup</t>
  </si>
  <si>
    <t>Yaya Diospa mushu killkachishkan shimi</t>
  </si>
  <si>
    <t>0c06481dd67ce407</t>
  </si>
  <si>
    <t>Angami Naga</t>
  </si>
  <si>
    <t>njm</t>
  </si>
  <si>
    <t>Angami Naga C.L. Bible (BSI)</t>
  </si>
  <si>
    <t>0c4735416f70e072</t>
  </si>
  <si>
    <t>Cornwall</t>
  </si>
  <si>
    <t>Cornish Psalter (liturgical) 1997</t>
  </si>
  <si>
    <t>0c49fe37088c319c</t>
  </si>
  <si>
    <t>Malagasy Protestant Bible</t>
  </si>
  <si>
    <t>0c58bc770fea1f13</t>
  </si>
  <si>
    <t>Kaqchikel</t>
  </si>
  <si>
    <t>cak</t>
  </si>
  <si>
    <t>Kaqchikel de Santo Domingo Xenacoj New Testament</t>
  </si>
  <si>
    <t>0cf8a787fb2bca04</t>
  </si>
  <si>
    <t>Alladian</t>
  </si>
  <si>
    <t>ald</t>
  </si>
  <si>
    <t>Côte d&amp;#x27;Ivoire</t>
  </si>
  <si>
    <t>Alladian New Testament 2003</t>
  </si>
  <si>
    <t>Bible Society of Côte d&amp;#x27;Ivoire</t>
  </si>
  <si>
    <t>0ded8a4fc129cea9</t>
  </si>
  <si>
    <t>Nyishi</t>
  </si>
  <si>
    <t>njz</t>
  </si>
  <si>
    <t>Nyishi Bible (BSI)</t>
  </si>
  <si>
    <t>0e63d3c99a03b526</t>
  </si>
  <si>
    <t>Bunama</t>
  </si>
  <si>
    <t>bdd</t>
  </si>
  <si>
    <t>Loina Nuahuana</t>
  </si>
  <si>
    <t>0ebb84676b9fc691</t>
  </si>
  <si>
    <t>Yami</t>
  </si>
  <si>
    <t>tao</t>
  </si>
  <si>
    <t>The Tao New Testament (1994)</t>
  </si>
  <si>
    <t>0efad760435c79e8</t>
  </si>
  <si>
    <t>Tohono O&amp;#x27;odham</t>
  </si>
  <si>
    <t>ood</t>
  </si>
  <si>
    <t>Jiosh Wechij O&amp;#x27;ohana</t>
  </si>
  <si>
    <t>0f8468d66a1e9d59</t>
  </si>
  <si>
    <t>Nyishi Bible</t>
  </si>
  <si>
    <t>0fee1cc277f7ce52</t>
  </si>
  <si>
    <t>Waima</t>
  </si>
  <si>
    <t>rro</t>
  </si>
  <si>
    <t>Waima New Testament</t>
  </si>
  <si>
    <t>101023ba24b12632</t>
  </si>
  <si>
    <t>Nuevo Testamento Toba Qom</t>
  </si>
  <si>
    <t>101091b9c6fffcf5</t>
  </si>
  <si>
    <t>Zaiwa</t>
  </si>
  <si>
    <t>atb</t>
  </si>
  <si>
    <t>Myanmar (Burma)</t>
  </si>
  <si>
    <t>Chyoiyúng chyumlaiká: dangshikaq asik; Zaiwa</t>
  </si>
  <si>
    <t>1021438a7772af7d</t>
  </si>
  <si>
    <t>Nomaande</t>
  </si>
  <si>
    <t>lem</t>
  </si>
  <si>
    <t>Nomaande NT (Cameroon)</t>
  </si>
  <si>
    <t>10952987b3607c62</t>
  </si>
  <si>
    <t>Ivbie North-Okpela-Arhe</t>
  </si>
  <si>
    <t>atg</t>
  </si>
  <si>
    <t>Okpela New Testament</t>
  </si>
  <si>
    <t>d5eaf5a5d248b2c9</t>
  </si>
  <si>
    <t>Balangao</t>
  </si>
  <si>
    <t>blw</t>
  </si>
  <si>
    <t>Hen alen Apudyus</t>
  </si>
  <si>
    <t>3fa4c85c95be3aa6</t>
  </si>
  <si>
    <t>Nyanja</t>
  </si>
  <si>
    <t>nya</t>
  </si>
  <si>
    <t>The Word of God in Contemporary Chichewa (Mawu a Mulungu mu Chichewa Chalero)</t>
  </si>
  <si>
    <t>38ea4a494f76a7dd</t>
  </si>
  <si>
    <t>Enxet</t>
  </si>
  <si>
    <t>enx</t>
  </si>
  <si>
    <t>Enxet Sur 2015</t>
  </si>
  <si>
    <t>2d961c006f74dd5b</t>
  </si>
  <si>
    <t>Shona Common Language Bible +DC</t>
  </si>
  <si>
    <t>3238b26742542d81</t>
  </si>
  <si>
    <t>Wanga</t>
  </si>
  <si>
    <t>lwg</t>
  </si>
  <si>
    <t>FINAL OLULUYIA DC</t>
  </si>
  <si>
    <t>944c92c1c603caae</t>
  </si>
  <si>
    <t>North Alaskan Inupiatun</t>
  </si>
  <si>
    <t>esi</t>
  </si>
  <si>
    <t>Iñupiaq Bible</t>
  </si>
  <si>
    <t>bebe7d2e23926c2f</t>
  </si>
  <si>
    <t>Ancient Hebrew</t>
  </si>
  <si>
    <t>hbo</t>
  </si>
  <si>
    <t>Hebrew Old Testament BSI - 2017</t>
  </si>
  <si>
    <t>cd8cd62bd991fbbf</t>
  </si>
  <si>
    <t>Lobala</t>
  </si>
  <si>
    <t>loq</t>
  </si>
  <si>
    <t>Lobala NT</t>
  </si>
  <si>
    <t>da0947e25c9636bb</t>
  </si>
  <si>
    <t>Hoffnung für alle (Hope for all)</t>
  </si>
  <si>
    <t>d119ed786e92fc25</t>
  </si>
  <si>
    <t>Cuyonon</t>
  </si>
  <si>
    <t>cyo</t>
  </si>
  <si>
    <t>Cuyonon NT: Ang Matinlong Barita para sa Ateng Timpo (1982)</t>
  </si>
  <si>
    <t>3129f41d6c0103b0</t>
  </si>
  <si>
    <t>Almeida Revista e Corrigida 2009</t>
  </si>
  <si>
    <t>d2d3bc9bbe0feb9f</t>
  </si>
  <si>
    <t>Bible en Lomongo (Bonkanda wa Nzakomba)</t>
  </si>
  <si>
    <t>bad13e304c8aed1e</t>
  </si>
  <si>
    <t>Bantoanon</t>
  </si>
  <si>
    <t>bno</t>
  </si>
  <si>
    <t>Bantoanon NT with Gen and Exo</t>
  </si>
  <si>
    <t>2c500771ea16da93</t>
  </si>
  <si>
    <t>e3f420b9665abaeb</t>
  </si>
  <si>
    <t>La Biblia de las Americas</t>
  </si>
  <si>
    <t>fd6a811253c0fc8d</t>
  </si>
  <si>
    <t>Jula Nouveau Testament</t>
  </si>
  <si>
    <t>Duay-Rheims American Edition 1899 [eng] USA</t>
  </si>
  <si>
    <t>7f0dbc03f21790f5</t>
  </si>
  <si>
    <t>Dagara Nouveau Bible</t>
  </si>
  <si>
    <t>5ee655ce82d17011</t>
  </si>
  <si>
    <t>Cree, Southern East</t>
  </si>
  <si>
    <t>crj</t>
  </si>
  <si>
    <t>Cree: Eastern. New Testament</t>
  </si>
  <si>
    <t>c75f1cc3bb4f6c47</t>
  </si>
  <si>
    <t>Maori Bible 1868</t>
  </si>
  <si>
    <t>7b708e013c1575e4</t>
  </si>
  <si>
    <t>Manx Metrical Psalms 1761</t>
  </si>
  <si>
    <t>112be6b25474c13d</t>
  </si>
  <si>
    <t>Dhao</t>
  </si>
  <si>
    <t>nfa</t>
  </si>
  <si>
    <t>God&amp;#x27;s Word in Dhao</t>
  </si>
  <si>
    <t>25700cc9fc5bfd5b</t>
  </si>
  <si>
    <t>Ika</t>
  </si>
  <si>
    <t>ikk</t>
  </si>
  <si>
    <t>The Bible in Ika</t>
  </si>
  <si>
    <t>cd05a7dd5f61364e</t>
  </si>
  <si>
    <t>Kaansa</t>
  </si>
  <si>
    <t>gna</t>
  </si>
  <si>
    <t>le Nouveau Testament en langue kaansa</t>
  </si>
  <si>
    <t>a5351e03c0944b14</t>
  </si>
  <si>
    <t>Mohawk</t>
  </si>
  <si>
    <t>moh</t>
  </si>
  <si>
    <t>Mohawk Gospel of John Version 1804 (Canada)</t>
  </si>
  <si>
    <t>King James Version [eng] without Strong&amp;#x27;s numbers, 1769 standardized text</t>
  </si>
  <si>
    <t>113e758d9108112a</t>
  </si>
  <si>
    <t>Lega-Mwenga</t>
  </si>
  <si>
    <t>lgm</t>
  </si>
  <si>
    <t>Kilega New Testament 1957</t>
  </si>
  <si>
    <t>11b6ffdf286d2cfd</t>
  </si>
  <si>
    <t>Nadëb</t>
  </si>
  <si>
    <t>mbj</t>
  </si>
  <si>
    <t>Pꞌop Hagä Do Panyyg Hanäm Do Hahỹỹh</t>
  </si>
  <si>
    <t>12c27ba97088618e</t>
  </si>
  <si>
    <t>Nsenga New Testament 1923</t>
  </si>
  <si>
    <t>12c3638d6bf8394c</t>
  </si>
  <si>
    <t>Ulster Scots</t>
  </si>
  <si>
    <t>sco</t>
  </si>
  <si>
    <t>Ireland, Northern</t>
  </si>
  <si>
    <t>Ulster-Scots Luke</t>
  </si>
  <si>
    <t>12c67747efacf177</t>
  </si>
  <si>
    <t>Kabiye</t>
  </si>
  <si>
    <t>kbp</t>
  </si>
  <si>
    <t>93ddd119f2d9ad29</t>
  </si>
  <si>
    <t>Lutherbibel 1912</t>
  </si>
  <si>
    <t>1314ef7d15d948c9</t>
  </si>
  <si>
    <t>Akeu</t>
  </si>
  <si>
    <t>aeu</t>
  </si>
  <si>
    <t>The New Testament in the Akeu Language</t>
  </si>
  <si>
    <t>875766e910657889</t>
  </si>
  <si>
    <t>Romani Lovari Gospel of John 1930</t>
  </si>
  <si>
    <t>87808504696aa68e</t>
  </si>
  <si>
    <t>Iban</t>
  </si>
  <si>
    <t>iba</t>
  </si>
  <si>
    <t>Today&amp;#x27;s Iban Version Bible</t>
  </si>
  <si>
    <t>879eaae2343284a6</t>
  </si>
  <si>
    <t>Fasu</t>
  </si>
  <si>
    <t>faa</t>
  </si>
  <si>
    <t>Kotimo Kawe Someaka Masane Oyapo</t>
  </si>
  <si>
    <t>87ca7abc83fd75cf</t>
  </si>
  <si>
    <t>Tzeltal: Oxchuc</t>
  </si>
  <si>
    <t>tzh</t>
  </si>
  <si>
    <t>Bible in Tzeltal de Oxchuc y Tenejapa</t>
  </si>
  <si>
    <t>13475a8bd77a2523</t>
  </si>
  <si>
    <t>Navajo</t>
  </si>
  <si>
    <t>nav</t>
  </si>
  <si>
    <t>Navajo Bible</t>
  </si>
  <si>
    <t>135ccad98d972c41</t>
  </si>
  <si>
    <t>Ngando (Democratic Republic of Congo)</t>
  </si>
  <si>
    <t>nxd</t>
  </si>
  <si>
    <t>Longando (Ngando) New Testament 1962</t>
  </si>
  <si>
    <t>1363c4d5885a1f7e</t>
  </si>
  <si>
    <t>Bible 2000 Swedish Translation Study Edition</t>
  </si>
  <si>
    <t>14198e46c417b0f0</t>
  </si>
  <si>
    <t>Lamba: Zambia</t>
  </si>
  <si>
    <t>lam</t>
  </si>
  <si>
    <t>Lamba Bible version 1959</t>
  </si>
  <si>
    <t>882c692e5a213be7</t>
  </si>
  <si>
    <t>Uare</t>
  </si>
  <si>
    <t>ksj</t>
  </si>
  <si>
    <t>Uare NT [ksj] Papua New Guinea</t>
  </si>
  <si>
    <t>88307cd0d63c4207</t>
  </si>
  <si>
    <t>South Bolivian Quechua</t>
  </si>
  <si>
    <t>Quechua Bolivia DC Bible</t>
  </si>
  <si>
    <t>8871df6dba8ebcdd</t>
  </si>
  <si>
    <t>Albanian, Tosk</t>
  </si>
  <si>
    <t>Albanian Tosk New Testament 1827 (transliterated from Greek to Latin)</t>
  </si>
  <si>
    <t>891e16c5d3c480e5</t>
  </si>
  <si>
    <t>Kanite</t>
  </si>
  <si>
    <t>kmu</t>
  </si>
  <si>
    <t>Anumayamoʼa haegafa alino hagelafilatenea kea</t>
  </si>
  <si>
    <t>897f91fb2077c0b1</t>
  </si>
  <si>
    <t>Norway</t>
  </si>
  <si>
    <t>First Epistle of John in Romani Lovari 1984 (Norway)</t>
  </si>
  <si>
    <t>89a48a4ade8295cf</t>
  </si>
  <si>
    <t>Maung</t>
  </si>
  <si>
    <t>mph</t>
  </si>
  <si>
    <t>New Testament (Mark)</t>
  </si>
  <si>
    <t>89cc9c7d2327bdcf</t>
  </si>
  <si>
    <t>Delo</t>
  </si>
  <si>
    <t>ntr</t>
  </si>
  <si>
    <t>The New Testament in Delo (Ntrubo)–Ghana</t>
  </si>
  <si>
    <t>8a17e8cb4e802b2d</t>
  </si>
  <si>
    <t>Karoli Bible 1908</t>
  </si>
  <si>
    <t>8a653162320f2ba8</t>
  </si>
  <si>
    <t>Mündü</t>
  </si>
  <si>
    <t>muh</t>
  </si>
  <si>
    <t>The New Testament and Genesis in Mündü (S Sudan)</t>
  </si>
  <si>
    <t>8a78ad1a4e63959d</t>
  </si>
  <si>
    <t>Genesis and Leviticus Portion</t>
  </si>
  <si>
    <t>8a9aba68e384296e</t>
  </si>
  <si>
    <t>SPCK Beaver Indian Gospel of Mark (Syllabic Script) 1886</t>
  </si>
  <si>
    <t>8b03f8c81b3d1f7f</t>
  </si>
  <si>
    <t>Kriol</t>
  </si>
  <si>
    <t>rop</t>
  </si>
  <si>
    <t>Kriol Bible</t>
  </si>
  <si>
    <t>149012089d2473bf</t>
  </si>
  <si>
    <t>Mamara Senoufo</t>
  </si>
  <si>
    <t>myk</t>
  </si>
  <si>
    <t>New Testament, Senoufo, Mamara</t>
  </si>
  <si>
    <t>8b85fb11b41d285e</t>
  </si>
  <si>
    <t>Kara (Papua New Guinea)</t>
  </si>
  <si>
    <t>Kara New Testament</t>
  </si>
  <si>
    <t>149c2b0db5d89c9e</t>
  </si>
  <si>
    <t>Sherpa</t>
  </si>
  <si>
    <t>xsr</t>
  </si>
  <si>
    <t>Sherpa NT</t>
  </si>
  <si>
    <t>8b8a62d2b9b1b634</t>
  </si>
  <si>
    <t>Akoose</t>
  </si>
  <si>
    <t>bss</t>
  </si>
  <si>
    <t>Melɛ̌ Mékɔ̄ɔ̄lē</t>
  </si>
  <si>
    <t>8ccec75152db08c6</t>
  </si>
  <si>
    <t>Usarufa</t>
  </si>
  <si>
    <t>usa</t>
  </si>
  <si>
    <t>aúgen-anona-anonaimma</t>
  </si>
  <si>
    <t>8db1fd83aa70995d</t>
  </si>
  <si>
    <t>Uripiv-Wala-Rano-Atchin</t>
  </si>
  <si>
    <t>upv</t>
  </si>
  <si>
    <t>Uripiv New Testament</t>
  </si>
  <si>
    <t>8e2c55e27f61af1d</t>
  </si>
  <si>
    <t>gbr</t>
  </si>
  <si>
    <t>Gbagyi New Testament (Alkawali Woiwoyi)</t>
  </si>
  <si>
    <t>8ed0b41c70a4f1b7</t>
  </si>
  <si>
    <t>Diosun Jesúswen taexun yuba bena yiniki</t>
  </si>
  <si>
    <t>75a75f8742d7f40f</t>
  </si>
  <si>
    <t>Bíblia Sagrada Tradução Brasileira</t>
  </si>
  <si>
    <t>1507aee406e0366d</t>
  </si>
  <si>
    <t>Kamano</t>
  </si>
  <si>
    <t>kbq</t>
  </si>
  <si>
    <t>Anumzamofo Ruotage Avontafere</t>
  </si>
  <si>
    <t>8f0568047a5871c4</t>
  </si>
  <si>
    <t>Kituba (Democratic Republic of Congo)</t>
  </si>
  <si>
    <t>ktu</t>
  </si>
  <si>
    <t>Kikwango New Testament 1950</t>
  </si>
  <si>
    <t>8f7d32e3766e73b4</t>
  </si>
  <si>
    <t>Apatani</t>
  </si>
  <si>
    <t>apt</t>
  </si>
  <si>
    <t>Apatani New Testament (BSI)</t>
  </si>
  <si>
    <t>2e13f581c41b1fac</t>
  </si>
  <si>
    <t>Caquinte</t>
  </si>
  <si>
    <t>cot</t>
  </si>
  <si>
    <t>Iroaquerari Itioncacaantaqueca Aapani Irioshi: Tsavetacoquerica Amajirote Jesoquirishito</t>
  </si>
  <si>
    <t>8fcff3d3f7af914e</t>
  </si>
  <si>
    <t>Yareba</t>
  </si>
  <si>
    <t>yrb</t>
  </si>
  <si>
    <t>New Testament in the Yareba language of Papua New Guinea</t>
  </si>
  <si>
    <t>8fd862054da7909f</t>
  </si>
  <si>
    <t>Bemba (chi-)</t>
  </si>
  <si>
    <t>Bemba NT 2003</t>
  </si>
  <si>
    <t>8fde322f27658262</t>
  </si>
  <si>
    <t>Arosi</t>
  </si>
  <si>
    <t>aia</t>
  </si>
  <si>
    <t>The New Testament in the Arosi Language, Solomon Islands</t>
  </si>
  <si>
    <t>910483afeb2d5512</t>
  </si>
  <si>
    <t>Tamang, Eastern</t>
  </si>
  <si>
    <t>taj</t>
  </si>
  <si>
    <t>परमेश्वरला बचन छार कबुल</t>
  </si>
  <si>
    <t>930aab03c96d72aa</t>
  </si>
  <si>
    <t>Bulgarian Protestant Bible Revised edition - Bible League of Bulgaria</t>
  </si>
  <si>
    <t>93c29e2f3346b393</t>
  </si>
  <si>
    <t>Huli</t>
  </si>
  <si>
    <t>hui</t>
  </si>
  <si>
    <t>The Bible in the Huli Language Southern Highlands Province Papua New Guinea</t>
  </si>
  <si>
    <t>9419b482b6506691</t>
  </si>
  <si>
    <t>Greek: Ancient</t>
  </si>
  <si>
    <t>Inter Area / Global</t>
  </si>
  <si>
    <t>SBL Greek New Testament</t>
  </si>
  <si>
    <t>94f55365a50fb16d</t>
  </si>
  <si>
    <t>Luwo</t>
  </si>
  <si>
    <t>lwo</t>
  </si>
  <si>
    <t>The New Testament in the Luwo language of Sudan</t>
  </si>
  <si>
    <t>94ff05deb757be32</t>
  </si>
  <si>
    <t>Patep</t>
  </si>
  <si>
    <t>ptp</t>
  </si>
  <si>
    <t>Yesu Xolac</t>
  </si>
  <si>
    <t>957f2de259de7b0d</t>
  </si>
  <si>
    <t>Wubuy</t>
  </si>
  <si>
    <t>nuy</t>
  </si>
  <si>
    <t>Wubuy Shorter Bible</t>
  </si>
  <si>
    <t>af1dee2bfe891e4c</t>
  </si>
  <si>
    <t>Tausug</t>
  </si>
  <si>
    <t>tsg</t>
  </si>
  <si>
    <t>Tausug WNT</t>
  </si>
  <si>
    <t>40b8c1d51fc95d3a</t>
  </si>
  <si>
    <t>Rapanui</t>
  </si>
  <si>
    <t>rap</t>
  </si>
  <si>
    <t>Chile</t>
  </si>
  <si>
    <t>New Testament in Rapa Nui</t>
  </si>
  <si>
    <t>95f2d019a70639ba</t>
  </si>
  <si>
    <t>Salt-Yui</t>
  </si>
  <si>
    <t>sll</t>
  </si>
  <si>
    <t>Ha Maing Buku</t>
  </si>
  <si>
    <t>96538099a0d2127d</t>
  </si>
  <si>
    <t>Secoya</t>
  </si>
  <si>
    <t>sey</t>
  </si>
  <si>
    <t>Maija&amp;#x27;quë Huajë Ca Nëose&amp;#x27;e</t>
  </si>
  <si>
    <t>965a0810a43f11cb</t>
  </si>
  <si>
    <t>Yopno</t>
  </si>
  <si>
    <t>yut</t>
  </si>
  <si>
    <t>Piŋkop Gen</t>
  </si>
  <si>
    <t>9665b1d9489fd452</t>
  </si>
  <si>
    <t>Shuar</t>
  </si>
  <si>
    <t>jiv</t>
  </si>
  <si>
    <t>Yus Papí: Shuarja̱i̱ Yus Yamaram Chicham Najanamu</t>
  </si>
  <si>
    <t>96bf1e0a48220542</t>
  </si>
  <si>
    <t>BFBS Beaver Indian Gospel of Mark (Roman script) 1886</t>
  </si>
  <si>
    <t>96c187d094823ae2</t>
  </si>
  <si>
    <t>Matu Chin</t>
  </si>
  <si>
    <t>hlt</t>
  </si>
  <si>
    <t>Matu Chin New Testament</t>
  </si>
  <si>
    <t>9753be135075a49b</t>
  </si>
  <si>
    <t>Garrwa</t>
  </si>
  <si>
    <t>wrk</t>
  </si>
  <si>
    <t>Garrwa NT</t>
  </si>
  <si>
    <t>97830a8d68b0323c</t>
  </si>
  <si>
    <t>Mising</t>
  </si>
  <si>
    <t>mrg</t>
  </si>
  <si>
    <t>Mising New Testament (BSI)</t>
  </si>
  <si>
    <t>3bd31b02300a158d</t>
  </si>
  <si>
    <t>Dakota</t>
  </si>
  <si>
    <t>dak</t>
  </si>
  <si>
    <t>Dakota Wowapi Wakan Kin. The New Testament in the Dakota Language</t>
  </si>
  <si>
    <t>989c887fa443e4d3</t>
  </si>
  <si>
    <t>Kenyang</t>
  </si>
  <si>
    <t>ken</t>
  </si>
  <si>
    <t>Ɛkáti Nku Nkɔ</t>
  </si>
  <si>
    <t>98d6e494cbe49d37</t>
  </si>
  <si>
    <t>Kuna, Border</t>
  </si>
  <si>
    <t>kvn</t>
  </si>
  <si>
    <t>Pab tummad karta pab Jesucristobal igal-pin mezhijad</t>
  </si>
  <si>
    <t>98dff7cc2cecbdb2</t>
  </si>
  <si>
    <t>Assyrian Neo-Aramaic</t>
  </si>
  <si>
    <t>aii</t>
  </si>
  <si>
    <t>Iraq</t>
  </si>
  <si>
    <t>The New Testament of Our Lord Jesus Christ and the Psalms in Assyrian</t>
  </si>
  <si>
    <t>9916bfaeeb62faac</t>
  </si>
  <si>
    <t>Chothe Naga</t>
  </si>
  <si>
    <t>nct</t>
  </si>
  <si>
    <t>Chothe Naga N.T. (BSI)</t>
  </si>
  <si>
    <t>9980263d7ee10622</t>
  </si>
  <si>
    <t>Tsikimba</t>
  </si>
  <si>
    <t>kdl</t>
  </si>
  <si>
    <t>Kazuwamgbani ka savu n Tsikimba n aɓon a ɗa a ɗanga̱sai a kazuwamgbani ka cau</t>
  </si>
  <si>
    <t>8a79af1a3cdf4b4a</t>
  </si>
  <si>
    <t>Sangir</t>
  </si>
  <si>
    <t>sxn</t>
  </si>
  <si>
    <t>Today&amp;#x27;s Tagulandang Version</t>
  </si>
  <si>
    <t>aaa19db7ade2da32</t>
  </si>
  <si>
    <t>Reina Valera Contemporánea</t>
  </si>
  <si>
    <t>f6772bcf1016ea18</t>
  </si>
  <si>
    <t>Mohawk Gospel of Mark 1774 (Canada)</t>
  </si>
  <si>
    <t>62e2052b806f5239</t>
  </si>
  <si>
    <t>Uusi Testamentti ja Psalmit Nykysuomeksi 1972</t>
  </si>
  <si>
    <t>520019e7ac5949e3</t>
  </si>
  <si>
    <t>Arsi-Bale Oromo New Testament - CLT</t>
  </si>
  <si>
    <t>3d69553fe5f0c02c</t>
  </si>
  <si>
    <t>Basketo</t>
  </si>
  <si>
    <t>bst</t>
  </si>
  <si>
    <t>Basketo New Testament</t>
  </si>
  <si>
    <t>a6c72a26732c8ba5</t>
  </si>
  <si>
    <t>Nouvelle Version Segond 1978 (Colombe)</t>
  </si>
  <si>
    <t>16728d248439c355</t>
  </si>
  <si>
    <t>Ao Naga</t>
  </si>
  <si>
    <t>njo</t>
  </si>
  <si>
    <t>Ao Naga C.L. Bible (BSI)</t>
  </si>
  <si>
    <t>c4ca944defdd3dd3</t>
  </si>
  <si>
    <t>Norwegian Bokmål</t>
  </si>
  <si>
    <t>nob</t>
  </si>
  <si>
    <t>Norwegian Bible 2011 bokmål Gospels</t>
  </si>
  <si>
    <t>a45adb20f641ce8d</t>
  </si>
  <si>
    <t>Almeida Revista e Corrigida 1969</t>
  </si>
  <si>
    <t>c62e545929550be7</t>
  </si>
  <si>
    <t>New Welsh Bible Revised 2004</t>
  </si>
  <si>
    <t>3607c5584f018ec3</t>
  </si>
  <si>
    <t>972e947e0667b722</t>
  </si>
  <si>
    <t>Cree, Northern East</t>
  </si>
  <si>
    <t>crl</t>
  </si>
  <si>
    <t>Cree: Coastal (East Coast)</t>
  </si>
  <si>
    <t>99c8724862823aaa</t>
  </si>
  <si>
    <t>Achagua</t>
  </si>
  <si>
    <t>aca</t>
  </si>
  <si>
    <t>Liáꞌa Chuánshi Dios Shínaa</t>
  </si>
  <si>
    <t>d1602ab97fa017c8</t>
  </si>
  <si>
    <t>Sidamo</t>
  </si>
  <si>
    <t>sid</t>
  </si>
  <si>
    <t>Sidama Bible</t>
  </si>
  <si>
    <t>9aaad0b322a9d44e</t>
  </si>
  <si>
    <t>Southern Dagaare</t>
  </si>
  <si>
    <t>dga</t>
  </si>
  <si>
    <t>New Testament in Dagaare Language 2013</t>
  </si>
  <si>
    <t>169a7783ee5d2b8d</t>
  </si>
  <si>
    <t>Halia</t>
  </si>
  <si>
    <t>hla</t>
  </si>
  <si>
    <t>U Bulungana U Niga</t>
  </si>
  <si>
    <t>9ba896baa0ca6fdf</t>
  </si>
  <si>
    <t>Moru</t>
  </si>
  <si>
    <t>mgd</t>
  </si>
  <si>
    <t>The Holy Bible in Moru</t>
  </si>
  <si>
    <t>9bb2acd5e4730363</t>
  </si>
  <si>
    <t>Gapapaiwa</t>
  </si>
  <si>
    <t>pwg</t>
  </si>
  <si>
    <t>God Vonana Vovokaravina</t>
  </si>
  <si>
    <t>9bef2e9cfe0e3e31</t>
  </si>
  <si>
    <t>Mousgoum</t>
  </si>
  <si>
    <t>mug</t>
  </si>
  <si>
    <t>La Bible in Musgum</t>
  </si>
  <si>
    <t>9d017e2b811dd461</t>
  </si>
  <si>
    <t>Quechua, Panao Huánuco</t>
  </si>
  <si>
    <t>qxh</t>
  </si>
  <si>
    <t>Mushug Testamento</t>
  </si>
  <si>
    <t>9d032b94d5c19b88</t>
  </si>
  <si>
    <t>Kuman</t>
  </si>
  <si>
    <t>kdi</t>
  </si>
  <si>
    <t>Kumam Bible</t>
  </si>
  <si>
    <t>9e63cdeff066ea65</t>
  </si>
  <si>
    <t>Õꞌacʉ̃ Yere Ucũrĩ Turi</t>
  </si>
  <si>
    <t>9e728649b6203701</t>
  </si>
  <si>
    <t>Ama (Papua New Guinea)</t>
  </si>
  <si>
    <t>amm</t>
  </si>
  <si>
    <t>Kotoni Imo Itouniyaimo</t>
  </si>
  <si>
    <t>9ec0d51f1b887712</t>
  </si>
  <si>
    <t>Wichí Lhamtés Güisnay</t>
  </si>
  <si>
    <t>mzh</t>
  </si>
  <si>
    <t>Biblia Wichí</t>
  </si>
  <si>
    <t>f4bc8c1db66ae129</t>
  </si>
  <si>
    <t>Fijian Bible</t>
  </si>
  <si>
    <t>92c194887a6efbc6</t>
  </si>
  <si>
    <t>Rwanda (kinya-)</t>
  </si>
  <si>
    <t>kin</t>
  </si>
  <si>
    <t>Rwanda</t>
  </si>
  <si>
    <t>Kinyarwanda Catholic Bible with DC</t>
  </si>
  <si>
    <t>16de09806afe779f</t>
  </si>
  <si>
    <t>Bisu</t>
  </si>
  <si>
    <t>bzi</t>
  </si>
  <si>
    <t>True Life: The New Testament in the Bisu Language</t>
  </si>
  <si>
    <t>9edb846414c4df73</t>
  </si>
  <si>
    <t>Zou</t>
  </si>
  <si>
    <t>zom</t>
  </si>
  <si>
    <t>Zou CL Bible (BSI)</t>
  </si>
  <si>
    <t>9f21ff669f779010</t>
  </si>
  <si>
    <t>Tonga Bible 1963</t>
  </si>
  <si>
    <t>9f72b29d8a4d0cd8</t>
  </si>
  <si>
    <t>Wangurri</t>
  </si>
  <si>
    <t>dhg</t>
  </si>
  <si>
    <t>Wangurri NT (Mark)</t>
  </si>
  <si>
    <t>a07af57fe28ef371</t>
  </si>
  <si>
    <t>Maiwa</t>
  </si>
  <si>
    <t>mti</t>
  </si>
  <si>
    <t>Gae Mataiwa</t>
  </si>
  <si>
    <t>a0bad768a65bfa19</t>
  </si>
  <si>
    <t>Kyaka</t>
  </si>
  <si>
    <t>kyc</t>
  </si>
  <si>
    <t>The Shorter Old Testament and the New Testament in Kyaka Enga PNG</t>
  </si>
  <si>
    <t>a0d90d3e53825899</t>
  </si>
  <si>
    <t>Nuevo Testamento Chipaya</t>
  </si>
  <si>
    <t>a0db2493e7b01fea</t>
  </si>
  <si>
    <t>Mizo Old Version Bible (BSI)</t>
  </si>
  <si>
    <t>a2488357b80693f4</t>
  </si>
  <si>
    <t>Ewage-Notu</t>
  </si>
  <si>
    <t>nou</t>
  </si>
  <si>
    <t>Binga Ewamei Isu Keriso Da Jawo Da</t>
  </si>
  <si>
    <t>a2abb37117507fe9</t>
  </si>
  <si>
    <t>Guhu-Samane</t>
  </si>
  <si>
    <t>ghs</t>
  </si>
  <si>
    <t>Poro tongo usaqe</t>
  </si>
  <si>
    <t>a37e1df3b5b13da8</t>
  </si>
  <si>
    <t>Romani Gurbeti-Arlija 4 Gospels 2014 (Serbia)</t>
  </si>
  <si>
    <t>a4330acd51482af6</t>
  </si>
  <si>
    <t>Khiamniungan Naga</t>
  </si>
  <si>
    <t>kix</t>
  </si>
  <si>
    <t>Khiamnuingan Naga C.L. Bible (BSI)</t>
  </si>
  <si>
    <t>aebec6f2219bb7de</t>
  </si>
  <si>
    <t>Gumatj</t>
  </si>
  <si>
    <t>gnn</t>
  </si>
  <si>
    <t>eea18ccd2ca05dde</t>
  </si>
  <si>
    <t>Norwegian Bible 2011 bokmål with deuterocanonical books</t>
  </si>
  <si>
    <t>a4ab461ac16b45d9</t>
  </si>
  <si>
    <t>Chilenje</t>
  </si>
  <si>
    <t>leh</t>
  </si>
  <si>
    <t>Lenje Bible 2003</t>
  </si>
  <si>
    <t>a50250b299e4a2e1</t>
  </si>
  <si>
    <t>Weri</t>
  </si>
  <si>
    <t>wer</t>
  </si>
  <si>
    <t>Weri NT</t>
  </si>
  <si>
    <t>176ec780b07d4bf1</t>
  </si>
  <si>
    <t>Bulu</t>
  </si>
  <si>
    <t>bum</t>
  </si>
  <si>
    <t>New Bulu Bible</t>
  </si>
  <si>
    <t>17a47897c20cf1f0</t>
  </si>
  <si>
    <t>Folopa</t>
  </si>
  <si>
    <t>ppo</t>
  </si>
  <si>
    <t>Yesu Kerisoné So Whi̧ Tao Sere Kisi Fo Wisi</t>
  </si>
  <si>
    <t>a5f35b9369512e6e</t>
  </si>
  <si>
    <t>Cokwe</t>
  </si>
  <si>
    <t>cjk</t>
  </si>
  <si>
    <t>The Bible in Chokwe 1970</t>
  </si>
  <si>
    <t>17c24f52fc047c73</t>
  </si>
  <si>
    <t>Congo Swahili</t>
  </si>
  <si>
    <t>swc</t>
  </si>
  <si>
    <t>Swahili: Congo Revised Bible 2002</t>
  </si>
  <si>
    <t>a718953646fa98d1</t>
  </si>
  <si>
    <t>Kosena</t>
  </si>
  <si>
    <t>kze</t>
  </si>
  <si>
    <t>aúná-aimba simái tarúmakain-kwasai</t>
  </si>
  <si>
    <t>a768d9a32a2f6c79</t>
  </si>
  <si>
    <t>Gujarati Common Language Bible</t>
  </si>
  <si>
    <t>a7cfffa1ecacd85b</t>
  </si>
  <si>
    <t>a804bbc16f5648c6</t>
  </si>
  <si>
    <t>Ri c&amp;#x27;ac&amp;#x27;ac&amp;#x27; Testamento pa kach&amp;#x27;ab&amp;#x27;al</t>
  </si>
  <si>
    <t>a821a5c268ba7bcf</t>
  </si>
  <si>
    <t>Anuki</t>
  </si>
  <si>
    <t>aui</t>
  </si>
  <si>
    <t>Anuki Mark</t>
  </si>
  <si>
    <t>a835a3a59eeee82f</t>
  </si>
  <si>
    <t>Mussau-Emira</t>
  </si>
  <si>
    <t>emi</t>
  </si>
  <si>
    <t>Mussau-Emira Bible</t>
  </si>
  <si>
    <t>a863ff667519e437</t>
  </si>
  <si>
    <t>Quechua, Northern Conchucos Ancash</t>
  </si>
  <si>
    <t>qxn</t>
  </si>
  <si>
    <t>Señor Jesucristopa alli willacuynin</t>
  </si>
  <si>
    <t>7bcaa2f2e77739d5</t>
  </si>
  <si>
    <t>Norwegian Nynorsk</t>
  </si>
  <si>
    <t>nno</t>
  </si>
  <si>
    <t>Norwegian Bible 2011 nynorsk with deuterocanonical books</t>
  </si>
  <si>
    <t>a91fc6613e36390f</t>
  </si>
  <si>
    <t>Selee</t>
  </si>
  <si>
    <t>snw</t>
  </si>
  <si>
    <t>The New Testament the Sɛlɛɛ language (Ghana)</t>
  </si>
  <si>
    <t>a97d3a2a470b1858</t>
  </si>
  <si>
    <t>Chin, Zyphe</t>
  </si>
  <si>
    <t>zyp</t>
  </si>
  <si>
    <t>Biahrai Tha, Zyphe rei</t>
  </si>
  <si>
    <t>a9da8ce626d8009e</t>
  </si>
  <si>
    <t>Mofu-Nord</t>
  </si>
  <si>
    <t>mfk</t>
  </si>
  <si>
    <t>Mofu Gudur New Testament</t>
  </si>
  <si>
    <t>b19fcf462065a794</t>
  </si>
  <si>
    <t>Central Asian Russian Scriptures</t>
  </si>
  <si>
    <t>afac0e03e279db4f</t>
  </si>
  <si>
    <t>Iloko</t>
  </si>
  <si>
    <t>ilo</t>
  </si>
  <si>
    <t>Ilokano Form-Based Bible: Ti Biblia (1973)</t>
  </si>
  <si>
    <t>7ee5e7bc4e1d1401</t>
  </si>
  <si>
    <t>Jita</t>
  </si>
  <si>
    <t>jit</t>
  </si>
  <si>
    <t>Kijita New Testament Version 1960</t>
  </si>
  <si>
    <t>998951903bbbe01c</t>
  </si>
  <si>
    <t>Hiligaynon Form-Based Bible: Ang Biblia (1982)</t>
  </si>
  <si>
    <t>375e601af3b16eb8</t>
  </si>
  <si>
    <t>Salesbury Welsh New Testament and Psalms 1567</t>
  </si>
  <si>
    <t>8c43d080f2856a7e</t>
  </si>
  <si>
    <t>Tigrinya</t>
  </si>
  <si>
    <t>tir</t>
  </si>
  <si>
    <t>Tigrigna Holy Bible</t>
  </si>
  <si>
    <t>aa5575fa0d68f590</t>
  </si>
  <si>
    <t>Igbo</t>
  </si>
  <si>
    <t>ibo</t>
  </si>
  <si>
    <t>Igbo Living New Testament</t>
  </si>
  <si>
    <t>aa9d400152fb14e5</t>
  </si>
  <si>
    <t>Bissa</t>
  </si>
  <si>
    <t>bib</t>
  </si>
  <si>
    <t>Bissa NT of Burkina Faso</t>
  </si>
  <si>
    <t>180203474e5067ec</t>
  </si>
  <si>
    <t>Kaninuwa</t>
  </si>
  <si>
    <t>wat</t>
  </si>
  <si>
    <t>Kaninuwa Bible</t>
  </si>
  <si>
    <t>1803f5d306f2f02d</t>
  </si>
  <si>
    <t>Daga</t>
  </si>
  <si>
    <t>dgz</t>
  </si>
  <si>
    <t>Nop Ewakewa</t>
  </si>
  <si>
    <t>ab19365adc05586c</t>
  </si>
  <si>
    <t>Are</t>
  </si>
  <si>
    <t>mwc</t>
  </si>
  <si>
    <t>Are Luke</t>
  </si>
  <si>
    <t>187adfee4c8f868e</t>
  </si>
  <si>
    <t>Kom (India)</t>
  </si>
  <si>
    <t>kmm</t>
  </si>
  <si>
    <t>Komrem Bible Revision (BSI)</t>
  </si>
  <si>
    <t>ab3044ecbeed73a8</t>
  </si>
  <si>
    <t>Urarina</t>
  </si>
  <si>
    <t>ura</t>
  </si>
  <si>
    <t>Cana Coaunera Ere</t>
  </si>
  <si>
    <t>ab44b1e7a6852856</t>
  </si>
  <si>
    <t>Plenitud Study Bible Almeida Revised and Updated</t>
  </si>
  <si>
    <t>aba4ca54495e8b24</t>
  </si>
  <si>
    <t>Binandere</t>
  </si>
  <si>
    <t>bhg</t>
  </si>
  <si>
    <t>Portions in Binandere</t>
  </si>
  <si>
    <t>eb0935793b720fe9</t>
  </si>
  <si>
    <t>Western Dani</t>
  </si>
  <si>
    <t>dnw</t>
  </si>
  <si>
    <t>Today&amp;#x27;s Lani Version</t>
  </si>
  <si>
    <t>ac1aad80f28d436a</t>
  </si>
  <si>
    <t>Molima</t>
  </si>
  <si>
    <t>mox</t>
  </si>
  <si>
    <t>New Testament in Molima</t>
  </si>
  <si>
    <t>3d0a9ddee37b79ed</t>
  </si>
  <si>
    <t>William Salesbury Psalms 1567</t>
  </si>
  <si>
    <t>ac565f5293c67279</t>
  </si>
  <si>
    <t>Mbunda (chi-)</t>
  </si>
  <si>
    <t>mck</t>
  </si>
  <si>
    <t>The Bible in Mbunda</t>
  </si>
  <si>
    <t>accfd0a4b628dac6</t>
  </si>
  <si>
    <t>Golin</t>
  </si>
  <si>
    <t>gvf</t>
  </si>
  <si>
    <t>God ka main buku</t>
  </si>
  <si>
    <t>aea9d9099feb3a24</t>
  </si>
  <si>
    <t>Mam: Ostuncalco (southern)</t>
  </si>
  <si>
    <t>Mam Ostuncalco Bible</t>
  </si>
  <si>
    <t>5f5f849664d80162</t>
  </si>
  <si>
    <t>Mongolian Bible</t>
  </si>
  <si>
    <t>c268ac24bfea9055</t>
  </si>
  <si>
    <t>Northern Thai</t>
  </si>
  <si>
    <t>nod</t>
  </si>
  <si>
    <t>Holy Bible New Testament Northern Thai in Thai Script</t>
  </si>
  <si>
    <t>c9332f97a27c1f6b</t>
  </si>
  <si>
    <t>Keyagana</t>
  </si>
  <si>
    <t>kyg</t>
  </si>
  <si>
    <t>Keyagana Bible</t>
  </si>
  <si>
    <t>5cf3ea27ef2c7ff5</t>
  </si>
  <si>
    <t>Holy Bible New Testament Northern Thai in Lanna Script</t>
  </si>
  <si>
    <t>90f455307abeca24</t>
  </si>
  <si>
    <t>Baeggu</t>
  </si>
  <si>
    <t>bvd</t>
  </si>
  <si>
    <t>Baeguu New Testament [bvd] Solomon Islands publication snapshot</t>
  </si>
  <si>
    <t>ac6ae93f5c1d41f4</t>
  </si>
  <si>
    <t>Kinyarwanda</t>
  </si>
  <si>
    <t>Kinyarwanda Interconfessional Bible with DC</t>
  </si>
  <si>
    <t>ec0aee212b234f9e</t>
  </si>
  <si>
    <t>Kinyarwanda Protestant Bible</t>
  </si>
  <si>
    <t>4ee298a43d935ffe</t>
  </si>
  <si>
    <t>Kachin</t>
  </si>
  <si>
    <t>kac</t>
  </si>
  <si>
    <t>Jinghpaw Common Language Bible 2009</t>
  </si>
  <si>
    <t>df2d33ad51c1e86b</t>
  </si>
  <si>
    <t>Anuak</t>
  </si>
  <si>
    <t>anu</t>
  </si>
  <si>
    <t>Anyuak Bible</t>
  </si>
  <si>
    <t>812979be5cea477f</t>
  </si>
  <si>
    <t>Библия в современном русском переводе под ред. М.П.К и М.М.К (BTI)</t>
  </si>
  <si>
    <t>38abbbe1e11d172f</t>
  </si>
  <si>
    <t>The Apocrypha / Deuterocanon</t>
  </si>
  <si>
    <t>24722a3b9010fa47</t>
  </si>
  <si>
    <t>Standard Arabic</t>
  </si>
  <si>
    <t>arb</t>
  </si>
  <si>
    <t>New Arabic Version (Ketab El Hayat) 2012</t>
  </si>
  <si>
    <t>2d454040eace7e9e</t>
  </si>
  <si>
    <t>Vunjo</t>
  </si>
  <si>
    <t>vun</t>
  </si>
  <si>
    <t>Kivunjo New Testament 1999</t>
  </si>
  <si>
    <t>1adbdc237376fbec</t>
  </si>
  <si>
    <t>Kagulu</t>
  </si>
  <si>
    <t>kki</t>
  </si>
  <si>
    <t>Kaguru New Testament</t>
  </si>
  <si>
    <t>e4be884e82a429bb</t>
  </si>
  <si>
    <t>Luo (Kenya and Tanzania)</t>
  </si>
  <si>
    <t>luo</t>
  </si>
  <si>
    <t>Dholuo DC Bible 1976</t>
  </si>
  <si>
    <t>cfda14461b794664</t>
  </si>
  <si>
    <t>Sukuma</t>
  </si>
  <si>
    <t>suk</t>
  </si>
  <si>
    <t>Sukuma New Bible with DC</t>
  </si>
  <si>
    <t>f2268e2d08035778</t>
  </si>
  <si>
    <t>Masai</t>
  </si>
  <si>
    <t>mas</t>
  </si>
  <si>
    <t>Maasai Bible 1991</t>
  </si>
  <si>
    <t>c23356f01aedfe61</t>
  </si>
  <si>
    <t>Shambala</t>
  </si>
  <si>
    <t>ksb</t>
  </si>
  <si>
    <t>Kishambala New Testament 2005</t>
  </si>
  <si>
    <t>69ac085544000f8e</t>
  </si>
  <si>
    <t>Nyaturu</t>
  </si>
  <si>
    <t>rim</t>
  </si>
  <si>
    <t>Kirimi New Testament</t>
  </si>
  <si>
    <t>6a047085889d3637</t>
  </si>
  <si>
    <t>Hehe</t>
  </si>
  <si>
    <t>heh</t>
  </si>
  <si>
    <t>Kihehe New Testament</t>
  </si>
  <si>
    <t>162d91fe25269476</t>
  </si>
  <si>
    <t>Sukuma New Testament 2000</t>
  </si>
  <si>
    <t>4d75941b2e975cc3</t>
  </si>
  <si>
    <t>Rampi</t>
  </si>
  <si>
    <t>lje</t>
  </si>
  <si>
    <t>Today&amp;#x27;s Rampi Version</t>
  </si>
  <si>
    <t>e48bf2a0f5f939ec</t>
  </si>
  <si>
    <t>Natügu</t>
  </si>
  <si>
    <t>ntu</t>
  </si>
  <si>
    <t>Natqgu New Testament [ntu] Solomon Islands publication snapshot</t>
  </si>
  <si>
    <t>0a19b175a7f803a4</t>
  </si>
  <si>
    <t>Rarotongan</t>
  </si>
  <si>
    <t>rar</t>
  </si>
  <si>
    <t>Cook Islands</t>
  </si>
  <si>
    <t>Cook Island Maori Revised New Testament</t>
  </si>
  <si>
    <t>6cad66264ff510e6</t>
  </si>
  <si>
    <t>Datooga</t>
  </si>
  <si>
    <t>tcc</t>
  </si>
  <si>
    <t>Datooga NT 2009 (DBL)</t>
  </si>
  <si>
    <t>9b4d7865173513ae</t>
  </si>
  <si>
    <t>Nilamba</t>
  </si>
  <si>
    <t>nim</t>
  </si>
  <si>
    <t>The New Testament in Kinyiramba 2009</t>
  </si>
  <si>
    <t>a06bfe23e24045d1</t>
  </si>
  <si>
    <t>Ghayavi</t>
  </si>
  <si>
    <t>bmk</t>
  </si>
  <si>
    <t>b252b339fc2a74a0</t>
  </si>
  <si>
    <t>Didinga</t>
  </si>
  <si>
    <t>did</t>
  </si>
  <si>
    <t>Didinga NT+</t>
  </si>
  <si>
    <t>Aruamu New Testament [msy] Papua New Guinea 2004 DBL</t>
  </si>
  <si>
    <t>d613a32d9a631fc8</t>
  </si>
  <si>
    <t>Tboli</t>
  </si>
  <si>
    <t>tbl</t>
  </si>
  <si>
    <t>Udél dwata: gna kesfasad ne lomi kesfasad</t>
  </si>
  <si>
    <t>c262cf71f39ec3a9</t>
  </si>
  <si>
    <t>Gela</t>
  </si>
  <si>
    <t>nlg</t>
  </si>
  <si>
    <t>Gela Bible [nlg] Solomon Islands</t>
  </si>
  <si>
    <t>a3854c96fd2203d2</t>
  </si>
  <si>
    <t>Punjabi Old Version Bible (BSI)</t>
  </si>
  <si>
    <t>54904a5c8f0ca932</t>
  </si>
  <si>
    <t>West Central Oromo</t>
  </si>
  <si>
    <t>gaz</t>
  </si>
  <si>
    <t>West 0romo Bible</t>
  </si>
  <si>
    <t>799115dd9f12e8f7</t>
  </si>
  <si>
    <t>Berom</t>
  </si>
  <si>
    <t>bom</t>
  </si>
  <si>
    <t>Berom Bible</t>
  </si>
  <si>
    <t>4927d702e2d77b70</t>
  </si>
  <si>
    <t>Church Slavic</t>
  </si>
  <si>
    <t>chu</t>
  </si>
  <si>
    <t>Church Slavonic Elizabeth Bible 1751 (Arabic numbers)</t>
  </si>
  <si>
    <t>82741d58b4eb7ab2</t>
  </si>
  <si>
    <t>Church Slavonic Elizabeth Bible 1751 (Church Slavonic numbers)</t>
  </si>
  <si>
    <t>630e00ebfeef518a</t>
  </si>
  <si>
    <t>Pass Valley Yali</t>
  </si>
  <si>
    <t>yac</t>
  </si>
  <si>
    <t>PB Yali Barat</t>
  </si>
  <si>
    <t>88cc5ed496a50aab</t>
  </si>
  <si>
    <t>Delitzsch&amp;#x27;s Hebrew NT 12th adition</t>
  </si>
  <si>
    <t>5a3dce3d1f52ebf3</t>
  </si>
  <si>
    <t>Borana New Testament</t>
  </si>
  <si>
    <t>dac7e6d690608d3e</t>
  </si>
  <si>
    <t>Ladakhi</t>
  </si>
  <si>
    <t>lbj</t>
  </si>
  <si>
    <t>Ladakhi Bible YouVersion snap shot</t>
  </si>
  <si>
    <t>d0b457adffa57d5e</t>
  </si>
  <si>
    <t>Sebat Bet Gurage</t>
  </si>
  <si>
    <t>sgw</t>
  </si>
  <si>
    <t>Gurage Bible</t>
  </si>
  <si>
    <t>28d9ddbd6f0244cd</t>
  </si>
  <si>
    <t>Scottish Gaelic</t>
  </si>
  <si>
    <t>The New Testament in the New Scots Gaelic Translation 2017</t>
  </si>
  <si>
    <t>5e83af86f894be05</t>
  </si>
  <si>
    <t>Bughotu</t>
  </si>
  <si>
    <t>bgt</t>
  </si>
  <si>
    <t>Bugotu New Testament [bgt] Solomon Islands publication snapshot</t>
  </si>
  <si>
    <t>e10c865a9b4054ae</t>
  </si>
  <si>
    <t>Fataleka</t>
  </si>
  <si>
    <t>far</t>
  </si>
  <si>
    <t>Fataleka New Testament [far] Solomon Islands publication snapshot</t>
  </si>
  <si>
    <t>aecd86932a86b8b9</t>
  </si>
  <si>
    <t>Timugon Murut</t>
  </si>
  <si>
    <t>tih</t>
  </si>
  <si>
    <t>Today&amp;#x27;s Murut Timugon Version</t>
  </si>
  <si>
    <t>aeeff77cf7e743c9</t>
  </si>
  <si>
    <t>Mirandese</t>
  </si>
  <si>
    <t>mwl</t>
  </si>
  <si>
    <t>Mirandese Gospels</t>
  </si>
  <si>
    <t>af41011cdffce0e8</t>
  </si>
  <si>
    <t>Siroi</t>
  </si>
  <si>
    <t>ssd</t>
  </si>
  <si>
    <t>Kuate Tuku Pasa</t>
  </si>
  <si>
    <t>1925aca9a079c718</t>
  </si>
  <si>
    <t>Gor</t>
  </si>
  <si>
    <t>gqr</t>
  </si>
  <si>
    <t>Ta lǝ Luwǝ Kunmindɨ kɨ Sigɨ</t>
  </si>
  <si>
    <t>af6cdfd3e1b6310b</t>
  </si>
  <si>
    <t>Bana</t>
  </si>
  <si>
    <t>bcw</t>
  </si>
  <si>
    <t>Le Nouveau Testament en langue Bana du Cameroun</t>
  </si>
  <si>
    <t>b064de13ea621be2</t>
  </si>
  <si>
    <t>Lewo</t>
  </si>
  <si>
    <t>lww</t>
  </si>
  <si>
    <t>Lewo New Testament</t>
  </si>
  <si>
    <t>b0b0d8c25b0d622a</t>
  </si>
  <si>
    <t>Bwanabwana</t>
  </si>
  <si>
    <t>tte</t>
  </si>
  <si>
    <t>Buki Tabu Waluwaluna</t>
  </si>
  <si>
    <t>b1e41d7d42353f80</t>
  </si>
  <si>
    <t>Ninzo</t>
  </si>
  <si>
    <t>nin</t>
  </si>
  <si>
    <t>Ninzo New Testament</t>
  </si>
  <si>
    <t>b22b5f61d90cdc04</t>
  </si>
  <si>
    <t>Tshiluba New Bible</t>
  </si>
  <si>
    <t>1a8c113f6692a8a3</t>
  </si>
  <si>
    <t>Paama Bible, 2016</t>
  </si>
  <si>
    <t>1b419c3b590c8a4a</t>
  </si>
  <si>
    <t>Tewa (USA)</t>
  </si>
  <si>
    <t>tew</t>
  </si>
  <si>
    <t>Naˀinbí Sedó Yôesiví Tu̖u̖ / Nanbí Sedó Jôesiví Tun</t>
  </si>
  <si>
    <t>1b72b010d4e0a892</t>
  </si>
  <si>
    <t>Mofu-Gudur</t>
  </si>
  <si>
    <t>mif</t>
  </si>
  <si>
    <t>Le Nouveau Testament en langue Mofu-Gudur (Cameroun)</t>
  </si>
  <si>
    <t>1b8cb338a2c33a6c</t>
  </si>
  <si>
    <t>Alune</t>
  </si>
  <si>
    <t>alp</t>
  </si>
  <si>
    <t>Janji beluke</t>
  </si>
  <si>
    <t>1b9f5c4efc114227</t>
  </si>
  <si>
    <t>Wolaytta</t>
  </si>
  <si>
    <t>wal</t>
  </si>
  <si>
    <t>Wolaytta Bible 2002</t>
  </si>
  <si>
    <t>1c49115ac69d60c3</t>
  </si>
  <si>
    <t>Epena</t>
  </si>
  <si>
    <t>sja</t>
  </si>
  <si>
    <t>Tachi ak&amp;#x27;õre pedee</t>
  </si>
  <si>
    <t>1d082e9a059009a7</t>
  </si>
  <si>
    <t>Tem</t>
  </si>
  <si>
    <t>kdh</t>
  </si>
  <si>
    <t>Tem Bible</t>
  </si>
  <si>
    <t>1d195f0748db203a</t>
  </si>
  <si>
    <t>Keapara</t>
  </si>
  <si>
    <t>khz</t>
  </si>
  <si>
    <t>The New Testament in the Kalo</t>
  </si>
  <si>
    <t>1d2500c097ee17fc</t>
  </si>
  <si>
    <t>Kambio Wampukuamp Bible Portions</t>
  </si>
  <si>
    <t>1d7dff747b079530</t>
  </si>
  <si>
    <t>Bafut</t>
  </si>
  <si>
    <t>bfd</t>
  </si>
  <si>
    <t>Bafut NT</t>
  </si>
  <si>
    <t>6788d443de22f979</t>
  </si>
  <si>
    <t>ukr</t>
  </si>
  <si>
    <t>Ukraine</t>
  </si>
  <si>
    <t>Ukrainian Bible LXX UkrBS</t>
  </si>
  <si>
    <t>1e373c574603783d</t>
  </si>
  <si>
    <t>Samba Leko</t>
  </si>
  <si>
    <t>ndi</t>
  </si>
  <si>
    <t>Samba Leko New Testament</t>
  </si>
  <si>
    <t>2b700938019c377b</t>
  </si>
  <si>
    <t>Ukrainian Ohienko Bible 2015</t>
  </si>
  <si>
    <t>1f62167aaa4cd1cf</t>
  </si>
  <si>
    <t>Albanian</t>
  </si>
  <si>
    <t>sqi</t>
  </si>
  <si>
    <t>Albanian Interconfessional New Testament</t>
  </si>
  <si>
    <t>1fb91d2e0a5f51f5</t>
  </si>
  <si>
    <t>Cherokee</t>
  </si>
  <si>
    <t>chr</t>
  </si>
  <si>
    <t>Cherokee New Testament</t>
  </si>
  <si>
    <t>20b5f47157f46475</t>
  </si>
  <si>
    <t>Wa</t>
  </si>
  <si>
    <t>wbm</t>
  </si>
  <si>
    <t>Wa Common Language Translation</t>
  </si>
  <si>
    <t>20c6e93313527d55</t>
  </si>
  <si>
    <t>Waffa</t>
  </si>
  <si>
    <t>waj</t>
  </si>
  <si>
    <t>Karaasa Yeena Rau Kioo Kuaivovee</t>
  </si>
  <si>
    <t>21e4138251ad975b</t>
  </si>
  <si>
    <t>Maiadomu</t>
  </si>
  <si>
    <t>mzz</t>
  </si>
  <si>
    <t>Maiadomu Mark</t>
  </si>
  <si>
    <t>21f5d36cd4cd0423</t>
  </si>
  <si>
    <t>Bimoba NT (Ghana)</t>
  </si>
  <si>
    <t>21f7d6c081d573ec</t>
  </si>
  <si>
    <t>Javanese, Caribbean</t>
  </si>
  <si>
    <t>jvn</t>
  </si>
  <si>
    <t>Kitab sutyi prejanjian anyar ing Basa Jawa Suriname sing gampang</t>
  </si>
  <si>
    <t>224601c25c518125</t>
  </si>
  <si>
    <t>Nocte Naga</t>
  </si>
  <si>
    <t>njb</t>
  </si>
  <si>
    <t>Nokte Naga NT (BSI)</t>
  </si>
  <si>
    <t>22fbf0c97434957a</t>
  </si>
  <si>
    <t>Gikyode</t>
  </si>
  <si>
    <t>acd</t>
  </si>
  <si>
    <t>The New Testament of in the Gikyode language (Ghana)</t>
  </si>
  <si>
    <t>b32a6fa6bd281388</t>
  </si>
  <si>
    <t>Sa&amp;#x27;a</t>
  </si>
  <si>
    <t>apb</t>
  </si>
  <si>
    <t>The Good News of our Lord Jesus Christ</t>
  </si>
  <si>
    <t>b347993c47833204</t>
  </si>
  <si>
    <t>The Drom (The Way) SGM booklet 1995</t>
  </si>
  <si>
    <t>b37b85d8f6b14ef2</t>
  </si>
  <si>
    <t>Kakabai</t>
  </si>
  <si>
    <t>kqf</t>
  </si>
  <si>
    <t>Kakabai Mark</t>
  </si>
  <si>
    <t>8fdbaafceb0cf4db</t>
  </si>
  <si>
    <t>Të Shkruomitë e Shenjtë - Gjon Buzuku 1555</t>
  </si>
  <si>
    <t>b4b3bb80ccc3d89c</t>
  </si>
  <si>
    <t>Dimasa</t>
  </si>
  <si>
    <t>dis</t>
  </si>
  <si>
    <t>Dimasa N.T. PSA &amp;amp;amp; PRO (BSI)</t>
  </si>
  <si>
    <t>23b9134f73da4a21</t>
  </si>
  <si>
    <t>Seimat</t>
  </si>
  <si>
    <t>ssg</t>
  </si>
  <si>
    <t>Kakai Haeu</t>
  </si>
  <si>
    <t>23d389a765305e49</t>
  </si>
  <si>
    <t>Tsishingini</t>
  </si>
  <si>
    <t>tsw</t>
  </si>
  <si>
    <t>Nzuwulai n Sa&amp;#x27;avu na̱ Tsishingini na̱ a̱ɗiva̱ a na a ɗangulai a Nzuwulai mu Ufaru</t>
  </si>
  <si>
    <t>23d4b7183bed44c7</t>
  </si>
  <si>
    <t>Sena</t>
  </si>
  <si>
    <t>Sena NT</t>
  </si>
  <si>
    <t>24304b250810722c</t>
  </si>
  <si>
    <t>The Holy Gospels 2008 (liturgical)</t>
  </si>
  <si>
    <t>2462be97e14f3bce</t>
  </si>
  <si>
    <t>Huitoto, Murui</t>
  </si>
  <si>
    <t>huu</t>
  </si>
  <si>
    <t>Jusiñamui uai: Jusiñamui jito rafue illa rabenico</t>
  </si>
  <si>
    <t>24706c16604c6f30</t>
  </si>
  <si>
    <t>Kewa, East</t>
  </si>
  <si>
    <t>kjs</t>
  </si>
  <si>
    <t>Gotena epe agale</t>
  </si>
  <si>
    <t>2483968c2752b5d2</t>
  </si>
  <si>
    <t>Djambarrpuyngu</t>
  </si>
  <si>
    <t>djr</t>
  </si>
  <si>
    <t>Djambarrpuyngu New Testament</t>
  </si>
  <si>
    <t>25235898f0b9a130</t>
  </si>
  <si>
    <t>Dii</t>
  </si>
  <si>
    <t>dur</t>
  </si>
  <si>
    <t>Dii New Testament</t>
  </si>
  <si>
    <t>259eac377fda3ee8</t>
  </si>
  <si>
    <t>Faroese</t>
  </si>
  <si>
    <t>fao</t>
  </si>
  <si>
    <t>25b22b576c35c0a2</t>
  </si>
  <si>
    <t>Avokaya</t>
  </si>
  <si>
    <t>avu</t>
  </si>
  <si>
    <t>The New Testament in Avokaya</t>
  </si>
  <si>
    <t>25cf9871f1479b77</t>
  </si>
  <si>
    <t>Umbu-Ungu</t>
  </si>
  <si>
    <t>Pulu Yemonga ungu kondemo: Pulu Yemone nimbe panjipe mi lerimu ungu kondemo</t>
  </si>
  <si>
    <t>2609a17df21cd73e</t>
  </si>
  <si>
    <t>Kele (Democratic Republic of Congo)</t>
  </si>
  <si>
    <t>khy</t>
  </si>
  <si>
    <t>Kele (Lokele) New Testament 1958</t>
  </si>
  <si>
    <t>2666ed6ef732c8ad</t>
  </si>
  <si>
    <t>Tuma-Irumu</t>
  </si>
  <si>
    <t>iou</t>
  </si>
  <si>
    <t>Anutu Täŋo Man</t>
  </si>
  <si>
    <t>267844fecb17bbee</t>
  </si>
  <si>
    <t>Bandial</t>
  </si>
  <si>
    <t>bqj</t>
  </si>
  <si>
    <t>The Bible in Bandial</t>
  </si>
  <si>
    <t>26a182fb1869c203</t>
  </si>
  <si>
    <t>Vaiphei</t>
  </si>
  <si>
    <t>vap</t>
  </si>
  <si>
    <t>Vaiphei CL Bible (BSI)</t>
  </si>
  <si>
    <t>2769a3831f3ebb88</t>
  </si>
  <si>
    <t>Wancho Naga</t>
  </si>
  <si>
    <t>nnp</t>
  </si>
  <si>
    <t>Wancho Naga Bible (BSI)</t>
  </si>
  <si>
    <t>27a979e345ebfdb3</t>
  </si>
  <si>
    <t>Biblica Hausa New Testament</t>
  </si>
  <si>
    <t>27b1393b7176ac27</t>
  </si>
  <si>
    <t>Warlpiri</t>
  </si>
  <si>
    <t>wbp</t>
  </si>
  <si>
    <t>Warlpiri Bible</t>
  </si>
  <si>
    <t>28a05eb5ad3c34ef</t>
  </si>
  <si>
    <t>Páez</t>
  </si>
  <si>
    <t>pbb</t>
  </si>
  <si>
    <t>Páez New Testament</t>
  </si>
  <si>
    <t>28c40de349db51a4</t>
  </si>
  <si>
    <t>Iamalele</t>
  </si>
  <si>
    <t>yml</t>
  </si>
  <si>
    <t>2970d792813aef73</t>
  </si>
  <si>
    <t>Sabaot</t>
  </si>
  <si>
    <t>spy</t>
  </si>
  <si>
    <t>Biibilya Nyēē Tiliil</t>
  </si>
  <si>
    <t>29e26f336f2062df</t>
  </si>
  <si>
    <t>Lozi (si-)</t>
  </si>
  <si>
    <t>loz</t>
  </si>
  <si>
    <t>Lozi Bible 2009</t>
  </si>
  <si>
    <t>2ab2aea91d60a4de</t>
  </si>
  <si>
    <t>Takia</t>
  </si>
  <si>
    <t>tbc</t>
  </si>
  <si>
    <t>Takia NT</t>
  </si>
  <si>
    <t>2af82902b6b32738</t>
  </si>
  <si>
    <t>Mambwe (ichi-): Lungu</t>
  </si>
  <si>
    <t>mgr</t>
  </si>
  <si>
    <t>Mambwe-Lungu Bible 2013</t>
  </si>
  <si>
    <t>5dd78d59ff7724d7</t>
  </si>
  <si>
    <t>Armenian</t>
  </si>
  <si>
    <t>hye</t>
  </si>
  <si>
    <t>Armenia</t>
  </si>
  <si>
    <t>New Etchmiadzin Bible</t>
  </si>
  <si>
    <t>cbdc35d3b992d4b5</t>
  </si>
  <si>
    <t>New Revised Ararat Bible</t>
  </si>
  <si>
    <t>b510c31ff4b22ec3</t>
  </si>
  <si>
    <t>Kwoma</t>
  </si>
  <si>
    <t>kmo</t>
  </si>
  <si>
    <t>God riiti maji kepi</t>
  </si>
  <si>
    <t>b51dac1b1a881d2f</t>
  </si>
  <si>
    <t>Dhimba</t>
  </si>
  <si>
    <t>dhm</t>
  </si>
  <si>
    <t>b53b443307deb72d</t>
  </si>
  <si>
    <t>Waimaha</t>
  </si>
  <si>
    <t>bao</t>
  </si>
  <si>
    <t>U̶mʉreco pacʉ wederique</t>
  </si>
  <si>
    <t>b5472a584e2d47b2</t>
  </si>
  <si>
    <t>Ndogo</t>
  </si>
  <si>
    <t>ndz</t>
  </si>
  <si>
    <t>The New Testament in the Ndogo language</t>
  </si>
  <si>
    <t>2b1625d1f4236ce5</t>
  </si>
  <si>
    <t>Lingala</t>
  </si>
  <si>
    <t>lin</t>
  </si>
  <si>
    <t>Lingala New Testament &amp;amp;amp; Psalms</t>
  </si>
  <si>
    <t>2b3028609daf34d1</t>
  </si>
  <si>
    <t>Izii</t>
  </si>
  <si>
    <t>izz</t>
  </si>
  <si>
    <t>The Bible in Izii</t>
  </si>
  <si>
    <t>2bac6224ab47bab8</t>
  </si>
  <si>
    <t>Viakʼla txumbʼal u tioxh</t>
  </si>
  <si>
    <t>2d88fffaef97b826</t>
  </si>
  <si>
    <t>Senoufo, Supyire</t>
  </si>
  <si>
    <t>spp</t>
  </si>
  <si>
    <t>KILE JWUMPE SEMƐŊI JWUMPE NINTANMPE</t>
  </si>
  <si>
    <t>2eb4c956c00a6b24</t>
  </si>
  <si>
    <t>Konai</t>
  </si>
  <si>
    <t>kxw</t>
  </si>
  <si>
    <t>Konai New Testament</t>
  </si>
  <si>
    <t>2eccf1796085d174</t>
  </si>
  <si>
    <t>Fore</t>
  </si>
  <si>
    <t>for</t>
  </si>
  <si>
    <t>Mono Agowe</t>
  </si>
  <si>
    <t>2f06c1200853731d</t>
  </si>
  <si>
    <t>Malagasy Catholic Bible</t>
  </si>
  <si>
    <t>2f86fb364f8c9658</t>
  </si>
  <si>
    <t>Bemba Bible</t>
  </si>
  <si>
    <t>2fce6e88649551c0</t>
  </si>
  <si>
    <t>Burmese</t>
  </si>
  <si>
    <t>mya</t>
  </si>
  <si>
    <t>Common Language Bible</t>
  </si>
  <si>
    <t>307270e74292c0de</t>
  </si>
  <si>
    <t>Kimbundu</t>
  </si>
  <si>
    <t>kmb</t>
  </si>
  <si>
    <t>Holy Bible in Kimbundu 1980</t>
  </si>
  <si>
    <t>3119c05ced57ad72</t>
  </si>
  <si>
    <t>Dawawa</t>
  </si>
  <si>
    <t>dww</t>
  </si>
  <si>
    <t>Vari Verenama</t>
  </si>
  <si>
    <t>9da87cd79b86844e</t>
  </si>
  <si>
    <t>Pedi</t>
  </si>
  <si>
    <t>nso</t>
  </si>
  <si>
    <t>Sepedi 2000</t>
  </si>
  <si>
    <t>4c3dc656c06134e0</t>
  </si>
  <si>
    <t>Southern Sotho</t>
  </si>
  <si>
    <t>sot</t>
  </si>
  <si>
    <t>Sesotho 1909 (Lesotho Orthography)</t>
  </si>
  <si>
    <t>476bb188fd6fdb58</t>
  </si>
  <si>
    <t>Zulu</t>
  </si>
  <si>
    <t>zul</t>
  </si>
  <si>
    <t>IsiZulu 1986 New Testament and Psalms</t>
  </si>
  <si>
    <t>cf15a81a1d60e090</t>
  </si>
  <si>
    <t>Xhosa</t>
  </si>
  <si>
    <t>xho</t>
  </si>
  <si>
    <t>IsiXhosa 1975</t>
  </si>
  <si>
    <t>1f411cd9d340280b</t>
  </si>
  <si>
    <t>Setswana 1908 (Old Orthography)</t>
  </si>
  <si>
    <t>a68688c64d1e5745</t>
  </si>
  <si>
    <t>IsiZulu 1893</t>
  </si>
  <si>
    <t>5acb769a87183de5</t>
  </si>
  <si>
    <t>IsiXhosa 1996</t>
  </si>
  <si>
    <t>39804759d29de5d4</t>
  </si>
  <si>
    <t>Venda</t>
  </si>
  <si>
    <t>ven</t>
  </si>
  <si>
    <t>Tshivenda 1998</t>
  </si>
  <si>
    <t>987502e4d74c76aa</t>
  </si>
  <si>
    <t>Sesotho 1909/1961 (Standard Orthography)</t>
  </si>
  <si>
    <t>c90ced6f948e9df2</t>
  </si>
  <si>
    <t>Tshivenda 1936</t>
  </si>
  <si>
    <t>ef88d0e04f349974</t>
  </si>
  <si>
    <t>Scots Gaelic Apocrypha 1860</t>
  </si>
  <si>
    <t>f75ec9abac4d7747</t>
  </si>
  <si>
    <t>Rest of the Manx Apocrypha (Broderick) 1979</t>
  </si>
  <si>
    <t>1bf647e33d9d5abe</t>
  </si>
  <si>
    <t>Taupota</t>
  </si>
  <si>
    <t>tpa</t>
  </si>
  <si>
    <t>Taupota Mark</t>
  </si>
  <si>
    <t>0b30f7a64e7e17b0</t>
  </si>
  <si>
    <t>San Marcos Tlacoyalco Popoloca</t>
  </si>
  <si>
    <t>pls</t>
  </si>
  <si>
    <t>Popoloca, San Marcos Tlacoyalco_DBL</t>
  </si>
  <si>
    <t>867d75564182779d</t>
  </si>
  <si>
    <t>Nova Versão Internacional 2011 (Brazilian Portuguese) - 2018 Update</t>
  </si>
  <si>
    <t>2bd348d16e6b4158</t>
  </si>
  <si>
    <t>Bengali Old Version Bible (BSI)</t>
  </si>
  <si>
    <t>b7bcc8d842e33502</t>
  </si>
  <si>
    <t>Sinhala</t>
  </si>
  <si>
    <t>sin</t>
  </si>
  <si>
    <t>Sinhala Revised Old Version</t>
  </si>
  <si>
    <t>be732654d8fe41bd</t>
  </si>
  <si>
    <t>ODIA-OV (Re-edited) - (BSI)</t>
  </si>
  <si>
    <t>1fd99b0d5841e19b</t>
  </si>
  <si>
    <t>English: New Revised Standard Version 1989</t>
  </si>
  <si>
    <t>35a571d86e007df8</t>
  </si>
  <si>
    <t>Luganda Bible Revision</t>
  </si>
  <si>
    <t>a625ce053c95c29d</t>
  </si>
  <si>
    <t>Plautdietsch</t>
  </si>
  <si>
    <t>pdt</t>
  </si>
  <si>
    <t>The Bible in Plautdietsch (Low German)</t>
  </si>
  <si>
    <t>5542a8cd0429163d</t>
  </si>
  <si>
    <t>Tagalog Contemporary Bible (Ang Salita ng Dios)</t>
  </si>
  <si>
    <t>4545f7f21f92f0c5</t>
  </si>
  <si>
    <t>Traduction Œcuménique de la Bible 2010</t>
  </si>
  <si>
    <t>043f34213156ec4b</t>
  </si>
  <si>
    <t>Lebanon</t>
  </si>
  <si>
    <t>Jesuit Arabic Bible</t>
  </si>
  <si>
    <t>e688fff7f41c20e5</t>
  </si>
  <si>
    <t>Western Armenian 1853 New Testament</t>
  </si>
  <si>
    <t>a63722935848280c</t>
  </si>
  <si>
    <t>Արեւմտահայերէն Նոր Կտակարան - Western Armenian N.T. 2017 (with adaptations)</t>
  </si>
  <si>
    <t>78a9f6124f344018</t>
  </si>
  <si>
    <t>New International Version 2011 (Revised format)</t>
  </si>
  <si>
    <t>50bbe17f5ccd235b</t>
  </si>
  <si>
    <t>Hupla</t>
  </si>
  <si>
    <t>hap</t>
  </si>
  <si>
    <t>Alkitab Hupla</t>
  </si>
  <si>
    <t>300672556a449b25</t>
  </si>
  <si>
    <t>Ang Pulong Sang Dios (Hiligaynon Bible)</t>
  </si>
  <si>
    <t>06071552c2f4c566</t>
  </si>
  <si>
    <t>Avatime</t>
  </si>
  <si>
    <t>avn</t>
  </si>
  <si>
    <t>The New Testament in Sideme</t>
  </si>
  <si>
    <t>3357b76c0cdb4ff6</t>
  </si>
  <si>
    <t>Ashéninka Perené</t>
  </si>
  <si>
    <t>prq</t>
  </si>
  <si>
    <t>Ashéninka Perené NT with OT portions</t>
  </si>
  <si>
    <t>705620b3f7696637</t>
  </si>
  <si>
    <t>Paasaal</t>
  </si>
  <si>
    <t>sig</t>
  </si>
  <si>
    <t>The New Testament in Sisaala-Paasaal (Ghana)</t>
  </si>
  <si>
    <t>593dd8478f017140</t>
  </si>
  <si>
    <t>Huaylas Ancash Quechua</t>
  </si>
  <si>
    <t>Quechua Ancash New Testament 1992</t>
  </si>
  <si>
    <t>c58d1973cf970993</t>
  </si>
  <si>
    <t>Cusco Quechua</t>
  </si>
  <si>
    <t>quz</t>
  </si>
  <si>
    <t>Revised Quechua Cuzco Bible</t>
  </si>
  <si>
    <t>9c1ce7d7538e297a</t>
  </si>
  <si>
    <t>Quechua: Ayacucho</t>
  </si>
  <si>
    <t>Quechua Ayacucho Bible 1987</t>
  </si>
  <si>
    <t>ece37f606ae9bb88</t>
  </si>
  <si>
    <t>Quechua: Cuzco</t>
  </si>
  <si>
    <t>Quechua Cuzco Bible 1988</t>
  </si>
  <si>
    <t>20b5ffd57ecda079</t>
  </si>
  <si>
    <t>Korean Revised Version</t>
  </si>
  <si>
    <t>d094a51365ff04a4</t>
  </si>
  <si>
    <t>Nyakyusa Bible 1996 (DBL)</t>
  </si>
  <si>
    <t>5606d5e01cb7fec1</t>
  </si>
  <si>
    <t>Karon</t>
  </si>
  <si>
    <t>krx</t>
  </si>
  <si>
    <t>Kuloonaay</t>
  </si>
  <si>
    <t>097d52a784155a2c</t>
  </si>
  <si>
    <t>Central Khmer</t>
  </si>
  <si>
    <t>khm</t>
  </si>
  <si>
    <t>Khmer Tazi Version 2014</t>
  </si>
  <si>
    <t>48be253d9a29faa0</t>
  </si>
  <si>
    <t>Adyghe</t>
  </si>
  <si>
    <t>ady</t>
  </si>
  <si>
    <t>Adyghe New Testament</t>
  </si>
  <si>
    <t>7098ea3143634317</t>
  </si>
  <si>
    <t>Afrikaans 1933/1953</t>
  </si>
  <si>
    <t>d5740a21775305be</t>
  </si>
  <si>
    <t>Ronga</t>
  </si>
  <si>
    <t>rng</t>
  </si>
  <si>
    <t>XIRONGA NEW TESTAMENT WITH PSALMS 2007</t>
  </si>
  <si>
    <t>87f620660790371b</t>
  </si>
  <si>
    <t>Herziene Statenvertaling</t>
  </si>
  <si>
    <t>55461eb84986c387</t>
  </si>
  <si>
    <t>Sinhala: New Revised Standard Version</t>
  </si>
  <si>
    <t>163d85cd44d3ffab</t>
  </si>
  <si>
    <t>Northern Ngbandi</t>
  </si>
  <si>
    <t>ngb</t>
  </si>
  <si>
    <t>Ngbandi New Testament (Fana Ngbangɔ) 1987</t>
  </si>
  <si>
    <t>6f26e199139ea7f1</t>
  </si>
  <si>
    <t>La Bible du Semeur (The Bible of the Sower)</t>
  </si>
  <si>
    <t>97393ae4d89f11d0</t>
  </si>
  <si>
    <t>Nigerian Fulfulde</t>
  </si>
  <si>
    <t>Fulfulde Nigeria Arabic Script New Testament</t>
  </si>
  <si>
    <t>de31e55389cc600d</t>
  </si>
  <si>
    <t>The Holy Bible in Revised Khmer Old Version 2016</t>
  </si>
  <si>
    <t>6ca982d68850ea22</t>
  </si>
  <si>
    <t>Deg</t>
  </si>
  <si>
    <t>mzw</t>
  </si>
  <si>
    <t>The Bible in Deg</t>
  </si>
  <si>
    <t>9e9143e14787b913</t>
  </si>
  <si>
    <t>Tigon Mbembe</t>
  </si>
  <si>
    <t>nza</t>
  </si>
  <si>
    <t>Mbembe NT</t>
  </si>
  <si>
    <t>15d7b7813bfa2801</t>
  </si>
  <si>
    <t>Vagla</t>
  </si>
  <si>
    <t>vag</t>
  </si>
  <si>
    <t>Vagla Bible</t>
  </si>
  <si>
    <t>1b4138dc86cf3e93</t>
  </si>
  <si>
    <t>Ngawn Chin</t>
  </si>
  <si>
    <t>cnw</t>
  </si>
  <si>
    <t>Ngawm Bible</t>
  </si>
  <si>
    <t>2f416c6f03dd8090</t>
  </si>
  <si>
    <t>Nueva Versión Internacional (Castellano) 2017</t>
  </si>
  <si>
    <t>2355a6cefc13bc13</t>
  </si>
  <si>
    <t>ព្រះគម្ពីរជាភាសាខ្មែរបច្ចុប្បន្ន(Khmer Standard Version) 2005</t>
  </si>
  <si>
    <t>768156ae84c063c1</t>
  </si>
  <si>
    <t>Lanna Bible Translation</t>
  </si>
  <si>
    <t>108aa0495c0f45fb</t>
  </si>
  <si>
    <t>Contemporary English Version (Anglicised) 2012</t>
  </si>
  <si>
    <t>a2f90721dfd5ae7c</t>
  </si>
  <si>
    <t>Dalmatinova Biblija 1584</t>
  </si>
  <si>
    <t>07320d32756929af</t>
  </si>
  <si>
    <t>Slovenian Standard Version</t>
  </si>
  <si>
    <t>f4d7e4cfe2b2a896</t>
  </si>
  <si>
    <t>Jubilee Version of the New Testament</t>
  </si>
  <si>
    <t>de08848bef5aa286</t>
  </si>
  <si>
    <t>English-UK: Good News Translation (Anglicised) 1994</t>
  </si>
  <si>
    <t>112aaa5cd28875ac</t>
  </si>
  <si>
    <t>ព្រះគម្ពីរបរិសុទ្ធKhmer Old Version 1954 (Re-Typeset 2014)</t>
  </si>
  <si>
    <t>1279c83bcdc94118</t>
  </si>
  <si>
    <t>St Matthew in the Susoo language 1816</t>
  </si>
  <si>
    <t>2e3185bcb90f9381</t>
  </si>
  <si>
    <t>Polish Living New Testament</t>
  </si>
  <si>
    <t>d4ee8bd515e066de</t>
  </si>
  <si>
    <t>Sinti Romani Song of Solomon (Italy) 1875</t>
  </si>
  <si>
    <t>b10d05d493300c8e</t>
  </si>
  <si>
    <t>Biblia en Romané</t>
  </si>
  <si>
    <t>082f66ec02ef5d68</t>
  </si>
  <si>
    <t>Romany Scripture Compositions by Wester Boswell 1874</t>
  </si>
  <si>
    <t>09b96b32559fee65</t>
  </si>
  <si>
    <t>Kushti Lavs (Good News in Romany) 1981</t>
  </si>
  <si>
    <t>b5e97cb268b34010</t>
  </si>
  <si>
    <t>Romani Kalderash Gospel of Mark 1996 (Romania)</t>
  </si>
  <si>
    <t>cb6d2ea99b52fd86</t>
  </si>
  <si>
    <t>Romani Ursari Gospel of Matthew 1996 (Romania)</t>
  </si>
  <si>
    <t>49cbd4f992682595</t>
  </si>
  <si>
    <t>Izon</t>
  </si>
  <si>
    <t>ijc</t>
  </si>
  <si>
    <t>Izon New Testament</t>
  </si>
  <si>
    <t>287fd486d73a894e</t>
  </si>
  <si>
    <t>Arsi-Bale Oromo New Testament - LTT</t>
  </si>
  <si>
    <t>1ed2fe40f0059265</t>
  </si>
  <si>
    <t>Turkana</t>
  </si>
  <si>
    <t>tuv</t>
  </si>
  <si>
    <t>ABIBILIA NGAKIRO NAAJOKAK</t>
  </si>
  <si>
    <t>9d6c778f312df938</t>
  </si>
  <si>
    <t>Kamba (Kenya)</t>
  </si>
  <si>
    <t>kam</t>
  </si>
  <si>
    <t>KIKAMBA TRANSLATION PROJECT 3</t>
  </si>
  <si>
    <t>7dbdb4d39d4a8d83</t>
  </si>
  <si>
    <t>Kurdish New Testament and Psalms +</t>
  </si>
  <si>
    <t>61fd76eafa1577c2</t>
  </si>
  <si>
    <t>English: Good News Translation US 1992</t>
  </si>
  <si>
    <t>eb779d9d3dc4fd6e</t>
  </si>
  <si>
    <t>Volapük</t>
  </si>
  <si>
    <t>vol</t>
  </si>
  <si>
    <t>Volapük First Epistle of John 1888</t>
  </si>
  <si>
    <t>2e613b400fb31965</t>
  </si>
  <si>
    <t>Manx Gospel of Matthew 1748</t>
  </si>
  <si>
    <t>e6dc5f8b0dc74c15</t>
  </si>
  <si>
    <t>Manx Gospel of John 1936</t>
  </si>
  <si>
    <t>fc0cc6db0df2e410</t>
  </si>
  <si>
    <t>Macedonian Standard Bible 2006 (with deuterocanonical books)</t>
  </si>
  <si>
    <t>5588c01125b7d194</t>
  </si>
  <si>
    <t>Keliko</t>
  </si>
  <si>
    <t>kbo</t>
  </si>
  <si>
    <t>Keliko NT with OT portions</t>
  </si>
  <si>
    <t>48049edcbce83a69</t>
  </si>
  <si>
    <t>Amharic</t>
  </si>
  <si>
    <t>amh</t>
  </si>
  <si>
    <t>Amh1962Edited</t>
  </si>
  <si>
    <t>375e9833dfedd166</t>
  </si>
  <si>
    <t>Xamtanga</t>
  </si>
  <si>
    <t>xan</t>
  </si>
  <si>
    <t>Xamtanga NT</t>
  </si>
  <si>
    <t>b5361478ae1d88bf</t>
  </si>
  <si>
    <t>Shekkacho</t>
  </si>
  <si>
    <t>moy</t>
  </si>
  <si>
    <t>Shekkacho NT</t>
  </si>
  <si>
    <t>e7b336ef9f0b84b5</t>
  </si>
  <si>
    <t>Kataang</t>
  </si>
  <si>
    <t>kgd</t>
  </si>
  <si>
    <t>Southern Katang New Testament</t>
  </si>
  <si>
    <t>146b1da1c439e7d4</t>
  </si>
  <si>
    <t>Pijin</t>
  </si>
  <si>
    <t>pis</t>
  </si>
  <si>
    <t>Solomon Islands Pijin Bible</t>
  </si>
  <si>
    <t>22b6f0cee3f69bfd</t>
  </si>
  <si>
    <t>Scots Gaelic 1992 Bible, corrected 2017</t>
  </si>
  <si>
    <t>7a05a66c170e79f9</t>
  </si>
  <si>
    <t>Scots Gaelic Reference Bible 2017</t>
  </si>
  <si>
    <t>1daebc9a9900aa78</t>
  </si>
  <si>
    <t>Enxet Lengua Sur 2018</t>
  </si>
  <si>
    <t>09dd2b5ee5677956</t>
  </si>
  <si>
    <t>Litvanyi et al., NT with study notes (1949) 李山甫等《新經全書》附注釋</t>
  </si>
  <si>
    <t>1acb90cd67653967</t>
  </si>
  <si>
    <t>Norwegian Living Bible, New Testament</t>
  </si>
  <si>
    <t>4da6c78a5daa566c</t>
  </si>
  <si>
    <t>East Ambae</t>
  </si>
  <si>
    <t>omb</t>
  </si>
  <si>
    <t>Havai New Testament</t>
  </si>
  <si>
    <t>14f16cc41046a92d</t>
  </si>
  <si>
    <t>Caribbean Javanese</t>
  </si>
  <si>
    <t>Surinaams Javaans Bible 2018</t>
  </si>
  <si>
    <t>a40aa02b9d065f29</t>
  </si>
  <si>
    <t>Sranan Tongo</t>
  </si>
  <si>
    <t>srn</t>
  </si>
  <si>
    <t>Sranan Bijbel 2016</t>
  </si>
  <si>
    <t>1103c3f806efa8a0</t>
  </si>
  <si>
    <t>Irish</t>
  </si>
  <si>
    <t>gle</t>
  </si>
  <si>
    <t>Ireland</t>
  </si>
  <si>
    <t>Irish Gaelic Bedell Apocrypha</t>
  </si>
  <si>
    <t>937fe19add254cf3</t>
  </si>
  <si>
    <t>Laka (Chad)</t>
  </si>
  <si>
    <t>lap</t>
  </si>
  <si>
    <t>Kabba Laka New Testament 1960</t>
  </si>
  <si>
    <t>e8b3091181fb39fb</t>
  </si>
  <si>
    <t>Manx Pointed Psalms 1765</t>
  </si>
  <si>
    <t>c8757d99a8086506</t>
  </si>
  <si>
    <t>Ó Cuinn Irish New Testament 1970</t>
  </si>
  <si>
    <t>f7a29bc708c1cec1</t>
  </si>
  <si>
    <t>Misima-Panaeati</t>
  </si>
  <si>
    <t>mpx</t>
  </si>
  <si>
    <t>Misima-Paneati NT with OT portions -Papua New Guinea 2018 update</t>
  </si>
  <si>
    <t>fffe2a897323ec82</t>
  </si>
  <si>
    <t>Bibelen på hverdagsdansk (The Bible in Everyday Danish)</t>
  </si>
  <si>
    <t>fef8392a43d0764d</t>
  </si>
  <si>
    <t>Huichol</t>
  </si>
  <si>
    <t>hch</t>
  </si>
  <si>
    <t>The New Testament in Huichol</t>
  </si>
  <si>
    <t>abf44fbbd35c1a6b</t>
  </si>
  <si>
    <t>Norwegian Study Bible 2018</t>
  </si>
  <si>
    <t>8f58a4546243c413</t>
  </si>
  <si>
    <t>Luvale</t>
  </si>
  <si>
    <t>lue</t>
  </si>
  <si>
    <t>Luvale Bible Version 1970</t>
  </si>
  <si>
    <t>ce11b813f9a27e20</t>
  </si>
  <si>
    <t>Nueva Biblia Latinoamericana</t>
  </si>
  <si>
    <t>c58a5dbc30762660</t>
  </si>
  <si>
    <t>Turkish</t>
  </si>
  <si>
    <t>tur</t>
  </si>
  <si>
    <t>Кирил харфлерийле Тюркче Кутсал Китап - Turkish Revision 2008 Bible in Cyrillic</t>
  </si>
  <si>
    <t>3a58bb7dafa55959</t>
  </si>
  <si>
    <t>Traducción en Lenguaje Actual Unicode</t>
  </si>
  <si>
    <t>31c1130475000445</t>
  </si>
  <si>
    <t>Ngindo</t>
  </si>
  <si>
    <t>nnq</t>
  </si>
  <si>
    <t>Ngindo New Testament</t>
  </si>
  <si>
    <t>76ad99a898227d47</t>
  </si>
  <si>
    <t>Plains Cree</t>
  </si>
  <si>
    <t>crk</t>
  </si>
  <si>
    <t>Contemporary Plains Cree</t>
  </si>
  <si>
    <t>9915a49ed60cc12f</t>
  </si>
  <si>
    <t>Gamo</t>
  </si>
  <si>
    <t>gmv</t>
  </si>
  <si>
    <t>Gamo Geesha Maxxafa New Testament</t>
  </si>
  <si>
    <t>967c2d1304b66edf</t>
  </si>
  <si>
    <t>Mason Cree Syllabic Bible</t>
  </si>
  <si>
    <t>1aad0a8ff32fcc5a</t>
  </si>
  <si>
    <t>Agricola NT 1548</t>
  </si>
  <si>
    <t>cb76dbe75cf9d621</t>
  </si>
  <si>
    <t>Mason Cree Bible SRO</t>
  </si>
  <si>
    <t>9f9a4f023d654793</t>
  </si>
  <si>
    <t>Tswa</t>
  </si>
  <si>
    <t>tsc</t>
  </si>
  <si>
    <t>Tshwa Bible (A Biblia Go Basa) Version 1972</t>
  </si>
  <si>
    <t>3b39116007482d41</t>
  </si>
  <si>
    <t>Ntcham</t>
  </si>
  <si>
    <t>bud</t>
  </si>
  <si>
    <t>Bassar Bible with DC</t>
  </si>
  <si>
    <t>95d17eb7ab81fcf4</t>
  </si>
  <si>
    <t>Kuni-Boazi</t>
  </si>
  <si>
    <t>kvg</t>
  </si>
  <si>
    <t>Kuni/Boazi [KVG] (Kuni Dialect)</t>
  </si>
  <si>
    <t>07ed9ca493c59234</t>
  </si>
  <si>
    <t>Manga Kanuri</t>
  </si>
  <si>
    <t>kby</t>
  </si>
  <si>
    <t>Manga Kanuri Translation</t>
  </si>
  <si>
    <t>5fda60f68d866e3b</t>
  </si>
  <si>
    <t>West Ambae</t>
  </si>
  <si>
    <t>nnd</t>
  </si>
  <si>
    <t>Havakinau New Testament</t>
  </si>
  <si>
    <t>f0d54c2e201947c5</t>
  </si>
  <si>
    <t>Mogofin</t>
  </si>
  <si>
    <t>mfg</t>
  </si>
  <si>
    <t>Mɔgɔfin kuma - Ala la kitabue</t>
  </si>
  <si>
    <t>1b30ebaaff2bfc26</t>
  </si>
  <si>
    <t>Western Frisian</t>
  </si>
  <si>
    <t>fry</t>
  </si>
  <si>
    <t>Bibel</t>
  </si>
  <si>
    <t>b81124bb75aae85d</t>
  </si>
  <si>
    <t>Statenvertaling editie 1977</t>
  </si>
  <si>
    <t>727c39e6874d916c</t>
  </si>
  <si>
    <t>Mossi</t>
  </si>
  <si>
    <t>Moore New Testament 1997</t>
  </si>
  <si>
    <t>444556d9b3314328</t>
  </si>
  <si>
    <t>Nyiha (Tanzania)</t>
  </si>
  <si>
    <t>nih</t>
  </si>
  <si>
    <t>Nyiha New Testament (Tesitamenti Umupwa) 1965</t>
  </si>
  <si>
    <t>8fa00d97cfb2aa7f</t>
  </si>
  <si>
    <t>Zaiwa Atsi Gospel of Mark 1951 (Roman script)</t>
  </si>
  <si>
    <t>a69ae46456196a3b</t>
  </si>
  <si>
    <t>Gogodala</t>
  </si>
  <si>
    <t>ggw</t>
  </si>
  <si>
    <t>Gogodala Bible Translation Project</t>
  </si>
  <si>
    <t>354753a2a5cd2165</t>
  </si>
  <si>
    <t>Tok Pisin</t>
  </si>
  <si>
    <t>tpi</t>
  </si>
  <si>
    <t>Tok Pisin Bible with Deuterocanon</t>
  </si>
  <si>
    <t>f544448ff1326ad7</t>
  </si>
  <si>
    <t>Amharic 1962 Original</t>
  </si>
  <si>
    <t>35024d28ecbc2ef5</t>
  </si>
  <si>
    <t>Moore Protestant Bible Unicode</t>
  </si>
  <si>
    <t>66a62cc1db6e3ec6</t>
  </si>
  <si>
    <t>Lutherbibel 1545</t>
  </si>
  <si>
    <t>824243de5de3445c</t>
  </si>
  <si>
    <t>Gitonga</t>
  </si>
  <si>
    <t>toh</t>
  </si>
  <si>
    <t>GITONGA DC BIBLE</t>
  </si>
  <si>
    <t>c73329e85f47a957</t>
  </si>
  <si>
    <t>Reina Valera 1995 Edición Estándar</t>
  </si>
  <si>
    <t>47fda6befc41db45</t>
  </si>
  <si>
    <t>Malayalam Contemporary Version</t>
  </si>
  <si>
    <t>8c698ffbe541db8a</t>
  </si>
  <si>
    <t>Finnish Bible 1992</t>
  </si>
  <si>
    <t>ae5a64c6aed357a7</t>
  </si>
  <si>
    <t>Guianese Creole French</t>
  </si>
  <si>
    <t>gcr</t>
  </si>
  <si>
    <t>Guyana French Creole Gospel of John 2007</t>
  </si>
  <si>
    <t>fc58a81f91b61c65</t>
  </si>
  <si>
    <t>Chol</t>
  </si>
  <si>
    <t>ctu</t>
  </si>
  <si>
    <t>I T’an Dios</t>
  </si>
  <si>
    <t>312b0d1e64e9e427</t>
  </si>
  <si>
    <t>Jini wen bʌ tʼan</t>
  </si>
  <si>
    <t>aa87dce4947fb6c8</t>
  </si>
  <si>
    <t>Koongo</t>
  </si>
  <si>
    <t>kng</t>
  </si>
  <si>
    <t>Kikongo Bible Version 1958</t>
  </si>
  <si>
    <t>b3c031ee65243673</t>
  </si>
  <si>
    <t>Bíblia de Estudo Aplicação Pessoal</t>
  </si>
  <si>
    <t>e74083e2cb1a5420</t>
  </si>
  <si>
    <t>Mwani</t>
  </si>
  <si>
    <t>wmw</t>
  </si>
  <si>
    <t>Habari Ngema</t>
  </si>
  <si>
    <t>26216846b8f947a4</t>
  </si>
  <si>
    <t>Eastern Bolivian Guaraní</t>
  </si>
  <si>
    <t>Biblia Guaraní Bolivia</t>
  </si>
  <si>
    <t>32e2f2b69e4e8968</t>
  </si>
  <si>
    <t>Krio</t>
  </si>
  <si>
    <t>kri</t>
  </si>
  <si>
    <t>Krio Bible 2013</t>
  </si>
  <si>
    <t>ee3d111d47f2eeb2</t>
  </si>
  <si>
    <t>Kono (Sierra Leone)</t>
  </si>
  <si>
    <t>kno</t>
  </si>
  <si>
    <t>Kono New Testament 2006</t>
  </si>
  <si>
    <t>10e139d061d3a4ae</t>
  </si>
  <si>
    <t>Mende (Sierra Leone)</t>
  </si>
  <si>
    <t>men</t>
  </si>
  <si>
    <t>Mende New Testament 2002</t>
  </si>
  <si>
    <t>f518f6f501d05b90</t>
  </si>
  <si>
    <t>Timne</t>
  </si>
  <si>
    <t>tem</t>
  </si>
  <si>
    <t>Themne New Testament 2009</t>
  </si>
  <si>
    <t>3def53432d64806d</t>
  </si>
  <si>
    <t>Samberigi</t>
  </si>
  <si>
    <t>ssx</t>
  </si>
  <si>
    <t>Sembeleke</t>
  </si>
  <si>
    <t>4b64f7d0cdec0e42</t>
  </si>
  <si>
    <t>English: Revised Standard Version 1952</t>
  </si>
  <si>
    <t>0300b3bffeba677f</t>
  </si>
  <si>
    <t>Côte d’Ivoire</t>
  </si>
  <si>
    <t>Dan (Western) NT</t>
  </si>
  <si>
    <t>b7112053bc602357</t>
  </si>
  <si>
    <t>daf</t>
  </si>
  <si>
    <t>Dan (Eastern) NT</t>
  </si>
  <si>
    <t>ee142c62e2932398</t>
  </si>
  <si>
    <t>EasyEnglish Bible 2018</t>
  </si>
  <si>
    <t>6dccfcd4bd7bf4df</t>
  </si>
  <si>
    <t>Asante Twi Contemporary Version NT</t>
  </si>
  <si>
    <t>4bbbdf0152c2c13b</t>
  </si>
  <si>
    <t>English Standard Version (ESV) Anglicised UK 2016 Text centre column references</t>
  </si>
  <si>
    <t>b0cd5ec247ade00e</t>
  </si>
  <si>
    <t>English Standard Version (ESV) Anglicised 2016</t>
  </si>
  <si>
    <t>93922d8bba915f58</t>
  </si>
  <si>
    <t>Rwa</t>
  </si>
  <si>
    <t>rwk</t>
  </si>
  <si>
    <t>Kimeru-Tanzania New Testament (Mma Shiyya) 1972</t>
  </si>
  <si>
    <t>d1fe6317fb2ec4ad</t>
  </si>
  <si>
    <t>BIBLIA GITONGA EVANGÉLICA</t>
  </si>
  <si>
    <t>d92d74d8082c773a</t>
  </si>
  <si>
    <t>Welsh Metrical Psalms 1621 (Edmund Prys)</t>
  </si>
  <si>
    <t>a81b73293d3080c9</t>
  </si>
  <si>
    <t>Amplified Bible</t>
  </si>
  <si>
    <t>dee4f0612ca11590</t>
  </si>
  <si>
    <t>Western Lawa</t>
  </si>
  <si>
    <t>lcp</t>
  </si>
  <si>
    <t>Western Lawa Bible</t>
  </si>
  <si>
    <t>cfb9596971706cee</t>
  </si>
  <si>
    <t>Bashkir</t>
  </si>
  <si>
    <t>bak</t>
  </si>
  <si>
    <t>Bashkir OT partial</t>
  </si>
  <si>
    <t>d21334638ee57cae</t>
  </si>
  <si>
    <t>Russia Buriat</t>
  </si>
  <si>
    <t>bxr</t>
  </si>
  <si>
    <t>Buryat OT partial</t>
  </si>
  <si>
    <t>0c8a87cc21b9d1e3</t>
  </si>
  <si>
    <t>Ossetian</t>
  </si>
  <si>
    <t>oss</t>
  </si>
  <si>
    <t>Ossetic OT partial</t>
  </si>
  <si>
    <t>de258817435979de</t>
  </si>
  <si>
    <t>Kuranko</t>
  </si>
  <si>
    <t>knk</t>
  </si>
  <si>
    <t>Kuranko Common Language Bible</t>
  </si>
  <si>
    <t>6ff83dcf587ea0f5</t>
  </si>
  <si>
    <t>Zaramo New Testament (Lagano da Isambi) 1975</t>
  </si>
  <si>
    <t>a64cea3a93ffc34f</t>
  </si>
  <si>
    <t>Hiri Motu</t>
  </si>
  <si>
    <t>hmo</t>
  </si>
  <si>
    <t>Hiri Motu Bible 1993</t>
  </si>
  <si>
    <t>8342418dcfa5a94b</t>
  </si>
  <si>
    <t>Gogo</t>
  </si>
  <si>
    <t>gog</t>
  </si>
  <si>
    <t>Cigogo New Testament 1991 (I Cilagane Cipya)</t>
  </si>
  <si>
    <t>ec8ec0b2db331726</t>
  </si>
  <si>
    <t>Yaka (Congo)</t>
  </si>
  <si>
    <t>iyx</t>
  </si>
  <si>
    <t>Mark Version 1973 (Madiko wasinika M&amp;#x27;samu wawu wa Mbote)</t>
  </si>
  <si>
    <t>255618834395d3d2</t>
  </si>
  <si>
    <t>Buku Loyera-Chewa Common Language</t>
  </si>
  <si>
    <t>449138a9f38fd6a9</t>
  </si>
  <si>
    <t>Sandawe</t>
  </si>
  <si>
    <t>sad</t>
  </si>
  <si>
    <t>SAN BIBLE PROTESTANT EDITION</t>
  </si>
  <si>
    <t>f101ad92621d6fa7</t>
  </si>
  <si>
    <t>New Testament (Osotua Ng&amp;#x27;ejuk) in Maasai-Arusha Version 1970</t>
  </si>
  <si>
    <t>89bcafb653754564</t>
  </si>
  <si>
    <t>Buku Loyera with DC</t>
  </si>
  <si>
    <t>50cb6df7f59fa5ce</t>
  </si>
  <si>
    <t>Sanga (Democratic Republic of Congo)</t>
  </si>
  <si>
    <t>sng</t>
  </si>
  <si>
    <t>Mikanda ya Lwaafyo (Job, Psalms and Proverbs)</t>
  </si>
  <si>
    <t>d000f3c2acb6ae27</t>
  </si>
  <si>
    <t>San Catholic Edition Bible</t>
  </si>
  <si>
    <t>3e2eb613d45e131e</t>
  </si>
  <si>
    <t>New International Version (Anglicised) 2011 (Revised format)</t>
  </si>
  <si>
    <t>70275afb7ce45c88</t>
  </si>
  <si>
    <t>Bouyei</t>
  </si>
  <si>
    <t>pcc</t>
  </si>
  <si>
    <t>Buyei (Chung Chia) Gospel of Matthew 1904</t>
  </si>
  <si>
    <t>e5317085e13e5a69</t>
  </si>
  <si>
    <t>Welsh New Metrical Psalms 2008 (Gwynn ap Gwilym)</t>
  </si>
  <si>
    <t>29dc9fcded3049e4</t>
  </si>
  <si>
    <t>Ga</t>
  </si>
  <si>
    <t>gaa</t>
  </si>
  <si>
    <t>Ga Bible Version 1896 (Old Orthography)</t>
  </si>
  <si>
    <t>1b25bb13657c6802</t>
  </si>
  <si>
    <t>Mwan</t>
  </si>
  <si>
    <t>moa</t>
  </si>
  <si>
    <t>Mwan NT (Côte d’Ivoire)</t>
  </si>
  <si>
    <t>1cd459399782c92e</t>
  </si>
  <si>
    <t>Nyabwa</t>
  </si>
  <si>
    <t>nwb</t>
  </si>
  <si>
    <t>Nyaboa (Nyabwa) NT (Côte d’Ivoire)</t>
  </si>
  <si>
    <t>d71dd58fe26a796b</t>
  </si>
  <si>
    <t>Wè Northern</t>
  </si>
  <si>
    <t>wob</t>
  </si>
  <si>
    <t>Wɛ Nord NT</t>
  </si>
  <si>
    <t>21cb1072a1c27a72</t>
  </si>
  <si>
    <t>Yaouré</t>
  </si>
  <si>
    <t>yre</t>
  </si>
  <si>
    <t>Le Nouveau Testament en Yaouré de Côte d&amp;#x27;Ivoire</t>
  </si>
  <si>
    <t>658ae30a6aab6f76</t>
  </si>
  <si>
    <t>Tepo Krumen</t>
  </si>
  <si>
    <t>ted</t>
  </si>
  <si>
    <t>The New Testament in Krumen, Tepo</t>
  </si>
  <si>
    <t>0e0340b124e7ebdd</t>
  </si>
  <si>
    <t>Jinghpaw Hanson Version</t>
  </si>
  <si>
    <t>d6822d149ce300f9</t>
  </si>
  <si>
    <t>Malawi Sena</t>
  </si>
  <si>
    <t>swk</t>
  </si>
  <si>
    <t>Sena Bible 2006</t>
  </si>
  <si>
    <t>0ef2fc0e45faedd5</t>
  </si>
  <si>
    <t>Moba</t>
  </si>
  <si>
    <t>mfq</t>
  </si>
  <si>
    <t>Moba-Lok NT 2007</t>
  </si>
  <si>
    <t>704246a580ba55dd</t>
  </si>
  <si>
    <t>Darby&amp;#x27;s Translation 1890</t>
  </si>
  <si>
    <t>eeec2f4ae8ba317f</t>
  </si>
  <si>
    <t>Plapo Krumen</t>
  </si>
  <si>
    <t>ktj</t>
  </si>
  <si>
    <t>Krumen Plapo NT</t>
  </si>
  <si>
    <t>2b2a08472612ed76</t>
  </si>
  <si>
    <t>Jula</t>
  </si>
  <si>
    <t>Jula Bible</t>
  </si>
  <si>
    <t>5b1d01d27b0fa5f9</t>
  </si>
  <si>
    <t>ddd03da15b06e4e1</t>
  </si>
  <si>
    <t>Anyin</t>
  </si>
  <si>
    <t>any</t>
  </si>
  <si>
    <t>le Nouveau Testament en Agni Sanvi de Côte d’Ivoire</t>
  </si>
  <si>
    <t>ae97ee4b7199e15a</t>
  </si>
  <si>
    <t>Djimini Senoufo</t>
  </si>
  <si>
    <t>dyi</t>
  </si>
  <si>
    <t>Djimini Bible</t>
  </si>
  <si>
    <t>9529d3de197fc936</t>
  </si>
  <si>
    <t>Kouya</t>
  </si>
  <si>
    <t>kyf</t>
  </si>
  <si>
    <t>ʼWʋsuslolue loluu ʼsɛbhɛ</t>
  </si>
  <si>
    <t>9b96eb7d2ccbf944</t>
  </si>
  <si>
    <t>Adioukrou</t>
  </si>
  <si>
    <t>adj</t>
  </si>
  <si>
    <t>Adioukrou New Testament</t>
  </si>
  <si>
    <t>dfd00a9b4b60ca81</t>
  </si>
  <si>
    <t>Tonga (Nyasa)</t>
  </si>
  <si>
    <t>tog</t>
  </si>
  <si>
    <t>TONGA OLD BIBLE</t>
  </si>
  <si>
    <t>26b7f37588f4c5ce</t>
  </si>
  <si>
    <t>Nova Bíblia Viva (Portuguese New Living Bible)</t>
  </si>
  <si>
    <t>b8ee27bcd1cae43a</t>
  </si>
  <si>
    <t>5a89cd76ae2e869c</t>
  </si>
  <si>
    <t>Scots Gaelic Paraphrases 1987</t>
  </si>
  <si>
    <t>d009ab816e975cbb</t>
  </si>
  <si>
    <t>Liberia Kpelle</t>
  </si>
  <si>
    <t>xpe</t>
  </si>
  <si>
    <t>Kpelle Whole Bible Unicode</t>
  </si>
  <si>
    <t>030b9cf0ffa01684</t>
  </si>
  <si>
    <t>Shilluk</t>
  </si>
  <si>
    <t>shk</t>
  </si>
  <si>
    <t>Shilluk DC Bible 2012</t>
  </si>
  <si>
    <t>5bb3aa09525d8775</t>
  </si>
  <si>
    <t>Bena (Tanzania)</t>
  </si>
  <si>
    <t>bez</t>
  </si>
  <si>
    <t>Bena NT 1958 ( DBL )</t>
  </si>
  <si>
    <t>aa4b80d775a2a79f</t>
  </si>
  <si>
    <t>Akebu</t>
  </si>
  <si>
    <t>keu</t>
  </si>
  <si>
    <t>Kebu New Testament Version 1993</t>
  </si>
  <si>
    <t>89caddd8d2e195ec</t>
  </si>
  <si>
    <t>Greek New Testament 4th Edition</t>
  </si>
  <si>
    <t>e4646d09b8f7efbb</t>
  </si>
  <si>
    <t>Wichi New Testament 1992</t>
  </si>
  <si>
    <t>aeb0a77654ea0cef</t>
  </si>
  <si>
    <t>Sgaw Mason Bible</t>
  </si>
  <si>
    <t>7c8b87b0da744a1c</t>
  </si>
  <si>
    <t>Pwo Western Karen</t>
  </si>
  <si>
    <t>pwo</t>
  </si>
  <si>
    <t>Pwo Kayin Bible</t>
  </si>
  <si>
    <t>0db7727cffd3f9ed</t>
  </si>
  <si>
    <t>Otuho</t>
  </si>
  <si>
    <t>lot</t>
  </si>
  <si>
    <t>Otuho New Testament 2003</t>
  </si>
  <si>
    <t>884be529e61a605b</t>
  </si>
  <si>
    <t>Rinconada Bikol</t>
  </si>
  <si>
    <t>bto</t>
  </si>
  <si>
    <t>Bikol Rinconada New Testament</t>
  </si>
  <si>
    <t>e3afb0c5797b4a33</t>
  </si>
  <si>
    <t>Spanish: Dios Habla Hoy Edición Estándar</t>
  </si>
  <si>
    <t>e7088535193799f4</t>
  </si>
  <si>
    <t>Hmong Njua</t>
  </si>
  <si>
    <t>Lao People&amp;#x27;s Democratic Republic</t>
  </si>
  <si>
    <t>Blue Hmong Bible (Vaajtswv Txujlug) Version 2000</t>
  </si>
  <si>
    <t>c9c7ae29c036ae4e</t>
  </si>
  <si>
    <t>Judson Bible Revision</t>
  </si>
  <si>
    <t>b5674f77348ad856</t>
  </si>
  <si>
    <t>The Translator&amp;#x27;s Translation : New Testament 1973</t>
  </si>
  <si>
    <t>a5f48a7c61fe270e</t>
  </si>
  <si>
    <t>Iraqw</t>
  </si>
  <si>
    <t>irk</t>
  </si>
  <si>
    <t>Iraqw NT 1977 ( DBL )</t>
  </si>
  <si>
    <t>e1337c7df1386c75</t>
  </si>
  <si>
    <t>Iraqw Bible 2004 ( DBL)</t>
  </si>
  <si>
    <t>5e45d3dcf8826769</t>
  </si>
  <si>
    <t>Sehwi</t>
  </si>
  <si>
    <t>sfw</t>
  </si>
  <si>
    <t>Esahie Bible Project</t>
  </si>
  <si>
    <t>0fc578ddbeed20cb</t>
  </si>
  <si>
    <t>Masaaba</t>
  </si>
  <si>
    <t>myx</t>
  </si>
  <si>
    <t>Lumasaaba Protestant Edition</t>
  </si>
  <si>
    <t>d16d2d28eeeb9953</t>
  </si>
  <si>
    <t>Huba</t>
  </si>
  <si>
    <t>hbb</t>
  </si>
  <si>
    <t>Nya Huba New Testament</t>
  </si>
  <si>
    <t>b41d0120971a5c52</t>
  </si>
  <si>
    <t>Apache, Western</t>
  </si>
  <si>
    <t>apw</t>
  </si>
  <si>
    <t>The New Testament of our Lord and Saviour Jesus Christ</t>
  </si>
  <si>
    <t>28a529d49475e77e</t>
  </si>
  <si>
    <t>The Apocrypha - Revised New Welsh Bible 2008</t>
  </si>
  <si>
    <t>b183e39afa624efa</t>
  </si>
  <si>
    <t>Apocrypha to the William Morgan Bible 1959 Edition</t>
  </si>
  <si>
    <t>31c825b218d5ac6b</t>
  </si>
  <si>
    <t>Irish Gaelic Bedell Translation 1817</t>
  </si>
  <si>
    <t>3af5dfde2d749c50</t>
  </si>
  <si>
    <t>New Messianic Version Bible</t>
  </si>
  <si>
    <t>2881c78491b2f8cf</t>
  </si>
  <si>
    <t>DBL Unit Test Gospels</t>
  </si>
  <si>
    <t>ffca4526975425ae</t>
  </si>
  <si>
    <t>Northern Katang</t>
  </si>
  <si>
    <t>ncq</t>
  </si>
  <si>
    <t>Katang Muong Phin</t>
  </si>
  <si>
    <t>734684ede86ac210</t>
  </si>
  <si>
    <t>Dangme Bible</t>
  </si>
  <si>
    <t>cb09d08f864718a9</t>
  </si>
  <si>
    <t>Moldova, Republic of</t>
  </si>
  <si>
    <t>Romanian Cornilescu Reference Bible 1924 in Cyrillic script (Moldova)</t>
  </si>
  <si>
    <t>2f550a30b6fcba31</t>
  </si>
  <si>
    <t>Akawaio</t>
  </si>
  <si>
    <t>ake</t>
  </si>
  <si>
    <t>The New Testament in Akawaio</t>
  </si>
  <si>
    <t>f39e0b553b5b6e1e</t>
  </si>
  <si>
    <t>Achi de Cubulco NT</t>
  </si>
  <si>
    <t>8c9b3c8e7beb97ff</t>
  </si>
  <si>
    <t>Majukayang Kalinga</t>
  </si>
  <si>
    <t>kmd</t>
  </si>
  <si>
    <t>Majukayong New Testament</t>
  </si>
  <si>
    <t>cd59a9cd8c596e6b</t>
  </si>
  <si>
    <t>Achuar-Shiwiar</t>
  </si>
  <si>
    <t>acu</t>
  </si>
  <si>
    <t>Achuar-Shiwiar Bible</t>
  </si>
  <si>
    <t>ac71514c39ef7ce2</t>
  </si>
  <si>
    <t>Uusi testamentti nykysuomeksi</t>
  </si>
  <si>
    <t>bbcf63dd5d1279c7</t>
  </si>
  <si>
    <t>Willibrordvertaling (editie 2012)</t>
  </si>
  <si>
    <t>97d7037d99dd00e5</t>
  </si>
  <si>
    <t>Jamaican Creole English</t>
  </si>
  <si>
    <t>jam</t>
  </si>
  <si>
    <t>Jamaica</t>
  </si>
  <si>
    <t>The Jamaican New Testament</t>
  </si>
  <si>
    <t>90eb7230d99068fd</t>
  </si>
  <si>
    <t>Kirkkoraamattu 92</t>
  </si>
  <si>
    <t>26f55d5d45dfc58f</t>
  </si>
  <si>
    <t>Agricolan Uusi testamentti</t>
  </si>
  <si>
    <t>c56611c9e44b9b49</t>
  </si>
  <si>
    <t>Het Boek Quote editie 2008</t>
  </si>
  <si>
    <t>05c28acedd2a6ec1</t>
  </si>
  <si>
    <t>Belize Kriol English</t>
  </si>
  <si>
    <t>bzj</t>
  </si>
  <si>
    <t>Di Nyoo Testiment eena Bileez Kriol</t>
  </si>
  <si>
    <t>4eb508a0287c6d19</t>
  </si>
  <si>
    <t>Caló</t>
  </si>
  <si>
    <t>rmq</t>
  </si>
  <si>
    <t>Criscote e Majaró Lucas (Caló Gospel of Luke) 1872</t>
  </si>
  <si>
    <t>5cf4e6878c58a45a</t>
  </si>
  <si>
    <t>Embéo e Majaró Lucas (Caló Gospel of Luke) 1837</t>
  </si>
  <si>
    <t>c5a761cecc57ab5c</t>
  </si>
  <si>
    <t>ckb</t>
  </si>
  <si>
    <t>Sorani Kurdish New Testament and Psalms</t>
  </si>
  <si>
    <t>9d3a33d9d281eeb0</t>
  </si>
  <si>
    <t>Lumasaaba Catholic Edition</t>
  </si>
  <si>
    <t>24a462af0e2e7c76</t>
  </si>
  <si>
    <t>Chinantec, Comaltepec</t>
  </si>
  <si>
    <t>cco</t>
  </si>
  <si>
    <t>Júu ʼmɨ́ɨ e cacuo fidiée</t>
  </si>
  <si>
    <t>12edeb9b05d45009</t>
  </si>
  <si>
    <t>Amuzgo, San Pedro Amuzgos</t>
  </si>
  <si>
    <t>azg</t>
  </si>
  <si>
    <t>Jnʼoon xco na tquen tyoʼtsʼon. New Testament</t>
  </si>
  <si>
    <t>f9b7a889ff0bd9fd</t>
  </si>
  <si>
    <t>Corsican</t>
  </si>
  <si>
    <t>cos</t>
  </si>
  <si>
    <t>4 Evangiles en Corse</t>
  </si>
  <si>
    <t>b98db766fda36178</t>
  </si>
  <si>
    <t>Chatino, Western Highland</t>
  </si>
  <si>
    <t>ctp</t>
  </si>
  <si>
    <t>Chaʼ suʼwe nu nchkwiʼ chaʼ ʼin Jesucristo nu nka xʼnaan</t>
  </si>
  <si>
    <t>b9ccb5b581ed0ff1</t>
  </si>
  <si>
    <t>Chatino, Tataltepec</t>
  </si>
  <si>
    <t>cta</t>
  </si>
  <si>
    <t>New Testament. Chaʼ tsoʼo nu nchcuiʼ jiʼi̱ Jesucristo nu xuʼna na</t>
  </si>
  <si>
    <t>57457fa0464e1237</t>
  </si>
  <si>
    <t>Tuwali Ifugao</t>
  </si>
  <si>
    <t>ifk</t>
  </si>
  <si>
    <t>Tuwali Ifugao Bible</t>
  </si>
  <si>
    <t>18b90e59aa1395ed</t>
  </si>
  <si>
    <t>Chinantec, Lalana</t>
  </si>
  <si>
    <t>cnl</t>
  </si>
  <si>
    <t>Júu² &amp;#x27;mɨɨn³² &amp;#x27;e³ ca²³ŋɨń² Dios</t>
  </si>
  <si>
    <t>d61cd9e4ce08c575</t>
  </si>
  <si>
    <t>Nyunga</t>
  </si>
  <si>
    <t>nys</t>
  </si>
  <si>
    <t>Nyoongar</t>
  </si>
  <si>
    <t>2fec8441511b401e</t>
  </si>
  <si>
    <t>Chinantec, Ozumacín</t>
  </si>
  <si>
    <t>chz</t>
  </si>
  <si>
    <t>Hmooh hmëë he- ga-jmee Jesucristo; Salmos</t>
  </si>
  <si>
    <t>dc23d254e1eb17f8</t>
  </si>
  <si>
    <t>Chinantec, Quiotepec</t>
  </si>
  <si>
    <t>chq</t>
  </si>
  <si>
    <t>Juu³ tyʉ² ʼe gafaaʼ²¹ Dios tyaʼ tsá²</t>
  </si>
  <si>
    <t>afc24de218ef6e38</t>
  </si>
  <si>
    <t>Almeida Revista e Atualizada 1993</t>
  </si>
  <si>
    <t>04e08b7e53f9cbd6</t>
  </si>
  <si>
    <t>Chontal, Highland Oaxaca</t>
  </si>
  <si>
    <t>chd</t>
  </si>
  <si>
    <t>New Testament in Chontal, Highland Oaxaca</t>
  </si>
  <si>
    <t>281d41de9c701fb6</t>
  </si>
  <si>
    <t>Ap Ma</t>
  </si>
  <si>
    <t>kbx</t>
  </si>
  <si>
    <t>NT Portions in Ap Ma: Luke &amp;amp;amp; Acts</t>
  </si>
  <si>
    <t>ac95eb59643cae13</t>
  </si>
  <si>
    <t>Ecumenical Edition, 2nd ed.</t>
  </si>
  <si>
    <t>ffffb04c2faa49da</t>
  </si>
  <si>
    <t>Macedo-Romanian</t>
  </si>
  <si>
    <t>Macedonia, the former Yugoslav Republic of</t>
  </si>
  <si>
    <t>Aromanian Gospel of Matthew 1889</t>
  </si>
  <si>
    <t>65b45bb30ea8b2d6</t>
  </si>
  <si>
    <t>Chinantec, Sochiapam</t>
  </si>
  <si>
    <t>cso</t>
  </si>
  <si>
    <t>Jú¹ chú³² quioh²¹ Jesús tsá² lɨn³ Cristo</t>
  </si>
  <si>
    <t>cd46c32da91aeec2</t>
  </si>
  <si>
    <t>Cora, El Nayar</t>
  </si>
  <si>
    <t>crn</t>
  </si>
  <si>
    <t>New Testament in Cora, El Nayar Presidio De Los Reyes</t>
  </si>
  <si>
    <t>2f4a76418a46067f</t>
  </si>
  <si>
    <t>Alekano</t>
  </si>
  <si>
    <t>gah</t>
  </si>
  <si>
    <t>Monó Gotola Gosohá</t>
  </si>
  <si>
    <t>68616311e194bc6d</t>
  </si>
  <si>
    <t>Chinantec, Tepetotutla</t>
  </si>
  <si>
    <t>cnt</t>
  </si>
  <si>
    <t>New Testament in Chinantec, Tepetotutla</t>
  </si>
  <si>
    <t>3ce828fc82491779</t>
  </si>
  <si>
    <t>Cuicatec, Tepeuxila</t>
  </si>
  <si>
    <t>cux</t>
  </si>
  <si>
    <t>New Testament in Cuicatec, Tepeuxila</t>
  </si>
  <si>
    <t>59065be41b673406</t>
  </si>
  <si>
    <t>Chinantec, Usila</t>
  </si>
  <si>
    <t>cuc</t>
  </si>
  <si>
    <t>New Testament in Chinantec, Usila</t>
  </si>
  <si>
    <t>814b098b155a8cd9</t>
  </si>
  <si>
    <t>a1d56ff41fa079a4</t>
  </si>
  <si>
    <t>yom</t>
  </si>
  <si>
    <t>Kiyombe Contemporary Version, New Testament and Psalms</t>
  </si>
  <si>
    <t>90c5506ec2e93c7a</t>
  </si>
  <si>
    <t>Chontal, Tabasco</t>
  </si>
  <si>
    <t>chf</t>
  </si>
  <si>
    <t>New Testament in Chontal, Tabasco</t>
  </si>
  <si>
    <t>07ff1d5c6a53cb05</t>
  </si>
  <si>
    <t>Thai New Contemporary Version 2007</t>
  </si>
  <si>
    <t>617c23a440abc8ee</t>
  </si>
  <si>
    <t>HSV-Jongerenbijbel</t>
  </si>
  <si>
    <t>def16ae158c3e79f</t>
  </si>
  <si>
    <t>Kiswahili Contemporary Version (Neno)</t>
  </si>
  <si>
    <t>Free Bible Version New Testament with Psalms</t>
  </si>
  <si>
    <t>03a3df1f32d1826d</t>
  </si>
  <si>
    <t>Cuicatec, Teutila</t>
  </si>
  <si>
    <t>cut</t>
  </si>
  <si>
    <t>New Testament in Cuicatec, Teutila</t>
  </si>
  <si>
    <t>23a6d2e91ed11a25</t>
  </si>
  <si>
    <t>Western Highland Purepecha</t>
  </si>
  <si>
    <t>pua</t>
  </si>
  <si>
    <t>Biblia Purhepecha</t>
  </si>
  <si>
    <t>4debd996d0f50e67</t>
  </si>
  <si>
    <t>Huastec</t>
  </si>
  <si>
    <t>hus</t>
  </si>
  <si>
    <t>New Testament in Huastec, San Luis Potosi</t>
  </si>
  <si>
    <t>05749a20390d4b57</t>
  </si>
  <si>
    <t>Nin tének káwintal an okˀóxláb</t>
  </si>
  <si>
    <t>da06731b6ce99e22</t>
  </si>
  <si>
    <t>Gunwinggu</t>
  </si>
  <si>
    <t>gup</t>
  </si>
  <si>
    <t>Kunwinjku Bible</t>
  </si>
  <si>
    <t>6c5210be541bf760</t>
  </si>
  <si>
    <t>Lacandon</t>
  </si>
  <si>
    <t>lac</t>
  </si>
  <si>
    <t>A quet u tʼʌnoʼ a ricʼbenoʼ</t>
  </si>
  <si>
    <t>0ba8bc1fcb12737a</t>
  </si>
  <si>
    <t>Mazahua, Central</t>
  </si>
  <si>
    <t>maz</t>
  </si>
  <si>
    <t>New Testament in Mazahua, Central</t>
  </si>
  <si>
    <t>5ff6be53cd0c510a</t>
  </si>
  <si>
    <t>Tzeltal</t>
  </si>
  <si>
    <t>Tzeltal Bachajon Biblia</t>
  </si>
  <si>
    <t>a31452bf933bcd2d</t>
  </si>
  <si>
    <t>Nieuwe Bijbelvertaling</t>
  </si>
  <si>
    <t>3309e6b70e0bd470</t>
  </si>
  <si>
    <t>Mazatec, Chiquihuitlán</t>
  </si>
  <si>
    <t>maq</t>
  </si>
  <si>
    <t>New Testament in Mazatec, Chiquihuitlán</t>
  </si>
  <si>
    <t>19cd186174de646a</t>
  </si>
  <si>
    <t>Kurdi Sorani Standard</t>
  </si>
  <si>
    <t>7d3a67c8f02497b8</t>
  </si>
  <si>
    <t>Mazatec, Huautla</t>
  </si>
  <si>
    <t>mau</t>
  </si>
  <si>
    <t>Xon⁴-le⁴ ni³na¹ xi³ tʔa³tsʔe⁴ Jesucristo</t>
  </si>
  <si>
    <t>0848b63d9e2d1d53</t>
  </si>
  <si>
    <t>Byzantine Text 1904</t>
  </si>
  <si>
    <t>e8c8f5ffcb0a8d05</t>
  </si>
  <si>
    <t>Classical Armenian</t>
  </si>
  <si>
    <t>xcl</t>
  </si>
  <si>
    <t>Classical Armenian Bible (1895 edition)</t>
  </si>
  <si>
    <t>8f4069750eb5e8e4</t>
  </si>
  <si>
    <t>Mazatec, Jalapa de Díaz</t>
  </si>
  <si>
    <t>maj</t>
  </si>
  <si>
    <t>New Testament in Mazatec, Jalapa de Díaz</t>
  </si>
  <si>
    <t>4b5a6ffaf1e470b4</t>
  </si>
  <si>
    <t>Mazatec, San Jerónimo Tecóatl</t>
  </si>
  <si>
    <t>maa</t>
  </si>
  <si>
    <t>&amp;#x27;Én-la̱ Nainá xi kjoa̱ ts&amp;#x27;e̱ Jesucristo</t>
  </si>
  <si>
    <t>865175015ea17003</t>
  </si>
  <si>
    <t>Scots Gaelic Catholic New Testament 1875</t>
  </si>
  <si>
    <t>845e3a887762a2d2</t>
  </si>
  <si>
    <t>Mixe, Coatlán</t>
  </si>
  <si>
    <t>mco</t>
  </si>
  <si>
    <t>El Nuevo Testamento en mixe de Coatlán</t>
  </si>
  <si>
    <t>b4c245030dfedaf9</t>
  </si>
  <si>
    <t>Ma&amp;#x27;di</t>
  </si>
  <si>
    <t>mhi</t>
  </si>
  <si>
    <t>Ma&amp;#x27;di Ruth 1938</t>
  </si>
  <si>
    <t>da34f369635c82b8</t>
  </si>
  <si>
    <t>Luganda Contemporary Bible</t>
  </si>
  <si>
    <t>837016798c1bfdc1</t>
  </si>
  <si>
    <t>Metrical Psalms 1650</t>
  </si>
  <si>
    <t>e83f0a574b77feae</t>
  </si>
  <si>
    <t>Marathi Common Language (NT) - BSI</t>
  </si>
  <si>
    <t>ccbd79c16bf7c797</t>
  </si>
  <si>
    <t>Nukna</t>
  </si>
  <si>
    <t>klt</t>
  </si>
  <si>
    <t>Nukna Scriptures [klt] Papua New Guinea</t>
  </si>
  <si>
    <t>Tonga (Tonga Islands)</t>
  </si>
  <si>
    <t>Tonga</t>
  </si>
  <si>
    <t>Tongan Revised West Version</t>
  </si>
  <si>
    <t>51ba94dcae3d37d4</t>
  </si>
  <si>
    <t>NO1930 bokmål</t>
  </si>
  <si>
    <t>99f345cb68365759</t>
  </si>
  <si>
    <t>Yucateco</t>
  </si>
  <si>
    <t>yua</t>
  </si>
  <si>
    <t>Biblia Maya 1992</t>
  </si>
  <si>
    <t>e95f4ff7407fc936</t>
  </si>
  <si>
    <t>pes</t>
  </si>
  <si>
    <t>Persian Contemporary Bible</t>
  </si>
  <si>
    <t>1368c5774fbd64c0</t>
  </si>
  <si>
    <t>Nova Almeida Atualizada 2017</t>
  </si>
  <si>
    <t>4ce187c16004310e</t>
  </si>
  <si>
    <t>Chinese-Simplified Script: Chinese Union New Punctuation 1989</t>
  </si>
  <si>
    <t>d377f82f1deaac91</t>
  </si>
  <si>
    <t>Chinese-Simplified Script: Today&amp;#x27;s Chinese Version 1995</t>
  </si>
  <si>
    <t>6099d8937326c48c</t>
  </si>
  <si>
    <t>Chinese-Traditional Script: Today&amp;#x27;s Chinese Version 1995</t>
  </si>
  <si>
    <t>47056f296f507983</t>
  </si>
  <si>
    <t>Buku Lopatulika- Revised Edition 2018</t>
  </si>
  <si>
    <t>c44765fbdfdb0ed9</t>
  </si>
  <si>
    <t>Chinese-Traditional Script: Chinese Union New Punctuation 1989</t>
  </si>
  <si>
    <t>e9ea6174e5ff0626</t>
  </si>
  <si>
    <t>Ejagham</t>
  </si>
  <si>
    <t>etu</t>
  </si>
  <si>
    <t>Ejagham New Testament</t>
  </si>
  <si>
    <t>27e6822ca225757c</t>
  </si>
  <si>
    <t>Arabic: Good News Arabic 1993</t>
  </si>
  <si>
    <t>ba961d5e515978df</t>
  </si>
  <si>
    <t>Mazatlán Mixe</t>
  </si>
  <si>
    <t>mzl</t>
  </si>
  <si>
    <t>Mixe de Mazatlan NT</t>
  </si>
  <si>
    <t>f88d774f0d375187</t>
  </si>
  <si>
    <t>Edolo</t>
  </si>
  <si>
    <t>etr</t>
  </si>
  <si>
    <t>Edolo [ETR]</t>
  </si>
  <si>
    <t>1aa56cc1dbc3a0df</t>
  </si>
  <si>
    <t>Anindilyakwa</t>
  </si>
  <si>
    <t>aoi</t>
  </si>
  <si>
    <t>Anindilyakwa MB</t>
  </si>
  <si>
    <t>d5b39abf5fa1a3e5</t>
  </si>
  <si>
    <t>Tày</t>
  </si>
  <si>
    <t>tyz</t>
  </si>
  <si>
    <t>Cằm Po̱ Fạ</t>
  </si>
  <si>
    <t>b2ad44517f02c8af</t>
  </si>
  <si>
    <t>Koho</t>
  </si>
  <si>
    <t>kpm</t>
  </si>
  <si>
    <t>Sra Goh Jonau Koho</t>
  </si>
  <si>
    <t>a913f52dc813f1ed</t>
  </si>
  <si>
    <t>Jarai</t>
  </si>
  <si>
    <t>jra</t>
  </si>
  <si>
    <t>Vietnam</t>
  </si>
  <si>
    <t>Jarai New Testament</t>
  </si>
  <si>
    <t>c634fab20bd96112</t>
  </si>
  <si>
    <t>Hmong Blue Bible</t>
  </si>
  <si>
    <t>8f998a69f0523932</t>
  </si>
  <si>
    <t>Kirkkoraamattu 38</t>
  </si>
  <si>
    <t>9e17a645789002ab</t>
  </si>
  <si>
    <t>Women&amp;#x27;s Bible (Herziene Statenvertaling)</t>
  </si>
  <si>
    <t>a377ca5e3de42df7</t>
  </si>
  <si>
    <t>Burmese Judson Bible 1933</t>
  </si>
  <si>
    <t>0ae423e83aa19641</t>
  </si>
  <si>
    <t>Quichua Chimborazo</t>
  </si>
  <si>
    <t>8fe6349333a0b137</t>
  </si>
  <si>
    <t>New Etchmiadzin Bible in Sign Language</t>
  </si>
  <si>
    <t>fdefabd3e4554ee7</t>
  </si>
  <si>
    <t>Gute Nachricht Bibel 2018</t>
  </si>
  <si>
    <t>Reina Valera Bible 1909</t>
  </si>
  <si>
    <t>11a3cadc0a00dc6c</t>
  </si>
  <si>
    <t>Cañar Highland Quichua</t>
  </si>
  <si>
    <t>qxr</t>
  </si>
  <si>
    <t>Biblia Quichua Cañar</t>
  </si>
  <si>
    <t>a556c5305ee15c3f</t>
  </si>
  <si>
    <t>Christian Standard Bible</t>
  </si>
  <si>
    <t>6b2e23858d1288b4</t>
  </si>
  <si>
    <t>Akha</t>
  </si>
  <si>
    <t>ahk</t>
  </si>
  <si>
    <t>Akha NT-PS-PR-2018</t>
  </si>
  <si>
    <t>d9e6de2a87b4e8ac</t>
  </si>
  <si>
    <t>Kitabı Mukaddes</t>
  </si>
  <si>
    <t>272070116ffbf8f2</t>
  </si>
  <si>
    <t>Pinyin</t>
  </si>
  <si>
    <t>pny</t>
  </si>
  <si>
    <t>The New Testament in the Pinyin language—Cameroon</t>
  </si>
  <si>
    <t>f06004296a95fac1</t>
  </si>
  <si>
    <t>Besoa</t>
  </si>
  <si>
    <t>bep</t>
  </si>
  <si>
    <t>Holy Book: Several books of the Old Testament and the New Testament in the Behoa language of Central Sulawesi</t>
  </si>
  <si>
    <t>2d61cf5c9b4259db</t>
  </si>
  <si>
    <t>Pitjantjatjara</t>
  </si>
  <si>
    <t>pjt</t>
  </si>
  <si>
    <t>Pitjantjatjara Shorter Bible 2018ed</t>
  </si>
  <si>
    <t>019d341c6341dbc2</t>
  </si>
  <si>
    <t>Kuman (Papua New Guinea)</t>
  </si>
  <si>
    <t>kue</t>
  </si>
  <si>
    <t>Kuman New Testament</t>
  </si>
  <si>
    <t>0341cfd9f41c7ecc</t>
  </si>
  <si>
    <t>Whitesands New Testament, Vanuatu</t>
  </si>
  <si>
    <t>tnp</t>
  </si>
  <si>
    <t>Whitesands New Testament</t>
  </si>
  <si>
    <t>041515e9717f9e8f</t>
  </si>
  <si>
    <t>Naro</t>
  </si>
  <si>
    <t>nhr</t>
  </si>
  <si>
    <t>The New Testament in Naro</t>
  </si>
  <si>
    <t>06c5827368ee3bd1</t>
  </si>
  <si>
    <t>Mongondow</t>
  </si>
  <si>
    <t>mog</t>
  </si>
  <si>
    <t>Old and New Testament in Today&amp;#x27;s Mongondow Language</t>
  </si>
  <si>
    <t>07a5bbfda14fe3ff</t>
  </si>
  <si>
    <t>Quechua, South Bolivian</t>
  </si>
  <si>
    <t>Dios Parlapawanchej</t>
  </si>
  <si>
    <t>07c045a67bf423be</t>
  </si>
  <si>
    <t>Bwaidoka</t>
  </si>
  <si>
    <t>bwd</t>
  </si>
  <si>
    <t>Bwaidoka Genesis</t>
  </si>
  <si>
    <t>07d8ac82da5d525e</t>
  </si>
  <si>
    <t>Kapsiki</t>
  </si>
  <si>
    <t>kvj</t>
  </si>
  <si>
    <t>Kapsiki Bible with DC</t>
  </si>
  <si>
    <t>08e496d43b1602be</t>
  </si>
  <si>
    <t>Kwanga</t>
  </si>
  <si>
    <t>kwj</t>
  </si>
  <si>
    <t>Kwanga New Testament</t>
  </si>
  <si>
    <t>0b94c3c6951be8ba</t>
  </si>
  <si>
    <t>Urim</t>
  </si>
  <si>
    <t>uri</t>
  </si>
  <si>
    <t>Urim-Kalpm Portions</t>
  </si>
  <si>
    <t>0d089c61e76d5c0b</t>
  </si>
  <si>
    <t>Tũpa Ñehengagüer</t>
  </si>
  <si>
    <t>0d18dba5d3d0a158</t>
  </si>
  <si>
    <t>Yipma</t>
  </si>
  <si>
    <t>byr</t>
  </si>
  <si>
    <t>Gotɨyare Yagaala Mudɨke&amp;#x27;</t>
  </si>
  <si>
    <t>0e5e9ab5304a71df</t>
  </si>
  <si>
    <t>Bukiyip</t>
  </si>
  <si>
    <t>ape</t>
  </si>
  <si>
    <t>Iruhin Ananin Baraen (apeA)</t>
  </si>
  <si>
    <t>115873274f8da857</t>
  </si>
  <si>
    <t>Ngäbere</t>
  </si>
  <si>
    <t>gym</t>
  </si>
  <si>
    <t>Kukwe kuin ngöbökwe</t>
  </si>
  <si>
    <t>11f5806f61c44017</t>
  </si>
  <si>
    <t>Cꞌacꞌ Chuminem</t>
  </si>
  <si>
    <t>12b91ec711c44b0e</t>
  </si>
  <si>
    <t>Le Nouveau Testament en tamajaq tawallammat, écriture latine</t>
  </si>
  <si>
    <t>12da669ec60ab6c3</t>
  </si>
  <si>
    <t>Nyindrou</t>
  </si>
  <si>
    <t>lid</t>
  </si>
  <si>
    <t>Sahou ta Kindrei</t>
  </si>
  <si>
    <t>133b0a8d2a07401b</t>
  </si>
  <si>
    <t>Kaapor</t>
  </si>
  <si>
    <t>urb</t>
  </si>
  <si>
    <t>Tupã Je&amp;#x27;ẽha</t>
  </si>
  <si>
    <t>1396d9e8ebed21f0</t>
  </si>
  <si>
    <t>Kreol: Seselwa</t>
  </si>
  <si>
    <t>crs</t>
  </si>
  <si>
    <t>Seychelles</t>
  </si>
  <si>
    <t>Bible in Seychelles Kreol with Deuterocanonical Books</t>
  </si>
  <si>
    <t>13aa4ab2d9db7c83</t>
  </si>
  <si>
    <t>Northern Bobo Madaré</t>
  </si>
  <si>
    <t>bbo</t>
  </si>
  <si>
    <t>Konabere New Testament</t>
  </si>
  <si>
    <t>47a1aaee52716d1a</t>
  </si>
  <si>
    <t>Muyang</t>
  </si>
  <si>
    <t>muy</t>
  </si>
  <si>
    <t>Ma Mʉweni Sulumani ge Melefit</t>
  </si>
  <si>
    <t>c5e9fa048709d6bd</t>
  </si>
  <si>
    <t>Thai Common Language</t>
  </si>
  <si>
    <t>546e77c26f034ec6</t>
  </si>
  <si>
    <t>Thai Bible 1940</t>
  </si>
  <si>
    <t>7140e4a22e4b557b</t>
  </si>
  <si>
    <t>Zapotec, Yatzachi</t>
  </si>
  <si>
    <t>zav</t>
  </si>
  <si>
    <t>Zapotec, Yatzachi NT</t>
  </si>
  <si>
    <t>fdb388b5e5e271be</t>
  </si>
  <si>
    <t>Kutep</t>
  </si>
  <si>
    <t>kub</t>
  </si>
  <si>
    <t>Kuteb New Testament with Old Testament portions</t>
  </si>
  <si>
    <t>d4f66ea66dc08199</t>
  </si>
  <si>
    <t>Irish (Gaelic)</t>
  </si>
  <si>
    <t>The Holy Bible (Irish Gaelic) 1981</t>
  </si>
  <si>
    <t>e7a5671aa72b4a79</t>
  </si>
  <si>
    <t>New Translation in Todays Language Study Bible</t>
  </si>
  <si>
    <t>e7c46adf47f523ec</t>
  </si>
  <si>
    <t>Nyanja/Chewa Bible 1992</t>
  </si>
  <si>
    <t>e82d50a66557b493</t>
  </si>
  <si>
    <t>Oniyan</t>
  </si>
  <si>
    <t>bsc</t>
  </si>
  <si>
    <t>Oniyan New Testament and Genesis</t>
  </si>
  <si>
    <t>e849da38ad69fbac</t>
  </si>
  <si>
    <t>Ila</t>
  </si>
  <si>
    <t>ilb</t>
  </si>
  <si>
    <t>Ila New Testament 2015</t>
  </si>
  <si>
    <t>e84e7938ab6dd571</t>
  </si>
  <si>
    <t>Papiamento</t>
  </si>
  <si>
    <t>pap</t>
  </si>
  <si>
    <t>Caribbean Netherlands</t>
  </si>
  <si>
    <t>Papiamentu DC Study Bible 2017</t>
  </si>
  <si>
    <t>8879c1a148f8a6ef</t>
  </si>
  <si>
    <t>Bumbita Arapesh</t>
  </si>
  <si>
    <t>aon</t>
  </si>
  <si>
    <t>Bumbita Arapesh New Testament</t>
  </si>
  <si>
    <t>d09e9a676bf6592d</t>
  </si>
  <si>
    <t>Today&amp;#x27;s Greek Version 2003</t>
  </si>
  <si>
    <t>1da70963c450f827</t>
  </si>
  <si>
    <t>Arabic: Chadian</t>
  </si>
  <si>
    <t>shu</t>
  </si>
  <si>
    <t>Chadian Arabic (Roman script)</t>
  </si>
  <si>
    <t>e99d6329c48d05ed</t>
  </si>
  <si>
    <t>Sarah: Madjingai</t>
  </si>
  <si>
    <t>mwm</t>
  </si>
  <si>
    <t>Sar Bible with DC</t>
  </si>
  <si>
    <t>27bfcd3a54dc21fc</t>
  </si>
  <si>
    <t>Chadian Arabic (Arabic script)</t>
  </si>
  <si>
    <t>25073ec018958436</t>
  </si>
  <si>
    <t>Moundang (Mundang)</t>
  </si>
  <si>
    <t>mua</t>
  </si>
  <si>
    <t>Moundang Bible</t>
  </si>
  <si>
    <t>284cd9e1f3502abc</t>
  </si>
  <si>
    <t>Mbai: Moissola (Moissala)</t>
  </si>
  <si>
    <t>myb</t>
  </si>
  <si>
    <t>Mbai Bible 1980</t>
  </si>
  <si>
    <t>41b0eb4c2b617ec2</t>
  </si>
  <si>
    <t>Musey</t>
  </si>
  <si>
    <t>mse</t>
  </si>
  <si>
    <t>Musey Bible</t>
  </si>
  <si>
    <t>682d15619e824a87</t>
  </si>
  <si>
    <t>South Central Dinka</t>
  </si>
  <si>
    <t>dib</t>
  </si>
  <si>
    <t>St. Mark&amp;#x27;s Gospel in Jieng (Dinka Ciëc Dialect) 1916</t>
  </si>
  <si>
    <t>b8f852eacdff1768</t>
  </si>
  <si>
    <t>The Gospel According to St Luke (Dinka Ciëc dialect) 1905</t>
  </si>
  <si>
    <t>f3886811e1df5031</t>
  </si>
  <si>
    <t>Turkmen</t>
  </si>
  <si>
    <t>tuk</t>
  </si>
  <si>
    <t>Turkmenistan</t>
  </si>
  <si>
    <t>Turkmen Cyrillic Mukaddes Kitap Published 2016</t>
  </si>
  <si>
    <t>4e0a7c6f912cb4ab</t>
  </si>
  <si>
    <t>Avaric</t>
  </si>
  <si>
    <t>ava</t>
  </si>
  <si>
    <t>Avar New Testament 2008</t>
  </si>
  <si>
    <t>b41fda6942b878eb</t>
  </si>
  <si>
    <t>Bezhta</t>
  </si>
  <si>
    <t>kap</t>
  </si>
  <si>
    <t>Bezhta (Kapuchi) Proverbs and Luke Published</t>
  </si>
  <si>
    <t>0de37fe17af21f20</t>
  </si>
  <si>
    <t>Bundeli</t>
  </si>
  <si>
    <t>bns</t>
  </si>
  <si>
    <t>Bundeli Bible</t>
  </si>
  <si>
    <t>26eb483046b561dc</t>
  </si>
  <si>
    <t>Douay-Rheims Challoner Revision 1752</t>
  </si>
  <si>
    <t>ef7815251c97d651</t>
  </si>
  <si>
    <t>Dagbani</t>
  </si>
  <si>
    <t>dag</t>
  </si>
  <si>
    <t>Dagbani Bible with Deuterocanonical Books</t>
  </si>
  <si>
    <t>d8290e45ed604a80</t>
  </si>
  <si>
    <t>Anufo</t>
  </si>
  <si>
    <t>cko</t>
  </si>
  <si>
    <t>CKO Anufo Unicode</t>
  </si>
  <si>
    <t>76d43863e0acd0b3</t>
  </si>
  <si>
    <t>Welsh Gospel of Matthew by Rev Islwyn Ffowc Elis 1961</t>
  </si>
  <si>
    <t>0a8314e257586058</t>
  </si>
  <si>
    <t>Revised Standard Version UK 1977</t>
  </si>
  <si>
    <t>8dc0c9794823ec23</t>
  </si>
  <si>
    <t>Zaiwa Atsi Gospel of Mark 1938 (Fraser script)</t>
  </si>
  <si>
    <t>4eede3e748e0a2c3</t>
  </si>
  <si>
    <t>New Revised Standard Version (Anglicised) 1989</t>
  </si>
  <si>
    <t>23924b4088bd455f</t>
  </si>
  <si>
    <t>Buli (Ghana)</t>
  </si>
  <si>
    <t>bwu</t>
  </si>
  <si>
    <t>BWU Buli Ghana</t>
  </si>
  <si>
    <t>edeeb55d77fca3c0</t>
  </si>
  <si>
    <t>Kitabı Mukaddes Revision</t>
  </si>
  <si>
    <t>95b764900c64c6d2</t>
  </si>
  <si>
    <t>Scots Gaelic Metrical Psalms 1992 (with lexical and orthographic revision) (Digital Edition)</t>
  </si>
  <si>
    <t>c92287fff282de60</t>
  </si>
  <si>
    <t>Scots Gaelic Metrical Psalms 1826 (orthographic revision 2000)</t>
  </si>
  <si>
    <t>96f68f8306e54d45</t>
  </si>
  <si>
    <t>Samoan</t>
  </si>
  <si>
    <t>smo</t>
  </si>
  <si>
    <t>&amp;quot;Samoa, Western&amp;quot;</t>
  </si>
  <si>
    <t>Contemporary New Testament</t>
  </si>
  <si>
    <t>9a486a30761e6e00</t>
  </si>
  <si>
    <t>Pijin (S.I.)</t>
  </si>
  <si>
    <t>Solomon Islands Bible with Deuterocanonical Books</t>
  </si>
  <si>
    <t>a5dc0daaa6c7b7f6</t>
  </si>
  <si>
    <t>Paul&amp;#x27;s Prison Epistle to the Ephesians, Philippians, Colossians and Philemon 1986 in Today&amp;#x27;s Gaelic Version (TGV)</t>
  </si>
  <si>
    <t>08e1527caeb9cf6a</t>
  </si>
  <si>
    <t>Kahua</t>
  </si>
  <si>
    <t>agw</t>
  </si>
  <si>
    <t>Kahua Catholic Bible (Solomon Islands)</t>
  </si>
  <si>
    <t>1352a804922631f7</t>
  </si>
  <si>
    <t>Samoa, Western</t>
  </si>
  <si>
    <t>Revised Samoan Catholic Bible</t>
  </si>
  <si>
    <t>f357bc5e434d1675</t>
  </si>
  <si>
    <t>Today&amp;#x27;s Gaelic Version 1986 (Digital Edition)</t>
  </si>
  <si>
    <t>d0ac324932fcbd13</t>
  </si>
  <si>
    <t>Au</t>
  </si>
  <si>
    <t>avt</t>
  </si>
  <si>
    <t>Hɨm Yaaim Me God</t>
  </si>
  <si>
    <t>d237b75b1095af18</t>
  </si>
  <si>
    <t>Akha Bible</t>
  </si>
  <si>
    <t>d5293177bf46cb20</t>
  </si>
  <si>
    <t>Khoekhoe</t>
  </si>
  <si>
    <t>naq</t>
  </si>
  <si>
    <t>EM07</t>
  </si>
  <si>
    <t>da8cbfc080f48818</t>
  </si>
  <si>
    <t>Madak</t>
  </si>
  <si>
    <t>mmx</t>
  </si>
  <si>
    <t>Lenavolo Lovoang Kaala Maxat La Sam</t>
  </si>
  <si>
    <t>da9048d4fe83bcb3</t>
  </si>
  <si>
    <t>Beembe (ki-)</t>
  </si>
  <si>
    <t>beq</t>
  </si>
  <si>
    <t>Nouveau Testament Beembe</t>
  </si>
  <si>
    <t>dabbbbee881a4cad</t>
  </si>
  <si>
    <t>Kewa, West</t>
  </si>
  <si>
    <t>kew</t>
  </si>
  <si>
    <t>Gotena epe agaa</t>
  </si>
  <si>
    <t>db111acb7f97e9b2</t>
  </si>
  <si>
    <t>Tatuyo</t>
  </si>
  <si>
    <t>tav</t>
  </si>
  <si>
    <t>Dio Wadarique</t>
  </si>
  <si>
    <t>dbb06dc7ed7788c4</t>
  </si>
  <si>
    <t>Prekmurian New Testament and Psalms</t>
  </si>
  <si>
    <t>dc04906a97e9431e</t>
  </si>
  <si>
    <t>Ipili</t>
  </si>
  <si>
    <t>ipi</t>
  </si>
  <si>
    <t>Ipili Nutestamene</t>
  </si>
  <si>
    <t>dce026f4cd1dda1d</t>
  </si>
  <si>
    <t>Bible 1961</t>
  </si>
  <si>
    <t>dd5c5f7428bdbc7d</t>
  </si>
  <si>
    <t>K&amp;#x27;iche&amp;#x27;</t>
  </si>
  <si>
    <t>quc</t>
  </si>
  <si>
    <t>Ru Lokꞌ Pixab Ri Dios</t>
  </si>
  <si>
    <t>dd6c99f2d3b72a3f</t>
  </si>
  <si>
    <t>Biblia en Lenguaje Sencillo</t>
  </si>
  <si>
    <t>df6b076fdf87509a</t>
  </si>
  <si>
    <t>Xitsonga 1929/2012</t>
  </si>
  <si>
    <t>dfc6da1000025af7</t>
  </si>
  <si>
    <t>Afrikaans 1983/1992</t>
  </si>
  <si>
    <t>e1b773c63b9b23de</t>
  </si>
  <si>
    <t>Mufian</t>
  </si>
  <si>
    <t>aoj</t>
  </si>
  <si>
    <t>Basef Buꞌwami Godi</t>
  </si>
  <si>
    <t>e3a274da7048b10a</t>
  </si>
  <si>
    <t>Gun</t>
  </si>
  <si>
    <t>guw</t>
  </si>
  <si>
    <t>The Holy Bible in Gun-Alada 1923</t>
  </si>
  <si>
    <t>e4a347b40641aa20</t>
  </si>
  <si>
    <t>Angal Heneng</t>
  </si>
  <si>
    <t>akh</t>
  </si>
  <si>
    <t>Angal Heneng mbuk Ngaoran Angal Bib Hobau Sao ngo wi o</t>
  </si>
  <si>
    <t>e502ca6e040e1bbb</t>
  </si>
  <si>
    <t>Uspanteko</t>
  </si>
  <si>
    <t>usp</t>
  </si>
  <si>
    <t>Lok&amp;#x27;laj Jyolj Kakaj Dios</t>
  </si>
  <si>
    <t>e557bfd542d01d57</t>
  </si>
  <si>
    <t>Akateko</t>
  </si>
  <si>
    <t>knj</t>
  </si>
  <si>
    <t>Ja&amp;#x27; An Nuevo Testamento</t>
  </si>
  <si>
    <t>e6457ca4554b5c78</t>
  </si>
  <si>
    <t>Kim</t>
  </si>
  <si>
    <t>kia</t>
  </si>
  <si>
    <t>Kim Bible</t>
  </si>
  <si>
    <t>edc84e947196a225</t>
  </si>
  <si>
    <t>Kaqchikel, Western</t>
  </si>
  <si>
    <t>Ri C&amp;#x27;ac&amp;#x27;ac&amp;#x27; Testamento pa Kach&amp;#x27;abel</t>
  </si>
  <si>
    <t>edd19cecbadd79aa</t>
  </si>
  <si>
    <t>Bo-Ung</t>
  </si>
  <si>
    <t>mux</t>
  </si>
  <si>
    <t>Pulu yili-nga ung-konale</t>
  </si>
  <si>
    <t>f06c7c97f902a9d2</t>
  </si>
  <si>
    <t>Awakateko</t>
  </si>
  <si>
    <t>agu</t>
  </si>
  <si>
    <t>Yi Antiw Bible / Yi Ac&amp;#x27;aj Bible</t>
  </si>
  <si>
    <t>f0b07df71502d877</t>
  </si>
  <si>
    <t>Hungarian New Translation</t>
  </si>
  <si>
    <t>f15917f013d5026d</t>
  </si>
  <si>
    <t>Ibibiliya mu Shimakonde Imbodi Yaambi na dimbande dya Imbodi Yakala</t>
  </si>
  <si>
    <t>f3621170013f2994</t>
  </si>
  <si>
    <t>Tacana</t>
  </si>
  <si>
    <t>tna</t>
  </si>
  <si>
    <t>Diusu sa mimi</t>
  </si>
  <si>
    <t>f4fc8144d16b6273</t>
  </si>
  <si>
    <t>Wayuu</t>
  </si>
  <si>
    <t>guc</t>
  </si>
  <si>
    <t>Rut y Jonas en Wayuunaiki</t>
  </si>
  <si>
    <t>f51b1074c660a325</t>
  </si>
  <si>
    <t>Alur</t>
  </si>
  <si>
    <t>alz</t>
  </si>
  <si>
    <t>1970 Alur (Lur) Bible Revised Orthography</t>
  </si>
  <si>
    <t>f8125dd659bf89c6</t>
  </si>
  <si>
    <t>Tanimuca-Retuarã</t>
  </si>
  <si>
    <t>tnc</t>
  </si>
  <si>
    <t>Tuᵽarã Majaroka</t>
  </si>
  <si>
    <t>f816fc7ed6178466</t>
  </si>
  <si>
    <t>Buang, Mangga</t>
  </si>
  <si>
    <t>mmo</t>
  </si>
  <si>
    <t>Vakasin Moos</t>
  </si>
  <si>
    <t>f8b0350f7f32b722</t>
  </si>
  <si>
    <t>Nimoa</t>
  </si>
  <si>
    <t>nmw</t>
  </si>
  <si>
    <t>Saisai Nimoa Matthew and Ephesians</t>
  </si>
  <si>
    <t>f9aa2d74dc196df9</t>
  </si>
  <si>
    <t>Papiamentu</t>
  </si>
  <si>
    <t>Netherlands Antilles</t>
  </si>
  <si>
    <t>Papiamentu Bible with DC 2013</t>
  </si>
  <si>
    <t>fa48708386d74c2f</t>
  </si>
  <si>
    <t>New Testament in Kapingamarangi</t>
  </si>
  <si>
    <t>fa90620c52fb71b0</t>
  </si>
  <si>
    <t>Amharic Bible (CLT)</t>
  </si>
  <si>
    <t>fab1f538992741c3</t>
  </si>
  <si>
    <t>Family Bible - Almeida Revised and Updated</t>
  </si>
  <si>
    <t>fe538091a212f8a7</t>
  </si>
  <si>
    <t>Logoti (Logo)</t>
  </si>
  <si>
    <t>log</t>
  </si>
  <si>
    <t>Logo New Testament</t>
  </si>
  <si>
    <t>fee146cf2c11878c</t>
  </si>
  <si>
    <t>Somba-Siawari</t>
  </si>
  <si>
    <t>bmu</t>
  </si>
  <si>
    <t>Urumeleŋgö Buŋa Kimbi Jöhöjöhö Dölökŋi</t>
  </si>
  <si>
    <t>ffa9d9a731f989dd</t>
  </si>
  <si>
    <t>Barai</t>
  </si>
  <si>
    <t>bbb</t>
  </si>
  <si>
    <t>Godido Vua Maeje</t>
  </si>
  <si>
    <t>105d701105fe407a</t>
  </si>
  <si>
    <t>Chokwe</t>
  </si>
  <si>
    <t>Chokwe Sagrada 1975</t>
  </si>
  <si>
    <t>323974b73fc61960</t>
  </si>
  <si>
    <t>Soga (lu-)</t>
  </si>
  <si>
    <t>xog</t>
  </si>
  <si>
    <t>Bible with DC books</t>
  </si>
  <si>
    <t>346babdc0230b19f</t>
  </si>
  <si>
    <t>Bakairí</t>
  </si>
  <si>
    <t>bkq</t>
  </si>
  <si>
    <t>Deus Itaumbyry</t>
  </si>
  <si>
    <t>34988bf0c03c0432</t>
  </si>
  <si>
    <t>Ono</t>
  </si>
  <si>
    <t>ons</t>
  </si>
  <si>
    <t>Ono Revised New Testament</t>
  </si>
  <si>
    <t>375d3c12b7464a82</t>
  </si>
  <si>
    <t>Wiru</t>
  </si>
  <si>
    <t>wiu</t>
  </si>
  <si>
    <t>Wiru NT</t>
  </si>
  <si>
    <t>37740b8b57757368</t>
  </si>
  <si>
    <t>Desano</t>
  </si>
  <si>
    <t>des</t>
  </si>
  <si>
    <t>Desano NT</t>
  </si>
  <si>
    <t>388e07e45913a9ba</t>
  </si>
  <si>
    <t>New Tumbuka Bible</t>
  </si>
  <si>
    <t>39a47a1a7052d221</t>
  </si>
  <si>
    <t>Helong</t>
  </si>
  <si>
    <t>heg</t>
  </si>
  <si>
    <t>Buk Niu In Hida Balu nol Dehet deng Apan-kloma ki in Dadi ka</t>
  </si>
  <si>
    <t>3b27e469e7557a6a</t>
  </si>
  <si>
    <t>Ru Loqꞌ Pixabꞌ Ri Dios</t>
  </si>
  <si>
    <t>3b6ce54d76a633a4</t>
  </si>
  <si>
    <t>New Amharic Standard Bible</t>
  </si>
  <si>
    <t>3b8dc6b3e82e2144</t>
  </si>
  <si>
    <t>South Ucayali Ashéninka</t>
  </si>
  <si>
    <t>cpy</t>
  </si>
  <si>
    <t>The New Testament with Old Testament portions in South Ucayali Ashéninka of Peru</t>
  </si>
  <si>
    <t>3bed28b81b9e1150</t>
  </si>
  <si>
    <t>Q&amp;#x27;eqchi&amp;#x27;</t>
  </si>
  <si>
    <t>kek</t>
  </si>
  <si>
    <t>Li Santil hu</t>
  </si>
  <si>
    <t>3d0053cc75898cde</t>
  </si>
  <si>
    <t>Yucuna</t>
  </si>
  <si>
    <t>ycn</t>
  </si>
  <si>
    <t>The New Testament in Yucuna</t>
  </si>
  <si>
    <t>3d397212d9681b36</t>
  </si>
  <si>
    <t>Cuiba</t>
  </si>
  <si>
    <t>cui</t>
  </si>
  <si>
    <t>The New Testament in Cuiba-Wamonae</t>
  </si>
  <si>
    <t>3e465594bec8db7b</t>
  </si>
  <si>
    <t>Mien Bible (Thai Script)</t>
  </si>
  <si>
    <t>3f811454ac4bedb1</t>
  </si>
  <si>
    <t>Ashéninka, Ucayali-yurúa</t>
  </si>
  <si>
    <t>cpb</t>
  </si>
  <si>
    <t>Kameethari Ñaantsi: ikenkitha-takoitziri awinkatharite Jesucristo; Owakerari aapatziya-wakagaantsi</t>
  </si>
  <si>
    <t>40e2eb2610441cde</t>
  </si>
  <si>
    <t>Arifama-Miniafia</t>
  </si>
  <si>
    <t>aai</t>
  </si>
  <si>
    <t>Tur gewasin o baibasit boubun</t>
  </si>
  <si>
    <t>4450f6078a5290f0</t>
  </si>
  <si>
    <t>Bulgarian Protestant Bible (Revised)</t>
  </si>
  <si>
    <t>449a69b81a7d96fb</t>
  </si>
  <si>
    <t>Ömie</t>
  </si>
  <si>
    <t>aom</t>
  </si>
  <si>
    <t>God-are Jögoru Iꞌoho</t>
  </si>
  <si>
    <t>44c001ee428eb6c3</t>
  </si>
  <si>
    <t>Mien Bible (Lao Script)</t>
  </si>
  <si>
    <t>45c44b64dcd32d69</t>
  </si>
  <si>
    <t>Macuna</t>
  </si>
  <si>
    <t>myy</t>
  </si>
  <si>
    <t>Dios Oca Tuti</t>
  </si>
  <si>
    <t>476daec7c34f87af</t>
  </si>
  <si>
    <t>Gikuyu</t>
  </si>
  <si>
    <t>The Holy Bible in Gĩkũyũ Language Published as Ibuku rĩa Ũhoro Ũrĩa Mwega (Common Language)</t>
  </si>
  <si>
    <t>495d191d35522763</t>
  </si>
  <si>
    <t>4aee0c42a7278793</t>
  </si>
  <si>
    <t>Bengali Common Language Bible</t>
  </si>
  <si>
    <t>50219bbdbe4a21aa</t>
  </si>
  <si>
    <t>Yaweyuha</t>
  </si>
  <si>
    <t>yby</t>
  </si>
  <si>
    <t>Yaweyuha NT</t>
  </si>
  <si>
    <t>50920a608439bf74</t>
  </si>
  <si>
    <t>Mbula</t>
  </si>
  <si>
    <t>mna</t>
  </si>
  <si>
    <t>Mbula New Testament</t>
  </si>
  <si>
    <t>51e46273bb4fdcd3</t>
  </si>
  <si>
    <t>Ambai</t>
  </si>
  <si>
    <t>amk</t>
  </si>
  <si>
    <t>Sempaisi Ne Kaiwo Mirarebanai</t>
  </si>
  <si>
    <t>53a0e25b3ab6de91</t>
  </si>
  <si>
    <t>Good News Study Bible 2015</t>
  </si>
  <si>
    <t>540781f1aef0e4b4</t>
  </si>
  <si>
    <t>Jakalteko</t>
  </si>
  <si>
    <t>jac</t>
  </si>
  <si>
    <t>Nuevo Testamento yin̈ abxubal</t>
  </si>
  <si>
    <t>5418660b242d9552</t>
  </si>
  <si>
    <t>Sudest</t>
  </si>
  <si>
    <t>tgo</t>
  </si>
  <si>
    <t>Sudest New Testament</t>
  </si>
  <si>
    <t>55bf7d46632bb31e</t>
  </si>
  <si>
    <t>Koreguaje</t>
  </si>
  <si>
    <t>coe</t>
  </si>
  <si>
    <t>Nuevo Testamento en koreguaje</t>
  </si>
  <si>
    <t>55c4cb758a08f8a4</t>
  </si>
  <si>
    <t>Kalenjin Revised DC Bible</t>
  </si>
  <si>
    <t>564a9955eafab958</t>
  </si>
  <si>
    <t>Bura-Pabir</t>
  </si>
  <si>
    <t>bwr</t>
  </si>
  <si>
    <t>Bura Bible</t>
  </si>
  <si>
    <t>56c199cb3802e32e</t>
  </si>
  <si>
    <t>Tol</t>
  </si>
  <si>
    <t>jic</t>
  </si>
  <si>
    <t>Dios Tjevele Jupj &amp;#x27;Üsüs La Qjuisiji Jesucristo Mpes</t>
  </si>
  <si>
    <t>583ee11b14ef2652</t>
  </si>
  <si>
    <t>Yao</t>
  </si>
  <si>
    <t>yao</t>
  </si>
  <si>
    <t>Chiyawo Bible</t>
  </si>
  <si>
    <t>5851c0acafa0cd40</t>
  </si>
  <si>
    <t>Bora</t>
  </si>
  <si>
    <t>boa</t>
  </si>
  <si>
    <t>Píívyéébé ihjyu: jetsocríjyodítyú cáátúnuháámɨ</t>
  </si>
  <si>
    <t>58733f8dc80dcf1d</t>
  </si>
  <si>
    <t>Eta Táurinaquene máechajiriruvahi ema Viya eta viyehe, ticaijare puito Eta Nuevo Testamento</t>
  </si>
  <si>
    <t>6508d0562d0a103e</t>
  </si>
  <si>
    <t>Mam Comitancillo</t>
  </si>
  <si>
    <t>Ak&amp;#x27;aj tu&amp;#x27;jil tyol qman</t>
  </si>
  <si>
    <t>58c26f83230645ef</t>
  </si>
  <si>
    <t>Yamba</t>
  </si>
  <si>
    <t>yam</t>
  </si>
  <si>
    <t>Ŋwàk Nwì Ma Rʉ̀k Nə̀ Fi</t>
  </si>
  <si>
    <t>59040483c70274f0</t>
  </si>
  <si>
    <t>Cubeo</t>
  </si>
  <si>
    <t>cub</t>
  </si>
  <si>
    <t>Majepacʉ jʉ̃menijicʉi yávaiye mamaene coyʉitucubo</t>
  </si>
  <si>
    <t>595bf545248b65a9</t>
  </si>
  <si>
    <t>Tifal</t>
  </si>
  <si>
    <t>tif</t>
  </si>
  <si>
    <t>Tifal New Testament</t>
  </si>
  <si>
    <t>5a0e148ec81b880b</t>
  </si>
  <si>
    <t>Kuanyama</t>
  </si>
  <si>
    <t>kua</t>
  </si>
  <si>
    <t>Oshikwanyama Bible (Revised)</t>
  </si>
  <si>
    <t>5a6b88fafe1c8f2b</t>
  </si>
  <si>
    <t>The Bible in Kuna, San Blas</t>
  </si>
  <si>
    <t>5b087f46a65a755e</t>
  </si>
  <si>
    <t>Awa-Cuaiquer</t>
  </si>
  <si>
    <t>kwi</t>
  </si>
  <si>
    <t>Masas Pit Jesucristowa</t>
  </si>
  <si>
    <t>5d0b465ad3599b8b</t>
  </si>
  <si>
    <t>Patpatar</t>
  </si>
  <si>
    <t>gfk</t>
  </si>
  <si>
    <t>No hinhinawas uta no sigar kunubus tano Watong</t>
  </si>
  <si>
    <t>5d63ab5e97eaabe5</t>
  </si>
  <si>
    <t>Gungu</t>
  </si>
  <si>
    <t>rub</t>
  </si>
  <si>
    <t>Lugungu New Testament</t>
  </si>
  <si>
    <t>5f19908d3d3695c1</t>
  </si>
  <si>
    <t>Ẽwandam Iek</t>
  </si>
  <si>
    <t>5f2d583141e94cd9</t>
  </si>
  <si>
    <t>Angor</t>
  </si>
  <si>
    <t>agg</t>
  </si>
  <si>
    <t>Godɨndɨ Hoafɨ</t>
  </si>
  <si>
    <t>5f2db45b5778cb82</t>
  </si>
  <si>
    <t>Noon</t>
  </si>
  <si>
    <t>snf</t>
  </si>
  <si>
    <t>Noon New Testament</t>
  </si>
  <si>
    <t>6113f28d76afa703</t>
  </si>
  <si>
    <t>South Ndebele</t>
  </si>
  <si>
    <t>nbl</t>
  </si>
  <si>
    <t>IsiNdebele 2012</t>
  </si>
  <si>
    <t>61533cb1931e941b</t>
  </si>
  <si>
    <t>Central-Eastern Niger Fulfulde</t>
  </si>
  <si>
    <t>fuq</t>
  </si>
  <si>
    <t>Eastern Fulfulde New Testament</t>
  </si>
  <si>
    <t>62553a0b16aa3072</t>
  </si>
  <si>
    <t>Iwam, Sepik</t>
  </si>
  <si>
    <t>iws</t>
  </si>
  <si>
    <t>Yai Wɨn Kɨbiya</t>
  </si>
  <si>
    <t>62aa727c9187a6de</t>
  </si>
  <si>
    <t>Yocoboué Dida</t>
  </si>
  <si>
    <t>gud</t>
  </si>
  <si>
    <t>Dida New Testament</t>
  </si>
  <si>
    <t>63cf47cfb6916962</t>
  </si>
  <si>
    <t>Northwest Alaska Inupiatun</t>
  </si>
  <si>
    <t>esk</t>
  </si>
  <si>
    <t>Ipqitchuat Makpiġaat - Agaayyutim Uqałhi Iñupiatun</t>
  </si>
  <si>
    <t>650414c48c024c45</t>
  </si>
  <si>
    <t>Arop-Lokep</t>
  </si>
  <si>
    <t>apr</t>
  </si>
  <si>
    <t>Arop-Lokep NT</t>
  </si>
  <si>
    <t>659513b6f1a40dd8</t>
  </si>
  <si>
    <t>Chraska Bible</t>
  </si>
  <si>
    <t>671d0b6e85ee2839</t>
  </si>
  <si>
    <t>Huambisa</t>
  </si>
  <si>
    <t>hub</t>
  </si>
  <si>
    <t>Yuusa chichame yaunchukia tura yamaram chichamjai aarmau</t>
  </si>
  <si>
    <t>685d5ea3c56f1de0</t>
  </si>
  <si>
    <t>Sranan</t>
  </si>
  <si>
    <t>Nyun Testamenti</t>
  </si>
  <si>
    <t>687dac90057bbf2c</t>
  </si>
  <si>
    <t>Revised Hungarian Bible</t>
  </si>
  <si>
    <t>68832f724b923368</t>
  </si>
  <si>
    <t>Romanian Cornilescu Bible 1924, corrected 2016</t>
  </si>
  <si>
    <t>6ae672a3f8190977</t>
  </si>
  <si>
    <t>Ojibwe Shorter Bible (Roman Script)</t>
  </si>
  <si>
    <t>6bc3720cefe5ec26</t>
  </si>
  <si>
    <t>Mapudungun</t>
  </si>
  <si>
    <t>arn</t>
  </si>
  <si>
    <t>Ngünechen ñi Küme Dungu</t>
  </si>
  <si>
    <t>6c16e80d160fa7f9</t>
  </si>
  <si>
    <t>Yongkom</t>
  </si>
  <si>
    <t>yon</t>
  </si>
  <si>
    <t>Yomgkom Bible</t>
  </si>
  <si>
    <t>6df1e12ada7e2beb</t>
  </si>
  <si>
    <t>Carrier</t>
  </si>
  <si>
    <t>crx</t>
  </si>
  <si>
    <t>Yak&amp;#x27;usda Ooghuni</t>
  </si>
  <si>
    <t>6e923415ece3111b</t>
  </si>
  <si>
    <t>Tektiteko</t>
  </si>
  <si>
    <t>ttc</t>
  </si>
  <si>
    <t>Te akʼaʼj tuʼjal tuj tuʼjal qtata Dios</t>
  </si>
  <si>
    <t>70716deba20e3167</t>
  </si>
  <si>
    <t>Bargam</t>
  </si>
  <si>
    <t>mlp</t>
  </si>
  <si>
    <t>God ago maror muturta agamukan</t>
  </si>
  <si>
    <t>71f7649521dcb855</t>
  </si>
  <si>
    <t>Ngiti</t>
  </si>
  <si>
    <t>niy</t>
  </si>
  <si>
    <t>Ndrǔna NT</t>
  </si>
  <si>
    <t>7203006e38b66a06</t>
  </si>
  <si>
    <t>Waorani</t>
  </si>
  <si>
    <t>auc</t>
  </si>
  <si>
    <t>Wængonguï nänö Apæ̈negaïnö</t>
  </si>
  <si>
    <t>728722451fd29659</t>
  </si>
  <si>
    <t>Barasana-Eduria</t>
  </si>
  <si>
    <t>bsn</t>
  </si>
  <si>
    <t>Dios oca gotirituti</t>
  </si>
  <si>
    <t>72ad58dcdee96569</t>
  </si>
  <si>
    <t>Colorado</t>
  </si>
  <si>
    <t>cof</t>
  </si>
  <si>
    <t>Diosichi Pila</t>
  </si>
  <si>
    <t>72cdf3a905ac2312</t>
  </si>
  <si>
    <t>Paiute, Northern</t>
  </si>
  <si>
    <t>pao</t>
  </si>
  <si>
    <t>Te Naa Besa Unnepu</t>
  </si>
  <si>
    <t>739fca14060954ed</t>
  </si>
  <si>
    <t>Nupe-Nupe-Tako</t>
  </si>
  <si>
    <t>nup</t>
  </si>
  <si>
    <t>Nupe Bible Version 1980</t>
  </si>
  <si>
    <t>73c29be3454345e7</t>
  </si>
  <si>
    <t>Wuvulu-Aua</t>
  </si>
  <si>
    <t>wuv</t>
  </si>
  <si>
    <t>Wuvulu-Aua NT</t>
  </si>
  <si>
    <t>73e51d34db0a0b35</t>
  </si>
  <si>
    <t>Tuyuca</t>
  </si>
  <si>
    <t>tue</t>
  </si>
  <si>
    <t>Cõãmacʉ̃ mecʉ̃ã wedesei</t>
  </si>
  <si>
    <t>76f5e924bec27163</t>
  </si>
  <si>
    <t>Umbu-Ungu, Kala</t>
  </si>
  <si>
    <t>770fd5c5ec6d2995</t>
  </si>
  <si>
    <t>Buang, Mapos</t>
  </si>
  <si>
    <t>bzh</t>
  </si>
  <si>
    <t>Mehöböp Yesu Kerisi yi GAGEK MEWIS sën vong yam vu hil</t>
  </si>
  <si>
    <t>7881095a69332502</t>
  </si>
  <si>
    <t>78bb50fca0ef9da2</t>
  </si>
  <si>
    <t>Kayah, Western New Testament in Latin script</t>
  </si>
  <si>
    <t>78df9d2017796a6a</t>
  </si>
  <si>
    <t>Kaqchikel, South Western</t>
  </si>
  <si>
    <t>Re C&amp;#x27;ac&amp;#x27;a Testamento pa Kach&amp;#x27;abal</t>
  </si>
  <si>
    <t>7904b6af135d00fb</t>
  </si>
  <si>
    <t>Angaataha</t>
  </si>
  <si>
    <t>agm</t>
  </si>
  <si>
    <t>Autaahaatɨhomɨ Pɨwɨha Gaaha Wanɨha</t>
  </si>
  <si>
    <t>79a0f4eff14dfc57</t>
  </si>
  <si>
    <t>Ajyíninka Apurucayali</t>
  </si>
  <si>
    <t>cpc</t>
  </si>
  <si>
    <t>KAMIITHARI ÑAANTSI</t>
  </si>
  <si>
    <t>7a56c6604294901c</t>
  </si>
  <si>
    <t>Nsenga New Testament 2015</t>
  </si>
  <si>
    <t>7b9296e09aff2232</t>
  </si>
  <si>
    <t>Dadibi</t>
  </si>
  <si>
    <t>mps</t>
  </si>
  <si>
    <t>Godigo dwagi yai po buku</t>
  </si>
  <si>
    <t>7c0e173b4fde8af2</t>
  </si>
  <si>
    <t>Eastern Bru</t>
  </si>
  <si>
    <t>bru</t>
  </si>
  <si>
    <t>Eastern Bru Bible</t>
  </si>
  <si>
    <t>7c3d8fc4079b80af</t>
  </si>
  <si>
    <t>Inuktitut: Eastern Arctic</t>
  </si>
  <si>
    <t>Eastern Arctic Inuktitut Bible</t>
  </si>
  <si>
    <t>7d88ffa79f7261a1</t>
  </si>
  <si>
    <t>Bimin</t>
  </si>
  <si>
    <t>bhl</t>
  </si>
  <si>
    <t>Sunbim-Got em Kitakamin Weng</t>
  </si>
  <si>
    <t>7f74c4136b703784</t>
  </si>
  <si>
    <t>Bulgarian Orthodox Bible</t>
  </si>
  <si>
    <t>815aa965754d607a</t>
  </si>
  <si>
    <t>Mende (Papua New Guinea)</t>
  </si>
  <si>
    <t>sim</t>
  </si>
  <si>
    <t>Mende NT</t>
  </si>
  <si>
    <t>822362274ae729a4</t>
  </si>
  <si>
    <t>Tungag</t>
  </si>
  <si>
    <t>lcm</t>
  </si>
  <si>
    <t>Akus Ro na Palatung Tanginang ani Iesu Karisto</t>
  </si>
  <si>
    <t>8225781e296dd698</t>
  </si>
  <si>
    <t>Konkomba</t>
  </si>
  <si>
    <t>xon</t>
  </si>
  <si>
    <t>Konkomba Bible</t>
  </si>
  <si>
    <t>8680ef6448f051ee</t>
  </si>
  <si>
    <t>Guanano</t>
  </si>
  <si>
    <t>gvc</t>
  </si>
  <si>
    <t>Guanano NT</t>
  </si>
  <si>
    <t>88073b9118528726</t>
  </si>
  <si>
    <t>Ikwo</t>
  </si>
  <si>
    <t>iqw</t>
  </si>
  <si>
    <t>Ikwo Bible</t>
  </si>
  <si>
    <t>8bb81963e2d37ab5</t>
  </si>
  <si>
    <t>Alamblak</t>
  </si>
  <si>
    <t>amp</t>
  </si>
  <si>
    <t>Bro Nkifrarhu Mrokfot</t>
  </si>
  <si>
    <t>8bc6e1da19ad3ba0</t>
  </si>
  <si>
    <t>Ese Ejja</t>
  </si>
  <si>
    <t>ese</t>
  </si>
  <si>
    <t>Eyacuiñajjija Esohui</t>
  </si>
  <si>
    <t>8ce32911eeac844c</t>
  </si>
  <si>
    <t>Lambya</t>
  </si>
  <si>
    <t>lai</t>
  </si>
  <si>
    <t>Lambya First Bible</t>
  </si>
  <si>
    <t>8d0ed49bd3f41913</t>
  </si>
  <si>
    <t>Anjam NT 2014 Revision</t>
  </si>
  <si>
    <t>8d250131e5f5a3fd</t>
  </si>
  <si>
    <t>Marik</t>
  </si>
  <si>
    <t>dad</t>
  </si>
  <si>
    <t>Mata Ifenẽya Nẽ Od</t>
  </si>
  <si>
    <t>8d719a6999f69101</t>
  </si>
  <si>
    <t>Marathi - R.V. (Re-edited) (BSI)</t>
  </si>
  <si>
    <t>8e606d77f11aef92</t>
  </si>
  <si>
    <t>Revisión Chuya Qellqa 2012</t>
  </si>
  <si>
    <t>8eb38973d944f48a</t>
  </si>
  <si>
    <t>Mam Todos Santos</t>
  </si>
  <si>
    <t>Acʼaj testamento (El Nuevo testamento in Mam de Todos Santos)</t>
  </si>
  <si>
    <t>8ee0b6d2cca75408</t>
  </si>
  <si>
    <t>Kein</t>
  </si>
  <si>
    <t>bmh</t>
  </si>
  <si>
    <t>Uwait nugau Ze Naliu</t>
  </si>
  <si>
    <t>8ff6a9cd9f40f06f</t>
  </si>
  <si>
    <t>Ngambai (Ngambay)</t>
  </si>
  <si>
    <t>sba</t>
  </si>
  <si>
    <t>Ngambai Bible 1989</t>
  </si>
  <si>
    <t>90b77c4b5e328567</t>
  </si>
  <si>
    <t>Cacua</t>
  </si>
  <si>
    <t>cbv</t>
  </si>
  <si>
    <t>Dios ã jáap naáwát tólih</t>
  </si>
  <si>
    <t>9230bf7d0a3fb42b</t>
  </si>
  <si>
    <t>Bine</t>
  </si>
  <si>
    <t>bon</t>
  </si>
  <si>
    <t>Ireclota Mene</t>
  </si>
  <si>
    <t>925e2e252e518780</t>
  </si>
  <si>
    <t>Safeyoka</t>
  </si>
  <si>
    <t>apz</t>
  </si>
  <si>
    <t>Mpohwoe Hungkuno Songofoho</t>
  </si>
  <si>
    <t>96ce7ba424637835</t>
  </si>
  <si>
    <t>Jarai Bible</t>
  </si>
  <si>
    <t>9762b6baabd968ce</t>
  </si>
  <si>
    <t>Camsá</t>
  </si>
  <si>
    <t>kbh</t>
  </si>
  <si>
    <t>Bëngbe Bëtsa Cabëngaftaca Entsoyebuambna</t>
  </si>
  <si>
    <t>98a7485e214d5141</t>
  </si>
  <si>
    <t>Buglere</t>
  </si>
  <si>
    <t>sab</t>
  </si>
  <si>
    <t>Chube gerua jagere Jesucristo giti degaba kwian ulita alin: El Nuevo Testamento de nuestro Señor Jesucristo en el idioma buglere</t>
  </si>
  <si>
    <t>9900a9087820267e</t>
  </si>
  <si>
    <t>Iwal</t>
  </si>
  <si>
    <t>kbm</t>
  </si>
  <si>
    <t>Yisu Kilisi ane Binge Vie Giengk Iwal Avos</t>
  </si>
  <si>
    <t>9adf28ef3e43803b</t>
  </si>
  <si>
    <t>God Ananin Balan (apeB)</t>
  </si>
  <si>
    <t>9b2f4522c94167b3</t>
  </si>
  <si>
    <t>9bf4c154bb6029f7</t>
  </si>
  <si>
    <t>Runyankore: Rukiga</t>
  </si>
  <si>
    <t>nyn</t>
  </si>
  <si>
    <t>Bible 1964</t>
  </si>
  <si>
    <t>9c3d25003083cccf</t>
  </si>
  <si>
    <t>Ashéninka Pajonal</t>
  </si>
  <si>
    <t>cjo</t>
  </si>
  <si>
    <t>Iwaperite tajorentsi ikenkithatakoetziri awinkatharite Jesokirishito: owakirari inimotakiri tajorentsi</t>
  </si>
  <si>
    <t>499d5bc03a0ca91d</t>
  </si>
  <si>
    <t>Ajie</t>
  </si>
  <si>
    <t>aji</t>
  </si>
  <si>
    <t>Ajie New Testament</t>
  </si>
  <si>
    <t>0b31c31d8d6692a7</t>
  </si>
  <si>
    <t>Tongan Contemporary New Testament</t>
  </si>
  <si>
    <t>9d7b111134b5966b</t>
  </si>
  <si>
    <t>Caribbean Hindustani</t>
  </si>
  <si>
    <t>hns</t>
  </si>
  <si>
    <t>Parmeswar ke naawa poestak</t>
  </si>
  <si>
    <t>9d8e38787b3a422a</t>
  </si>
  <si>
    <t>Cofán</t>
  </si>
  <si>
    <t>con</t>
  </si>
  <si>
    <t>Chiga Tevaen&amp;#x27;Jema Atesuja 1, Aisheve Caña&amp;#x27;cho</t>
  </si>
  <si>
    <t>9da352a72ceb803d</t>
  </si>
  <si>
    <t>Gujarati O.V. (Reference Bible) (BSI)</t>
  </si>
  <si>
    <t>9e30a03c5a46dce1</t>
  </si>
  <si>
    <t>Pwo Northern Karen</t>
  </si>
  <si>
    <t>pww</t>
  </si>
  <si>
    <t>Pwo Karen Bible (Thailand)</t>
  </si>
  <si>
    <t>9ecf77e4e86a051e</t>
  </si>
  <si>
    <t>Azumeina</t>
  </si>
  <si>
    <t>mpg</t>
  </si>
  <si>
    <t>Azumeina Bible</t>
  </si>
  <si>
    <t>9fadd18edac4323a</t>
  </si>
  <si>
    <t>Cavineña</t>
  </si>
  <si>
    <t>cav</t>
  </si>
  <si>
    <t>Yusuja Quisarati</t>
  </si>
  <si>
    <t>9fe361ee64e869a9</t>
  </si>
  <si>
    <t>Merey</t>
  </si>
  <si>
    <t>meq</t>
  </si>
  <si>
    <t>Dzam Weɗeye</t>
  </si>
  <si>
    <t>a026c72253197711</t>
  </si>
  <si>
    <t>Borong</t>
  </si>
  <si>
    <t>ksr</t>
  </si>
  <si>
    <t>The New Testamane with portions of the Old Testament in Borong</t>
  </si>
  <si>
    <t>a1307c8e48511fdc</t>
  </si>
  <si>
    <t>Teribe</t>
  </si>
  <si>
    <t>tfr</t>
  </si>
  <si>
    <t>Sbö Tjl̈õkwo</t>
  </si>
  <si>
    <t>a2b563d0d13be0c6</t>
  </si>
  <si>
    <t>Inoke-Yate</t>
  </si>
  <si>
    <t>ino</t>
  </si>
  <si>
    <t>Anumaya Kotiꞌa Saufa Lamiꞌnea Ke</t>
  </si>
  <si>
    <t>a2eba046a7d7e4b3</t>
  </si>
  <si>
    <t>Epena Bible</t>
  </si>
  <si>
    <t>a46cc194ebc39b60</t>
  </si>
  <si>
    <t>Maka</t>
  </si>
  <si>
    <t>mca</t>
  </si>
  <si>
    <t>The New Testament in Maka</t>
  </si>
  <si>
    <t>a4c5eb163eacc4fe</t>
  </si>
  <si>
    <t>Ri C&amp;#x27;ac&amp;#x27;a Trato ri Xuben ri Dios Quiq&amp;#x27;uin ri Vinek</t>
  </si>
  <si>
    <t>a4feee162ccfa745</t>
  </si>
  <si>
    <t>Sursurunga</t>
  </si>
  <si>
    <t>sgz</t>
  </si>
  <si>
    <t>Hutngin Kamkabat si Klu</t>
  </si>
  <si>
    <t>a54171ab57ae91d2</t>
  </si>
  <si>
    <t>Malayalam C.L. Bible (BSI)</t>
  </si>
  <si>
    <t>a6a425ca2a6a4060</t>
  </si>
  <si>
    <t>Amarakaeri</t>
  </si>
  <si>
    <t>amr</t>
  </si>
  <si>
    <t>Jesucristo oy oa’pak: Kenda Jesucristoa; monigka’uyatenok; Diostaj mo’manopo’yarea’ika’ne</t>
  </si>
  <si>
    <t>a6d3e3fdb5e17efe</t>
  </si>
  <si>
    <t>Afrikaans 1983/1992 - Verwysingsbybel</t>
  </si>
  <si>
    <t>a7567733b3493edb</t>
  </si>
  <si>
    <t>Chayahuita</t>
  </si>
  <si>
    <t>cbt</t>
  </si>
  <si>
    <t>Yosë nanamën</t>
  </si>
  <si>
    <t>aa755e89a43feebb</t>
  </si>
  <si>
    <t>The New Testament in Keyagana</t>
  </si>
  <si>
    <t>aaa6b39ab9a8878b</t>
  </si>
  <si>
    <t>Bemba Popular Version</t>
  </si>
  <si>
    <t>aafa5cf9179623ff</t>
  </si>
  <si>
    <t>Siriano</t>
  </si>
  <si>
    <t>sri</t>
  </si>
  <si>
    <t>Marĩpʉya Kerere Wereri Turi</t>
  </si>
  <si>
    <t>ab4a205d69cfb801</t>
  </si>
  <si>
    <t>Gwich&amp;#x27;in</t>
  </si>
  <si>
    <t>gwi</t>
  </si>
  <si>
    <t>Vit&amp;#x27;eegwijyąhchy&amp;#x27;aa Vagwandak Nizįį</t>
  </si>
  <si>
    <t>ab97a067bd190b24</t>
  </si>
  <si>
    <t>Arabela</t>
  </si>
  <si>
    <t>arl</t>
  </si>
  <si>
    <t>Quiarinio pueyaso rupaa pa jiyaniijia Jesucristojiniji pueyano rupaajinia</t>
  </si>
  <si>
    <t>ac205cc87ccadfd6</t>
  </si>
  <si>
    <t>Dogrib</t>
  </si>
  <si>
    <t>dgr</t>
  </si>
  <si>
    <t>Dogrib Genesis &amp;amp;amp; New Testament</t>
  </si>
  <si>
    <t>bc1f65557c838115</t>
  </si>
  <si>
    <t>Pele-Ata</t>
  </si>
  <si>
    <t>ata</t>
  </si>
  <si>
    <t>Vaikala Noxou Lataua</t>
  </si>
  <si>
    <t>bc4e6ea72ebcd70a</t>
  </si>
  <si>
    <t>Kaqchikel, Eastern</t>
  </si>
  <si>
    <t>RI DIOS NCH&amp;#x27;O PA KACH&amp;#x27;ABÜL CHEKE</t>
  </si>
  <si>
    <t>ae1c4d57660f3800</t>
  </si>
  <si>
    <t>Ankave</t>
  </si>
  <si>
    <t>aak</t>
  </si>
  <si>
    <t>Ankave New Testament</t>
  </si>
  <si>
    <t>af2850055669e932</t>
  </si>
  <si>
    <t>Chácobo</t>
  </si>
  <si>
    <t>cao</t>
  </si>
  <si>
    <t>Dios Chani</t>
  </si>
  <si>
    <t>b0ec0974b90c6f2b</t>
  </si>
  <si>
    <t>Biangai</t>
  </si>
  <si>
    <t>big</t>
  </si>
  <si>
    <t>Anotogi Ngago Wikta</t>
  </si>
  <si>
    <t>b0f1183cdda00733</t>
  </si>
  <si>
    <t>Benabena</t>
  </si>
  <si>
    <t>bef</t>
  </si>
  <si>
    <t>KA LAMANAꞌA Monoꞌi Lu Mu Tifiꞌehina Ka Yabe</t>
  </si>
  <si>
    <t>b22d052dc5a59ab7</t>
  </si>
  <si>
    <t>Hmong White Bible</t>
  </si>
  <si>
    <t>b2995c64c977110a</t>
  </si>
  <si>
    <t>Kamula</t>
  </si>
  <si>
    <t>xla</t>
  </si>
  <si>
    <t>Kamula Bible</t>
  </si>
  <si>
    <t>b2ad530b28ac0fb2</t>
  </si>
  <si>
    <t>Umanakaina</t>
  </si>
  <si>
    <t>gdn</t>
  </si>
  <si>
    <t>Iya Yonai</t>
  </si>
  <si>
    <t>b2b132346e012b30</t>
  </si>
  <si>
    <t>Inga</t>
  </si>
  <si>
    <t>inb</t>
  </si>
  <si>
    <t>The New Testament in Inga</t>
  </si>
  <si>
    <t>b2e7b000f5707e49</t>
  </si>
  <si>
    <t>Imbongu</t>
  </si>
  <si>
    <t>imo</t>
  </si>
  <si>
    <t>Goteni lino kinye opa peamili nimu Ungu Tukumemu</t>
  </si>
  <si>
    <t>b62b656847a614c2</t>
  </si>
  <si>
    <t>La Bible en Kpèlèè (dc)</t>
  </si>
  <si>
    <t>b65f46f796f27b2e</t>
  </si>
  <si>
    <t>Maasina Fulfulde</t>
  </si>
  <si>
    <t>ffm</t>
  </si>
  <si>
    <t>Fulfulde Burkina Faso Bible</t>
  </si>
  <si>
    <t>b6d6c43ff4c88b49</t>
  </si>
  <si>
    <t>Chachi</t>
  </si>
  <si>
    <t>cbi</t>
  </si>
  <si>
    <t>Diosa&amp;#x27; kiika; Génesis, Éxodo y El Nuevo Testamento</t>
  </si>
  <si>
    <t>b7c126d9e88c4c2f</t>
  </si>
  <si>
    <t>Piratapuyo</t>
  </si>
  <si>
    <t>pir</t>
  </si>
  <si>
    <t>Cohãcjʉ̃ Yere Yahuducuri Tju</t>
  </si>
  <si>
    <t>b8cb9dac47e4c7a0</t>
  </si>
  <si>
    <t>Mengen</t>
  </si>
  <si>
    <t>mee</t>
  </si>
  <si>
    <t>The New Testament in the Mengen language of Papua New Guinea</t>
  </si>
  <si>
    <t>b9b2f2dc8343c128</t>
  </si>
  <si>
    <t>Therapeutic Study Bible New Translation in Todays Language</t>
  </si>
  <si>
    <t>b9ffe965aadedf6b</t>
  </si>
  <si>
    <t>Lango (Uganda)</t>
  </si>
  <si>
    <t>Lango Bible 1979</t>
  </si>
  <si>
    <t>ba8af875c3c81f92</t>
  </si>
  <si>
    <t>Ri utzilaj rutzij ri Dios pa kachʼabel</t>
  </si>
  <si>
    <t>bb8215c4d1cea7d0</t>
  </si>
  <si>
    <t>Awiyaana</t>
  </si>
  <si>
    <t>auy</t>
  </si>
  <si>
    <t>Aú-aai símai kááisamakain-aai</t>
  </si>
  <si>
    <t>bccb633877cb31ac</t>
  </si>
  <si>
    <t>Qaqet</t>
  </si>
  <si>
    <t>byx</t>
  </si>
  <si>
    <t>A Slurlka Aa Langinka Ama Iameska</t>
  </si>
  <si>
    <t>bf7484224959dc9a</t>
  </si>
  <si>
    <t>Mankanya</t>
  </si>
  <si>
    <t>knf</t>
  </si>
  <si>
    <t>Mankanya NT + OT portions</t>
  </si>
  <si>
    <t>c045301453de9d0d</t>
  </si>
  <si>
    <t>Ch&amp;#x27;orti&amp;#x27;</t>
  </si>
  <si>
    <t>caa</t>
  </si>
  <si>
    <t>E ojroner xeʼ imbʼutz tuaʼ Cawinquirar Jesucristo</t>
  </si>
  <si>
    <t>c058c88d8250bfb0</t>
  </si>
  <si>
    <t>Haruai</t>
  </si>
  <si>
    <t>tmd</t>
  </si>
  <si>
    <t>Haruai New Testament</t>
  </si>
  <si>
    <t>c155eb121ae5f6cd</t>
  </si>
  <si>
    <t>Missionary Study Bible Almeira Revised And Updated</t>
  </si>
  <si>
    <t>c35a51a9a808587c</t>
  </si>
  <si>
    <t>Siona</t>
  </si>
  <si>
    <t>snn</t>
  </si>
  <si>
    <t>Riusu cocabera: mai ëjaguë Jesucristo ba&amp;#x27;iyete toyani jo&amp;#x27;case&amp;#x27;e&amp;#x27;ë</t>
  </si>
  <si>
    <t>c3aa54f0baa2a1be</t>
  </si>
  <si>
    <t>Shipibo-Conibo</t>
  </si>
  <si>
    <t>shp</t>
  </si>
  <si>
    <t>Diossen joi jatíxonbi onanti joi</t>
  </si>
  <si>
    <t>c3e1c896c3518bb6</t>
  </si>
  <si>
    <t>Revised 2014 Buku Lopatulika</t>
  </si>
  <si>
    <t>c3f6d74be036a462</t>
  </si>
  <si>
    <t>Hote</t>
  </si>
  <si>
    <t>hot</t>
  </si>
  <si>
    <t>The New Testament in the Malei-Hote language of Papua New Guinea</t>
  </si>
  <si>
    <t>c4fe9e2ee5c9478b</t>
  </si>
  <si>
    <t>Kaqchikel South Central</t>
  </si>
  <si>
    <t>The New Testament in Cakchiquel South Central of Guatemala</t>
  </si>
  <si>
    <t>c98f17c6c4741589</t>
  </si>
  <si>
    <t>Tangoa</t>
  </si>
  <si>
    <t>tgp</t>
  </si>
  <si>
    <t>Retitapu na leon tatangoa</t>
  </si>
  <si>
    <t>c9e5d37808a5299c</t>
  </si>
  <si>
    <t>Kunimaipa</t>
  </si>
  <si>
    <t>kup</t>
  </si>
  <si>
    <t>Baiñetinavoz Tep Tokatit</t>
  </si>
  <si>
    <t>cb14507c706a1e39</t>
  </si>
  <si>
    <t>Yi Antiw Testament / Yi Ac&amp;#x27;aj Testament</t>
  </si>
  <si>
    <t>cb3318158167123c</t>
  </si>
  <si>
    <t>Common Old Version</t>
  </si>
  <si>
    <t>cc2074b71e87441f</t>
  </si>
  <si>
    <t>Dano</t>
  </si>
  <si>
    <t>aso</t>
  </si>
  <si>
    <t>Monoꞌ Godolo Gosohoꞌ</t>
  </si>
  <si>
    <t>cd7c5a1dbb9c6f7c</t>
  </si>
  <si>
    <t>Isekiri</t>
  </si>
  <si>
    <t>its</t>
  </si>
  <si>
    <t>Isekiri Bible</t>
  </si>
  <si>
    <t>d06f97d18e3c0e0f</t>
  </si>
  <si>
    <t>Baka</t>
  </si>
  <si>
    <t>bdh</t>
  </si>
  <si>
    <t>Baka language of South Sudan NT+</t>
  </si>
  <si>
    <t>893d9b34bc4c00b3</t>
  </si>
  <si>
    <t>Tuvinian</t>
  </si>
  <si>
    <t>tyv</t>
  </si>
  <si>
    <t>Tuvan Bible 2011</t>
  </si>
  <si>
    <t>5e522e2cdf7f6feb</t>
  </si>
  <si>
    <t>Tabassaran</t>
  </si>
  <si>
    <t>tab</t>
  </si>
  <si>
    <t>Tabassaran New Testament 2010</t>
  </si>
  <si>
    <t>6158d1b0fcb1c1a9</t>
  </si>
  <si>
    <t>Even</t>
  </si>
  <si>
    <t>eve</t>
  </si>
  <si>
    <t>Even Luke 2001</t>
  </si>
  <si>
    <t>008ee554c0859eb6</t>
  </si>
  <si>
    <t>Buryat IBT New Testament 2010</t>
  </si>
  <si>
    <t>13767247c4090f1c</t>
  </si>
  <si>
    <t>Southern Altai</t>
  </si>
  <si>
    <t>alt</t>
  </si>
  <si>
    <t>Altai New Testament 2017</t>
  </si>
  <si>
    <t>92014bbe169b0f7d</t>
  </si>
  <si>
    <t>Bashkir IBT New Testament 2014</t>
  </si>
  <si>
    <t>59ce49b29458b2d8</t>
  </si>
  <si>
    <t>Chuvash</t>
  </si>
  <si>
    <t>chv</t>
  </si>
  <si>
    <t>Chuvash IBT New Testament</t>
  </si>
  <si>
    <t>339c6f391f16b17a</t>
  </si>
  <si>
    <t>Chechen</t>
  </si>
  <si>
    <t>che</t>
  </si>
  <si>
    <t>Chechen Bible 2012</t>
  </si>
  <si>
    <t>2b00df52326f6705</t>
  </si>
  <si>
    <t>Tatar</t>
  </si>
  <si>
    <t>tat</t>
  </si>
  <si>
    <t>Tatar Bible Back Conversion</t>
  </si>
  <si>
    <t>39d12631f9de2331</t>
  </si>
  <si>
    <t>Nogai</t>
  </si>
  <si>
    <t>nog</t>
  </si>
  <si>
    <t>Nogai New Testament 2011</t>
  </si>
  <si>
    <t>2647669d5b9c3f63</t>
  </si>
  <si>
    <t>Northern Uzbek</t>
  </si>
  <si>
    <t>uzn</t>
  </si>
  <si>
    <t>Uzbekistan</t>
  </si>
  <si>
    <t>Uzbek Bible (Latin)</t>
  </si>
  <si>
    <t>c9d823f8288af9d9</t>
  </si>
  <si>
    <t>Yakut</t>
  </si>
  <si>
    <t>sah</t>
  </si>
  <si>
    <t>Yakut Psalms, Proverbs, New Testament</t>
  </si>
  <si>
    <t>8f34b7c7dc6c3cd3</t>
  </si>
  <si>
    <t>Kalmyk</t>
  </si>
  <si>
    <t>xal</t>
  </si>
  <si>
    <t>Kalmyk New Testament 2002</t>
  </si>
  <si>
    <t>dd71865de1ef9c7a</t>
  </si>
  <si>
    <t>Aghul</t>
  </si>
  <si>
    <t>agx</t>
  </si>
  <si>
    <t>Aghul Luke (2005)</t>
  </si>
  <si>
    <t>b96e3d89de10b05c</t>
  </si>
  <si>
    <t>Tajik</t>
  </si>
  <si>
    <t>tgk</t>
  </si>
  <si>
    <t>Tajikistan</t>
  </si>
  <si>
    <t>Tajiki Bible 1992 IBT edition - digitised with corrections 2016</t>
  </si>
  <si>
    <t>9712485bf806c636</t>
  </si>
  <si>
    <t>Uzbek Bible (Cyrillic)</t>
  </si>
  <si>
    <t>0f7c90b391767b95</t>
  </si>
  <si>
    <t>Psalmet Toskerisht - Kostandin Kristoforidhi</t>
  </si>
  <si>
    <t>9c7683fdb51eae13</t>
  </si>
  <si>
    <t>IsiZulu 1959/1997 (New Orthography)</t>
  </si>
  <si>
    <t>5ec0bfb2257cb67d</t>
  </si>
  <si>
    <t>IsiZulu 1959 (Old Orthography)</t>
  </si>
  <si>
    <t>aa7bfc87e2d146e9</t>
  </si>
  <si>
    <t>Kusaal</t>
  </si>
  <si>
    <t>kus</t>
  </si>
  <si>
    <t>26dc77afbf1998d8</t>
  </si>
  <si>
    <t>Bum</t>
  </si>
  <si>
    <t>bmv</t>
  </si>
  <si>
    <t>Bum New Testament</t>
  </si>
  <si>
    <t>ddb5d2fa6a7d0949</t>
  </si>
  <si>
    <t>Yessan-Mayo</t>
  </si>
  <si>
    <t>yss</t>
  </si>
  <si>
    <t>New Testament in the Yawu Dialect of Yessan-Mayo</t>
  </si>
  <si>
    <t>00b28a38ece1b2a6</t>
  </si>
  <si>
    <t>Mixtec, Coatzospan</t>
  </si>
  <si>
    <t>miz</t>
  </si>
  <si>
    <t>Tūʼún xuva kō vatā ó ntákaʼan ña ñuú Coatzospan</t>
  </si>
  <si>
    <t>0153adc529772851</t>
  </si>
  <si>
    <t>Bontok, Eastern</t>
  </si>
  <si>
    <t>ebk</t>
  </si>
  <si>
    <t>Nan kalen apo Dios (Nan fiarú ay turag)</t>
  </si>
  <si>
    <t>016dbc6987be7394</t>
  </si>
  <si>
    <t>Zapotec, Rincón</t>
  </si>
  <si>
    <t>zar</t>
  </si>
  <si>
    <t>Didza&amp;#x27; cubi rucá&amp;#x27;ana tsahui&amp;#x27;</t>
  </si>
  <si>
    <t>0188a40e3461db4a</t>
  </si>
  <si>
    <t>Duri</t>
  </si>
  <si>
    <t>mvp</t>
  </si>
  <si>
    <t>Duri New Testament</t>
  </si>
  <si>
    <t>041c979ccf8315f5</t>
  </si>
  <si>
    <t>Zapotec, Chichicapan</t>
  </si>
  <si>
    <t>zpv</t>
  </si>
  <si>
    <t>Xchiʼdxyi cuubi dxiohs nin bieʼgaluuʼyi daada Jesucristu (El Nuevo Testamento en el zapoteco de Chichicapan y en español)</t>
  </si>
  <si>
    <t>049275fd66c79430</t>
  </si>
  <si>
    <t>Standard Latvian</t>
  </si>
  <si>
    <t>lvs</t>
  </si>
  <si>
    <t>Latvian Bible 1965</t>
  </si>
  <si>
    <t>04947278829ce2d7</t>
  </si>
  <si>
    <t>Imbabura Highland Quichua</t>
  </si>
  <si>
    <t>qvi</t>
  </si>
  <si>
    <t>Quichua Imbabura Bible</t>
  </si>
  <si>
    <t>056195d6f3725978</t>
  </si>
  <si>
    <t>Kankanaey</t>
  </si>
  <si>
    <t>kne</t>
  </si>
  <si>
    <t>Kankanaey Bible</t>
  </si>
  <si>
    <t>0564cbd4b29f3215</t>
  </si>
  <si>
    <t>Tongan Bible Rev - Moulton Orth</t>
  </si>
  <si>
    <t>059d615e7fbe0f93</t>
  </si>
  <si>
    <t>Ilianen Manobo</t>
  </si>
  <si>
    <t>mbi</t>
  </si>
  <si>
    <t>Manobo, Ilianen NT</t>
  </si>
  <si>
    <t>0651f9f4a905024d</t>
  </si>
  <si>
    <t>Santa María Zacatepec Mixtec</t>
  </si>
  <si>
    <t>mza</t>
  </si>
  <si>
    <t>Zacatepec Mixtec NT</t>
  </si>
  <si>
    <t>071fab052573e029</t>
  </si>
  <si>
    <t>Tepehuan, Southeastern</t>
  </si>
  <si>
    <t>stp</t>
  </si>
  <si>
    <t>Gu ñio&amp;#x27;ki&amp;#x27;ñ gu Dios na bhaan tu a&amp;#x27;ga guch xoi&amp;#x27;kam</t>
  </si>
  <si>
    <t>07c95ee7ff0e9f43</t>
  </si>
  <si>
    <t>Huave, San Mateo Del Mar</t>
  </si>
  <si>
    <t>huv</t>
  </si>
  <si>
    <t>Jayats nanderac wüx miteatiiüts Jesucristo</t>
  </si>
  <si>
    <t>08ebdac929584a89</t>
  </si>
  <si>
    <t>Nuevo Testamento Interlineal Español Griego</t>
  </si>
  <si>
    <t>0a7247b64e1551f3</t>
  </si>
  <si>
    <t>Revised Vietnamese Version Bible</t>
  </si>
  <si>
    <t>0aaa4b88c30bcde2</t>
  </si>
  <si>
    <t>La Biblia: La Palabra de Dios para todos</t>
  </si>
  <si>
    <t>0bc8836afa7427fa</t>
  </si>
  <si>
    <t>Translation for Translators</t>
  </si>
  <si>
    <t>0bf129a5f3cc025f</t>
  </si>
  <si>
    <t>Southern Kalinga</t>
  </si>
  <si>
    <t>ksc</t>
  </si>
  <si>
    <t>Southern Kalinga NT</t>
  </si>
  <si>
    <t>0d23e663aa9e7e96</t>
  </si>
  <si>
    <t>Ibatan</t>
  </si>
  <si>
    <t>ivb</t>
  </si>
  <si>
    <t>Chirin ni Apo Dyos</t>
  </si>
  <si>
    <t>0e724dcb1f62c16c</t>
  </si>
  <si>
    <t>Dibabawon Manobo</t>
  </si>
  <si>
    <t>mbd</t>
  </si>
  <si>
    <t>Manobo, Dibabawon</t>
  </si>
  <si>
    <t>1047099798aa4a8e</t>
  </si>
  <si>
    <t>Totonac, Coyutla</t>
  </si>
  <si>
    <t>toc</t>
  </si>
  <si>
    <t>Xasasti talacaxlan</t>
  </si>
  <si>
    <t>10a684dac4168de9</t>
  </si>
  <si>
    <t>Mixe, Tlahuitoltepec</t>
  </si>
  <si>
    <t>mxp</t>
  </si>
  <si>
    <t>Ja øgyajpxy ja ømyadya̱ʼa̱ky midi xukpa̱a̱jtɨmp ja nɨtsoʼokʼajtɨn</t>
  </si>
  <si>
    <t>10cb82e68dac7e56</t>
  </si>
  <si>
    <t>Tojolabal</t>
  </si>
  <si>
    <t>toj</t>
  </si>
  <si>
    <t>Ja yajcʼachil testamento sbaj ja cajualtic Jesucristo</t>
  </si>
  <si>
    <t>111dc3f9d89cae88</t>
  </si>
  <si>
    <t>Zapotec, Miahuatlán</t>
  </si>
  <si>
    <t>zam</t>
  </si>
  <si>
    <t>Testament cub coʼ nac diʼs ndac cheʼn Tad Jesucrist</t>
  </si>
  <si>
    <t>116befe943739e04</t>
  </si>
  <si>
    <t>Mazateco, Ayautla</t>
  </si>
  <si>
    <t>vmy</t>
  </si>
  <si>
    <t>El Nuevo Testamento Mazateco de Ayautla</t>
  </si>
  <si>
    <t>11d4396ce7779bcf</t>
  </si>
  <si>
    <t>Zapotec, Sierra de Juárez</t>
  </si>
  <si>
    <t>zaa</t>
  </si>
  <si>
    <t>Ca titsaʼ de laʼlabani para iyate ca enneʼ</t>
  </si>
  <si>
    <t>11da5b67fdbb418f</t>
  </si>
  <si>
    <t>Nahuatl, Highland Puebla</t>
  </si>
  <si>
    <t>azz</t>
  </si>
  <si>
    <t>In cuali tajtoltzin de Dios</t>
  </si>
  <si>
    <t>11f36a7e4b485e65</t>
  </si>
  <si>
    <t>Fulfulde, Maasina</t>
  </si>
  <si>
    <t>New Testament: Gospel of Jesus the Messiah</t>
  </si>
  <si>
    <t>133227c7db27a1e9</t>
  </si>
  <si>
    <t>Quechua, Eastern Apurímac</t>
  </si>
  <si>
    <t>qve</t>
  </si>
  <si>
    <t>Mosoq Testamento</t>
  </si>
  <si>
    <t>1466689a02363a43</t>
  </si>
  <si>
    <t>Zapotec, Mixtepec</t>
  </si>
  <si>
    <t>zpm</t>
  </si>
  <si>
    <t>Diidz ne rdeed guielmban</t>
  </si>
  <si>
    <t>149b1acebbc9a058</t>
  </si>
  <si>
    <t>Glosses French</t>
  </si>
  <si>
    <t>14b777e9dc3236bb</t>
  </si>
  <si>
    <t>Mixtec, San Juan Colorado</t>
  </si>
  <si>
    <t>mjc</t>
  </si>
  <si>
    <t>Tuhun tsaa tsa nacoo̱ jutu mañi yo Jesucristo tsi yo</t>
  </si>
  <si>
    <t>1667ba6283ff7afc</t>
  </si>
  <si>
    <t>Yanesha&amp;#x27;</t>
  </si>
  <si>
    <t>ame</t>
  </si>
  <si>
    <t>Yompor Poʼñoñ ñeñt ̃ attõ Yepartseshar Jesucristo eʼñe etserra aʼpoctaterrnay Yomporesho</t>
  </si>
  <si>
    <t>16f587fa098405e9</t>
  </si>
  <si>
    <t>Limos Kalinga</t>
  </si>
  <si>
    <t>kmk</t>
  </si>
  <si>
    <t>Ugud apudyus = Ti baro tulag</t>
  </si>
  <si>
    <t>17e4810064b26b00</t>
  </si>
  <si>
    <t>Mansaka</t>
  </si>
  <si>
    <t>msk</t>
  </si>
  <si>
    <t>Yang Bago na Togon Kanatu</t>
  </si>
  <si>
    <t>1c1dc27a6aab5bfa</t>
  </si>
  <si>
    <t>Sahu</t>
  </si>
  <si>
    <t>saj</t>
  </si>
  <si>
    <t>The New Testament in the Sahu Language</t>
  </si>
  <si>
    <t>1c43c34cda6e5a17</t>
  </si>
  <si>
    <t>Tagabawa</t>
  </si>
  <si>
    <t>bgs</t>
  </si>
  <si>
    <t>Kagi Ka Manama</t>
  </si>
  <si>
    <t>1c970791662edf86</t>
  </si>
  <si>
    <t>The Bible in the Huli Language Southern Highlands Province Papua New Guinea Edition with Deuterocanon</t>
  </si>
  <si>
    <t>1d732114a8406ece</t>
  </si>
  <si>
    <t>New Millennium Version</t>
  </si>
  <si>
    <t>1e1d19549eaf42f2</t>
  </si>
  <si>
    <t>Agta, Central Cagayan</t>
  </si>
  <si>
    <t>agt</t>
  </si>
  <si>
    <t>God&amp;#x27;s Word Concerning Jesus Christ</t>
  </si>
  <si>
    <t>2216931e497008ea</t>
  </si>
  <si>
    <t>Nahuatl, Huasteca Oriental</t>
  </si>
  <si>
    <t>nhe</t>
  </si>
  <si>
    <t>Ya ni nopa yancuic tlajtoli tlen toteco toca mocajtoc; El Nuevo Testamento de nuestro Señor Jesucristo en el náhuatl de la Huasteca Oriental</t>
  </si>
  <si>
    <t>221f66cab1c6f8a1</t>
  </si>
  <si>
    <t>Pitjantjatjara Bible Translation Project</t>
  </si>
  <si>
    <t>23a2ee55dfbc892c</t>
  </si>
  <si>
    <t>Maori New Testament</t>
  </si>
  <si>
    <t>23a3a51244529da2</t>
  </si>
  <si>
    <t>Manobo, Obo</t>
  </si>
  <si>
    <t>obo</t>
  </si>
  <si>
    <t>Moppiyon Dinoggan, Moka-atag ki Disas Krays</t>
  </si>
  <si>
    <t>2460d0f7f7cbc71a</t>
  </si>
  <si>
    <t>Ivatan</t>
  </si>
  <si>
    <t>ivv</t>
  </si>
  <si>
    <t>Ivatan NT</t>
  </si>
  <si>
    <t>24a84e164de74032</t>
  </si>
  <si>
    <t>Mixtec, Diuxi-tilantongo</t>
  </si>
  <si>
    <t>xtd</t>
  </si>
  <si>
    <t>Tnuʼu vaʼa tnuʼu Jesucristo</t>
  </si>
  <si>
    <t>259b581901040f49</t>
  </si>
  <si>
    <t>San Luís Temalacayuca Popoloca</t>
  </si>
  <si>
    <t>pps</t>
  </si>
  <si>
    <t>Ngigua de San Luis Temalacayuca Nuevo Testamento</t>
  </si>
  <si>
    <t>25e8cfcca6748f11</t>
  </si>
  <si>
    <t>Tiruray</t>
  </si>
  <si>
    <t>tiy</t>
  </si>
  <si>
    <t>I Fiyowe Uret</t>
  </si>
  <si>
    <t>25fcb531dfe24fcc</t>
  </si>
  <si>
    <t>Norwegian: Bokmal</t>
  </si>
  <si>
    <t>The Bible in Norwegian 2011 bokmål</t>
  </si>
  <si>
    <t>262f4c06b56b8146</t>
  </si>
  <si>
    <t>Mixe, Juquila</t>
  </si>
  <si>
    <t>mxq</t>
  </si>
  <si>
    <t>Ja jembyʉ kajxy&amp;#x27;átypyʉ mʉdʉ Jesukristʉkyʉjxm: El Nuevo Testamento de nuestro Señor Jesucristo en el mixe de Juquila</t>
  </si>
  <si>
    <t>27127eaaa107c05a</t>
  </si>
  <si>
    <t>Tepehua, Huehuetla</t>
  </si>
  <si>
    <t>tee</t>
  </si>
  <si>
    <t>Ixchivinti Dios</t>
  </si>
  <si>
    <t>286ba0fe74fd59d2</t>
  </si>
  <si>
    <t>Chinantec, Lealao</t>
  </si>
  <si>
    <t>cle</t>
  </si>
  <si>
    <t>Ja̱³la³ fáh⁴dxa⁴²dxú⁴ hi³mɨɨ³² chiáh² Ñúh³a² Jesucristo; Salmos</t>
  </si>
  <si>
    <t>28e6f00af180baed</t>
  </si>
  <si>
    <t>Nahuatl, Guerrero</t>
  </si>
  <si>
    <t>ngu</t>
  </si>
  <si>
    <t>In yencuic iyectlajtoltzin Dios itech ica toTeco Jesucristo</t>
  </si>
  <si>
    <t>2a477198aeee3aae</t>
  </si>
  <si>
    <t>Bolinao</t>
  </si>
  <si>
    <t>smk</t>
  </si>
  <si>
    <t>Si Biblia</t>
  </si>
  <si>
    <t>2a7fda2f25c8cb65</t>
  </si>
  <si>
    <t>Bambam</t>
  </si>
  <si>
    <t>ptu</t>
  </si>
  <si>
    <t>Bambam Genesis and New Testament</t>
  </si>
  <si>
    <t>2a82b322c6eef649</t>
  </si>
  <si>
    <t>Mixtec, Chayuco</t>
  </si>
  <si>
    <t>mih</t>
  </si>
  <si>
    <t>Tuhun Ndyoo sihin tyehen ñi</t>
  </si>
  <si>
    <t>2b02520a972bc4ca</t>
  </si>
  <si>
    <t>La Biblia, Traducción Interconfesional (versión española)</t>
  </si>
  <si>
    <t>2c678242bb84b45b</t>
  </si>
  <si>
    <t>Ifugao, Mayoyao</t>
  </si>
  <si>
    <t>ifu</t>
  </si>
  <si>
    <t>New Testament in Ifugao, Mayoyao</t>
  </si>
  <si>
    <t>2fa49e4da80d0e38</t>
  </si>
  <si>
    <t>Dinka Bor New Testament 1940</t>
  </si>
  <si>
    <t>God&amp;#x27;s Book</t>
  </si>
  <si>
    <t>314600cda3f690b2</t>
  </si>
  <si>
    <t>Western Bukidnon Manobo</t>
  </si>
  <si>
    <t>mbb</t>
  </si>
  <si>
    <t>Manobo, Western Bukidnon NT</t>
  </si>
  <si>
    <t>3163c7c75a6a2318</t>
  </si>
  <si>
    <t>Western Krahn</t>
  </si>
  <si>
    <t>krw</t>
  </si>
  <si>
    <t>Krahn Western New Testament</t>
  </si>
  <si>
    <t>31784715c01e694a</t>
  </si>
  <si>
    <t>Swahili (ki-)</t>
  </si>
  <si>
    <t>Africa Area</t>
  </si>
  <si>
    <t>Swahili Union Version</t>
  </si>
  <si>
    <t>31e7b33b24e02afd</t>
  </si>
  <si>
    <t>TAZI Study Notes</t>
  </si>
  <si>
    <t>3224ddd379a3b8e5</t>
  </si>
  <si>
    <t>Quechua, Southern Conchucos Ancash</t>
  </si>
  <si>
    <t>qxo</t>
  </si>
  <si>
    <t>Mushog Testamento</t>
  </si>
  <si>
    <t>3363efced3df18f1</t>
  </si>
  <si>
    <t>Thai Holy Bible 1971 (Digital)</t>
  </si>
  <si>
    <t>East Slovak Romani</t>
  </si>
  <si>
    <t>Romani New Testament</t>
  </si>
  <si>
    <t>33b2c25fcf3b560a</t>
  </si>
  <si>
    <t>Quechua, Cajamarca</t>
  </si>
  <si>
    <t>qvc</t>
  </si>
  <si>
    <t>Mushuq Tistamintu</t>
  </si>
  <si>
    <t>358d743e81a04eb3</t>
  </si>
  <si>
    <t>Eastern Krahn</t>
  </si>
  <si>
    <t>kqo</t>
  </si>
  <si>
    <t>Krahn: Tchien First New Testament</t>
  </si>
  <si>
    <t>35961df062009fb1</t>
  </si>
  <si>
    <t>Catalan</t>
  </si>
  <si>
    <t>cat</t>
  </si>
  <si>
    <t>Bíblia Catalana, Traducción Interconfesional</t>
  </si>
  <si>
    <t>35b9887f41a8351f</t>
  </si>
  <si>
    <t>Pampanga</t>
  </si>
  <si>
    <t>pam</t>
  </si>
  <si>
    <t>Pampango MBB: Ing Mayap a Balita Biblia 1994 - Mother File</t>
  </si>
  <si>
    <t>3633688b52355609</t>
  </si>
  <si>
    <t>Today&amp;#x27;s Indonesian Version</t>
  </si>
  <si>
    <t>3671f1444df6024f</t>
  </si>
  <si>
    <t>Zapotec, Southern Rincon</t>
  </si>
  <si>
    <t>zsr</t>
  </si>
  <si>
    <t>Didzaʼ cub rucáʼn tsahuiʼ</t>
  </si>
  <si>
    <t>38c1dfebdc703386</t>
  </si>
  <si>
    <t>Copainalá Zoque</t>
  </si>
  <si>
    <t>zoc</t>
  </si>
  <si>
    <t>Zoque Copainalá New Testament</t>
  </si>
  <si>
    <t>3a0649824e2ee822</t>
  </si>
  <si>
    <t>Mixtec, Tezoatlán</t>
  </si>
  <si>
    <t>mxb</t>
  </si>
  <si>
    <t>Tuti yó&amp;#x27;o kúú to̱&amp;#x27;on Ndios, ta xí&amp;#x27;o ña kuendá sa&amp;#x27;a̱ Jesús</t>
  </si>
  <si>
    <t>3a0e86ec2040f43f</t>
  </si>
  <si>
    <t>Arabic (Standard)</t>
  </si>
  <si>
    <t>New Van Dyck Bible (Reduced Vocalization with Helps)</t>
  </si>
  <si>
    <t>3c2b24f22ae7d27d</t>
  </si>
  <si>
    <t>Otomi, Eastern Highland</t>
  </si>
  <si>
    <t>otm</t>
  </si>
  <si>
    <t>Ra ʼdaʼyonhogui nangue ma Hmuhʉ ra Jesucristo</t>
  </si>
  <si>
    <t>3cb2cb6f162c8bb1</t>
  </si>
  <si>
    <t>Euskera (Basque)</t>
  </si>
  <si>
    <t>eus</t>
  </si>
  <si>
    <t>Elizen Arteko Biblia (Biblia en Euskara, Traducción Interconfesional)</t>
  </si>
  <si>
    <t>3cf0c5a0101af73f</t>
  </si>
  <si>
    <t>Brooke&amp;#x27;s Point Palawano</t>
  </si>
  <si>
    <t>plw</t>
  </si>
  <si>
    <t>Brooke&amp;#x27;s Point Palawano NT</t>
  </si>
  <si>
    <t>3e6f7d5a78ccfe96</t>
  </si>
  <si>
    <t>Mixtec, San Miguel el Grande</t>
  </si>
  <si>
    <t>mig</t>
  </si>
  <si>
    <t>Testamento jaa maa jitoho-yo Jesucristo</t>
  </si>
  <si>
    <t>3f54946cb4dc394e</t>
  </si>
  <si>
    <t>Ga&amp;#x27;dang</t>
  </si>
  <si>
    <t>gdg</t>
  </si>
  <si>
    <t>Ga&amp;#x27;dang NT</t>
  </si>
  <si>
    <t>3fbc134184c717f7</t>
  </si>
  <si>
    <t>Zapotec, Mitla</t>
  </si>
  <si>
    <t>zaw</t>
  </si>
  <si>
    <t>Xtidxcoob Dios ni biädnä dad Jesucrist</t>
  </si>
  <si>
    <t>40e37c01ec54807f</t>
  </si>
  <si>
    <t>Quechua, Margos-Yarowilca-Lauricocha</t>
  </si>
  <si>
    <t>qvm</t>
  </si>
  <si>
    <t>Diodati Bible</t>
  </si>
  <si>
    <t>423f8eacf45b9225</t>
  </si>
  <si>
    <t>Blaan, Koronadal</t>
  </si>
  <si>
    <t>bpr</t>
  </si>
  <si>
    <t>I Falami Kasafnè (New Testament)</t>
  </si>
  <si>
    <t>426c587f40a73114</t>
  </si>
  <si>
    <t>Ilokano MBB: Ti Baro A Naimbag a Damag Biblia 1996 - Mother File</t>
  </si>
  <si>
    <t>43f5340f5fa21fe9</t>
  </si>
  <si>
    <t>Norwegian: Nynorsk</t>
  </si>
  <si>
    <t>The Bible in Norwegian 2011 nynorsk</t>
  </si>
  <si>
    <t>44ae4df1af9b8ffb</t>
  </si>
  <si>
    <t>lav</t>
  </si>
  <si>
    <t>New Latvian Inter-confessional Bible with Deuterocanonicals</t>
  </si>
  <si>
    <t>44cc507256091b4d</t>
  </si>
  <si>
    <t>Kinaray-A</t>
  </si>
  <si>
    <t>krj</t>
  </si>
  <si>
    <t>Kinaray-a NT</t>
  </si>
  <si>
    <t>4682b4576f7f666f</t>
  </si>
  <si>
    <t>Quechua, Huaylla Wanca</t>
  </si>
  <si>
    <t>qvw</t>
  </si>
  <si>
    <t>Muśhü limalicuy</t>
  </si>
  <si>
    <t>46c3dec0ed0f56b9</t>
  </si>
  <si>
    <t>Knjiga O Kristu (The Book of Christ)</t>
  </si>
  <si>
    <t>47f03c35e8c71d03</t>
  </si>
  <si>
    <t>Klao</t>
  </si>
  <si>
    <t>klu</t>
  </si>
  <si>
    <t>Klao Bible</t>
  </si>
  <si>
    <t>48744c6ee501e226</t>
  </si>
  <si>
    <t>Otomi, Estado de México</t>
  </si>
  <si>
    <t>ots</t>
  </si>
  <si>
    <t>El Nuevo Testamento en otomí de San Felipe Santiago, Edo. de México</t>
  </si>
  <si>
    <t>49011c1ecffb9ac7</t>
  </si>
  <si>
    <t>Culina</t>
  </si>
  <si>
    <t>cul</t>
  </si>
  <si>
    <t>Culina NT</t>
  </si>
  <si>
    <t>4b50e708d3938888</t>
  </si>
  <si>
    <t>Agta, Casiguran Dumagat</t>
  </si>
  <si>
    <t>dgc</t>
  </si>
  <si>
    <t>Bigu a tipan: I mahusay a baheta para ta panahun tam</t>
  </si>
  <si>
    <t>4b646272c79c5d32</t>
  </si>
  <si>
    <t>Contemporary Russian Version (2nd ed.)</t>
  </si>
  <si>
    <t>4b89ae1d6beee85d</t>
  </si>
  <si>
    <t>Kisi: Liberia, Southern</t>
  </si>
  <si>
    <t>kss</t>
  </si>
  <si>
    <t>Kisi Bible</t>
  </si>
  <si>
    <t>4bd9eefb01ca97c6</t>
  </si>
  <si>
    <t>Yaqui</t>
  </si>
  <si>
    <t>yaq</t>
  </si>
  <si>
    <t>Yoʼowe Jesukrijtota itom yaʼariakaʼu betchiʼbo juʼu bemelaka liojta betana lutuʼuria yaʼari (El Nuevo Testamento en yaqui)</t>
  </si>
  <si>
    <t>4c54a03b4f39ffd3</t>
  </si>
  <si>
    <t>El Nuevo Testamento de Estudio en Ch&amp;#x27;ol</t>
  </si>
  <si>
    <t>4cff7c54d9133dea</t>
  </si>
  <si>
    <t>Dios Habla Hoy (Castillean Edition)</t>
  </si>
  <si>
    <t>4d7dc5e452920481</t>
  </si>
  <si>
    <t>Aymara 1986 Unicode</t>
  </si>
  <si>
    <t>4d85f4cfb5fe9848</t>
  </si>
  <si>
    <t>The Bible in Norwegian 1978/85 bokmål</t>
  </si>
  <si>
    <t>4dd26562effe6515</t>
  </si>
  <si>
    <t>Manggarai</t>
  </si>
  <si>
    <t>mqy</t>
  </si>
  <si>
    <t>Bahasa Manggarai New Testament</t>
  </si>
  <si>
    <t>4ef8214fade37f5f</t>
  </si>
  <si>
    <t>Zapotec, Yatee</t>
  </si>
  <si>
    <t>zty</t>
  </si>
  <si>
    <t>Dižaʼ chaweʼ kub len Salmo kaʼ</t>
  </si>
  <si>
    <t>4f12a7d3fbb41bd9</t>
  </si>
  <si>
    <t>Korea</t>
  </si>
  <si>
    <t>Revised New Korean Standard Version</t>
  </si>
  <si>
    <t>God&amp;#x27;s Holy Book in Sankaran</t>
  </si>
  <si>
    <t>520cfc6c0946671d</t>
  </si>
  <si>
    <t>Takwane</t>
  </si>
  <si>
    <t>tke</t>
  </si>
  <si>
    <t>Takwane NT</t>
  </si>
  <si>
    <t>53c0ab16c88f4f7b</t>
  </si>
  <si>
    <t>Terjemahan Baru Indonesia</t>
  </si>
  <si>
    <t>54b8d8e29301a53f</t>
  </si>
  <si>
    <t>Republic of Tajikistan</t>
  </si>
  <si>
    <t>Central Asian Russian Scriptures (Tajik Version)</t>
  </si>
  <si>
    <t>55891eff2eaa3368</t>
  </si>
  <si>
    <t>Mixtec, Jamiltepec</t>
  </si>
  <si>
    <t>mxt</t>
  </si>
  <si>
    <t>Tuhun cha sañahá ra Jesucristo chi yo</t>
  </si>
  <si>
    <t>55cef5227f676699</t>
  </si>
  <si>
    <t>Mixtec, Pinotepa Nacional</t>
  </si>
  <si>
    <t>mio</t>
  </si>
  <si>
    <t>Tutu chaa cha iyo cuenda ra hahnu Jesucristo (El Nuevo Testamento de nuestro señor Jesucristo)</t>
  </si>
  <si>
    <t>5977ecb14328c1ee</t>
  </si>
  <si>
    <t>Zapotec, Santa María Quiegolani</t>
  </si>
  <si>
    <t>zpi</t>
  </si>
  <si>
    <t>Xdiiz Dëdyuzh kon disa</t>
  </si>
  <si>
    <t>597b488573c7f741</t>
  </si>
  <si>
    <t>Santa Teresa Cora</t>
  </si>
  <si>
    <t>cok</t>
  </si>
  <si>
    <t>El Nuevo Testamento y Salmos</t>
  </si>
  <si>
    <t>5ab2a8daa61a137a</t>
  </si>
  <si>
    <t>Nahuatl, Huasteca Occidental</t>
  </si>
  <si>
    <t>nhw</t>
  </si>
  <si>
    <t>Icamanal toteco; Santa Bíblia</t>
  </si>
  <si>
    <t>5ad09ac1b8314808</t>
  </si>
  <si>
    <t>Agutaynen</t>
  </si>
  <si>
    <t>agn</t>
  </si>
  <si>
    <t>Ang bitala tang Dios: ba-long inigoan; Ang bagong magandang balita: bagong tipan</t>
  </si>
  <si>
    <t>5ae3c6073f7b0ee5</t>
  </si>
  <si>
    <t>Quechua, Huallaga Huánuco</t>
  </si>
  <si>
    <t>qub</t>
  </si>
  <si>
    <t>Tayta Diosninchi Isquirbichishan</t>
  </si>
  <si>
    <t>5bdee32018b61748</t>
  </si>
  <si>
    <t>Nahuatl, Michoacán</t>
  </si>
  <si>
    <t>ncl</t>
  </si>
  <si>
    <t>Ilajtulisli Yancuic toTata Jesucristo</t>
  </si>
  <si>
    <t>5c0ffae39f24d315</t>
  </si>
  <si>
    <t>Sierra Negra Nahuatl</t>
  </si>
  <si>
    <t>nsu</t>
  </si>
  <si>
    <t>El Nuevo Testamento en el náhuatl de la Sierra Negra de Puebla</t>
  </si>
  <si>
    <t>5c7cc7ee56becc2a</t>
  </si>
  <si>
    <t>Interconfessional Translation: The BIBLE for all</t>
  </si>
  <si>
    <t>5cccfa61df57262f</t>
  </si>
  <si>
    <t>King James Authorised Version 400th Anniversary Edition</t>
  </si>
  <si>
    <t>5e2003b1c883f03f</t>
  </si>
  <si>
    <t>Thai Standard Version Revision</t>
  </si>
  <si>
    <t>5eb1fc7f6382e1c0</t>
  </si>
  <si>
    <t>Northern Kankanay</t>
  </si>
  <si>
    <t>xnn</t>
  </si>
  <si>
    <t>Word of God</t>
  </si>
  <si>
    <t>60215f678ceb5044</t>
  </si>
  <si>
    <t>Bandi</t>
  </si>
  <si>
    <t>bza</t>
  </si>
  <si>
    <t>Bandi New Testament</t>
  </si>
  <si>
    <t>60cd2665d2aca8e9</t>
  </si>
  <si>
    <t>Zapotec, Isthmus</t>
  </si>
  <si>
    <t>zai</t>
  </si>
  <si>
    <t>Stiidxa Dios didxazá (El Nuevo Testamento de nuestro señor Jesucristo en el Zapoteco del Istmo)</t>
  </si>
  <si>
    <t>61c2a4c594c391a4</t>
  </si>
  <si>
    <t>Chinantec, Palantla</t>
  </si>
  <si>
    <t>cpa</t>
  </si>
  <si>
    <t>El Nuevo Testamento de nuestro señor Jesucristo: Versión chinanteca</t>
  </si>
  <si>
    <t>62004cee6104d61e</t>
  </si>
  <si>
    <t>Tagbanwa, Calamian</t>
  </si>
  <si>
    <t>tbk</t>
  </si>
  <si>
    <t>The New Covenant</t>
  </si>
  <si>
    <t>6361af0d86bac46c</t>
  </si>
  <si>
    <t>Tarahumara, Western</t>
  </si>
  <si>
    <t>tac</t>
  </si>
  <si>
    <t>Onorúgame nila ra&amp;#x27;íchali</t>
  </si>
  <si>
    <t>63a709d3eb50cf93</t>
  </si>
  <si>
    <t>K&amp;#x27;iche&amp;#x27;, Central</t>
  </si>
  <si>
    <t>Quiché Bible</t>
  </si>
  <si>
    <t>63c11f05680c2d70</t>
  </si>
  <si>
    <t>Manobo, Cotabato</t>
  </si>
  <si>
    <t>mta</t>
  </si>
  <si>
    <t>Cotabato Manobo New Testament</t>
  </si>
  <si>
    <t>646bd9a9c4f5ce40</t>
  </si>
  <si>
    <t>Zapotec, Texmelucan</t>
  </si>
  <si>
    <t>zpz</t>
  </si>
  <si>
    <t>De riidz ni trat cub nu bicy nu Ñgyoozh mbecy: Salmos; Proverbios</t>
  </si>
  <si>
    <t>647a590c899b8b1a</t>
  </si>
  <si>
    <t>Tzotzil: Chamula</t>
  </si>
  <si>
    <t>tzo</t>
  </si>
  <si>
    <t>Bible in Tzotzil de Chamula</t>
  </si>
  <si>
    <t>6485dfe4bc496863</t>
  </si>
  <si>
    <t>655b8d0adbe7ca4b</t>
  </si>
  <si>
    <t>Shan</t>
  </si>
  <si>
    <t>shn</t>
  </si>
  <si>
    <t>The Holy Bible in Shan Common Language</t>
  </si>
  <si>
    <t>656d5f32043fadab</t>
  </si>
  <si>
    <t>Nynorsk Bible 1938</t>
  </si>
  <si>
    <t>6598a7e1a2ae9368</t>
  </si>
  <si>
    <t>Maithili</t>
  </si>
  <si>
    <t>mai</t>
  </si>
  <si>
    <t>Maithili NT</t>
  </si>
  <si>
    <t>66807d64f88eb4cc</t>
  </si>
  <si>
    <t>Batak Simalungun</t>
  </si>
  <si>
    <t>bts</t>
  </si>
  <si>
    <t>Batak Simalungun Bible</t>
  </si>
  <si>
    <t>66992eaaf3106fcf</t>
  </si>
  <si>
    <t>New Romanian Translation (NTR)</t>
  </si>
  <si>
    <t>680380b7a6373850</t>
  </si>
  <si>
    <t>Chavacano</t>
  </si>
  <si>
    <t>cbk</t>
  </si>
  <si>
    <t>El Nuevo Testamento</t>
  </si>
  <si>
    <t>6940dc5375661851</t>
  </si>
  <si>
    <t>Luther Bible (Rev 1984) with DC</t>
  </si>
  <si>
    <t>695aa4b9f902778f</t>
  </si>
  <si>
    <t>Pokomchi: Eastern (Pokonchi)</t>
  </si>
  <si>
    <t>Pokomchi Bible</t>
  </si>
  <si>
    <t>6a795af03e157c90</t>
  </si>
  <si>
    <t>Nepali (individual language)</t>
  </si>
  <si>
    <t>npi</t>
  </si>
  <si>
    <t>Nepali New Revised Version</t>
  </si>
  <si>
    <t>6bab7b853e63052f</t>
  </si>
  <si>
    <t>Mixe, Isthmus</t>
  </si>
  <si>
    <t>mir</t>
  </si>
  <si>
    <t>El Nuevo Testamento en mixe de Guichicovi</t>
  </si>
  <si>
    <t>6bf4f1cdec3ae21e</t>
  </si>
  <si>
    <t>Mixe: Quezaltepec</t>
  </si>
  <si>
    <t>pxm</t>
  </si>
  <si>
    <t>Mixe Quezaltepec Bible</t>
  </si>
  <si>
    <t>6d3c4e577cecd222</t>
  </si>
  <si>
    <t>Tzeltal Amatenango New Testament</t>
  </si>
  <si>
    <t>6e1a4389dbcf2801</t>
  </si>
  <si>
    <t>Totonac, Xicotepec De Juárez</t>
  </si>
  <si>
    <t>too</t>
  </si>
  <si>
    <t>Huan Xasāstiʼ testamento: Huan xatzey tachihuīn ixpālacata Jesucristo</t>
  </si>
  <si>
    <t>6ede4093fc1b7c5d</t>
  </si>
  <si>
    <t>Russia</t>
  </si>
  <si>
    <t>Synodal Bible</t>
  </si>
  <si>
    <t>7173413d6e4027b9</t>
  </si>
  <si>
    <t>Revised Chinese Union Version (Traditional Script) Shangti Edition</t>
  </si>
  <si>
    <t>71ab4de7dd1bd85b</t>
  </si>
  <si>
    <t>Popoloca, San Marcos Tlalcoyalco</t>
  </si>
  <si>
    <t>Tti jian joajné Jesucristo</t>
  </si>
  <si>
    <t>God&amp;#x27;s Holy Book</t>
  </si>
  <si>
    <t>72711b7f418ed11c</t>
  </si>
  <si>
    <t>Cassian New Testament</t>
  </si>
  <si>
    <t>734ded0b4cd9214c</t>
  </si>
  <si>
    <t>Revised Chinese Union Version (Simplified Script) Shangti Edition</t>
  </si>
  <si>
    <t>73ebfde4ac938809</t>
  </si>
  <si>
    <t>Mam Huehuetenango New Ortography</t>
  </si>
  <si>
    <t>75da815d61b33e39</t>
  </si>
  <si>
    <t>Mayo</t>
  </si>
  <si>
    <t>mfy</t>
  </si>
  <si>
    <t>Mayo NT</t>
  </si>
  <si>
    <t>7626187e0bba183b</t>
  </si>
  <si>
    <t>Tepehuan, Northern</t>
  </si>
  <si>
    <t>ntp</t>
  </si>
  <si>
    <t>Diuusi ñiooquidʌ utuducami oodamicʌdʌ</t>
  </si>
  <si>
    <t>7793d0324977d550</t>
  </si>
  <si>
    <t>Bible 1933/38</t>
  </si>
  <si>
    <t>7876fc7be8a234f1</t>
  </si>
  <si>
    <t>Kalagan</t>
  </si>
  <si>
    <t>kqe</t>
  </si>
  <si>
    <t>Kalagan NT</t>
  </si>
  <si>
    <t>79674dcc03683d36</t>
  </si>
  <si>
    <t>Chuj: San Sebastian Coatan</t>
  </si>
  <si>
    <t>Chuj San Sebastian Bible</t>
  </si>
  <si>
    <t>799a313bb1e2db50</t>
  </si>
  <si>
    <t>Nias</t>
  </si>
  <si>
    <t>nia</t>
  </si>
  <si>
    <t>Nias Bible</t>
  </si>
  <si>
    <t>79a9589a3ed2d2c2</t>
  </si>
  <si>
    <t>Inabaknon</t>
  </si>
  <si>
    <t>abx</t>
  </si>
  <si>
    <t>Sama Abaknon New Testament</t>
  </si>
  <si>
    <t>7afacae5e84ec3d0</t>
  </si>
  <si>
    <t>Swahili, Common Language Bible</t>
  </si>
  <si>
    <t>7b0b22c85926567d</t>
  </si>
  <si>
    <t>Translation of João Ferreira de Almeida, Revised and corrected (Portugal)</t>
  </si>
  <si>
    <t>7be2171f944a7636</t>
  </si>
  <si>
    <t>7c7e363656fe7a16</t>
  </si>
  <si>
    <t>Zapotec, Quioquitani-Quierí</t>
  </si>
  <si>
    <t>ztq</t>
  </si>
  <si>
    <t>Tiits nii xnee kyalmbañ; El Nuevo Testamento en el zapoteco de Quioquitani</t>
  </si>
  <si>
    <t>7e2a369bd0c76db5</t>
  </si>
  <si>
    <t>Ojitlán Chinantec</t>
  </si>
  <si>
    <t>chj</t>
  </si>
  <si>
    <t>ChinantecoOjitlan New Testament</t>
  </si>
  <si>
    <t>7ece0a5d0ff00e67</t>
  </si>
  <si>
    <t>Turkish, Kutsal Kitap Yeni Ceviri</t>
  </si>
  <si>
    <t>7f26fc27ef1520e2</t>
  </si>
  <si>
    <t>English Standard Version</t>
  </si>
  <si>
    <t>7fa7baffcf1c2787</t>
  </si>
  <si>
    <t>Caluyanun</t>
  </si>
  <si>
    <t>clu</t>
  </si>
  <si>
    <t>Anang ambal ang Dios: Magandang balita Biblia</t>
  </si>
  <si>
    <t>7fe7bda41fb5c898</t>
  </si>
  <si>
    <t>Otomi, Tenango</t>
  </si>
  <si>
    <t>otn</t>
  </si>
  <si>
    <t>Ja ua ra̱ ʼdaʼyo cohi bi gomi̱ Oja̱ yø ja̱ʼi̱</t>
  </si>
  <si>
    <t>7febf30538f77cad</t>
  </si>
  <si>
    <t>Atta, Pamplona</t>
  </si>
  <si>
    <t>att</t>
  </si>
  <si>
    <t>The New Testament in Atta</t>
  </si>
  <si>
    <t>8051ddd5b3565a49</t>
  </si>
  <si>
    <t>Kalderash Ruth 1979</t>
  </si>
  <si>
    <t>81df4250bbf1c9be</t>
  </si>
  <si>
    <t>The New Testament in Wayuu</t>
  </si>
  <si>
    <t>83f2e8958a5e97fb</t>
  </si>
  <si>
    <t>Nahuatl, Southeastern Puebla</t>
  </si>
  <si>
    <t>npl</t>
  </si>
  <si>
    <t>Itlajtol Totajtsi Dios</t>
  </si>
  <si>
    <t>846293f9754bccfc</t>
  </si>
  <si>
    <t>Zapotec, Choapan</t>
  </si>
  <si>
    <t>zpc</t>
  </si>
  <si>
    <t>Xtiʼidzaʼ Diuzi</t>
  </si>
  <si>
    <t>84ce231fe5e2d3bb</t>
  </si>
  <si>
    <t>Khakas</t>
  </si>
  <si>
    <t>kjh</t>
  </si>
  <si>
    <t>Khakas New Testament</t>
  </si>
  <si>
    <t>862e60faf7369bb8</t>
  </si>
  <si>
    <t>Totonac, Papantla</t>
  </si>
  <si>
    <t>top</t>
  </si>
  <si>
    <t>Xasasti talaccaxlan</t>
  </si>
  <si>
    <t>866b0bd836bb74ef</t>
  </si>
  <si>
    <t>Japanese</t>
  </si>
  <si>
    <t>jpn</t>
  </si>
  <si>
    <t>The Bible with Deuterocanonicals/ Apocrypha. The New Interconfessional Translation.</t>
  </si>
  <si>
    <t>8676091b758f0d8d</t>
  </si>
  <si>
    <t>Japanese Contemporary Bible (リビングバイブル) 2016</t>
  </si>
  <si>
    <t>86d64fa1e9101951</t>
  </si>
  <si>
    <t>Otomi, Querétaro</t>
  </si>
  <si>
    <t>otq</t>
  </si>
  <si>
    <t>Àr &amp;#x27;ra&amp;#x27;yo nkohi Jö har ñhöñhö maxei nto̱ngwi ár mahwifi har ha̱i m&amp;#x27;onda ne har ñhömfo̱</t>
  </si>
  <si>
    <t>88fe51ba6eaf6bb3</t>
  </si>
  <si>
    <t>Zapotec, San Juan Guelavía</t>
  </si>
  <si>
    <t>zab</t>
  </si>
  <si>
    <t>Xtiidx Dios cun ditsa</t>
  </si>
  <si>
    <t>8957b547c7dacf1a</t>
  </si>
  <si>
    <t>Bible 2000 Swedish Translation</t>
  </si>
  <si>
    <t>89a655d8cecbd0b5</t>
  </si>
  <si>
    <t>Tzotzil</t>
  </si>
  <si>
    <t>Sc&amp;#x27;op riox: ja&amp;#x27; li&amp;#x27; yaloj ti chac&amp;#x27; jcuxlejaltic ta sbatel osli ti cajvaltic Jesucristoe</t>
  </si>
  <si>
    <t>89b920d25c1bdcd9</t>
  </si>
  <si>
    <t>Kalderash Romani New Testament and Psalms 2004</t>
  </si>
  <si>
    <t>8bab207dd9ce38db</t>
  </si>
  <si>
    <t>Loma</t>
  </si>
  <si>
    <t>lom</t>
  </si>
  <si>
    <t>Loma New Testament</t>
  </si>
  <si>
    <t>8bf6843e2a590435</t>
  </si>
  <si>
    <t>Nahuatl, Northern Oaxaca</t>
  </si>
  <si>
    <t>nhy</t>
  </si>
  <si>
    <t>Itlajtol totajtzin Dios = El Nuevo Testamento</t>
  </si>
  <si>
    <t>8dd547fcfeb083aa</t>
  </si>
  <si>
    <t>Zapotec, Coatecas Altas</t>
  </si>
  <si>
    <t>zca</t>
  </si>
  <si>
    <t>Widi&amp;#x27;zh che&amp;#x27;n Jesukrist kwa&amp;#x27;n kinu yalnaban</t>
  </si>
  <si>
    <t>8f0309f126353571</t>
  </si>
  <si>
    <t>Zapotec, Ocotlán</t>
  </si>
  <si>
    <t>zac</t>
  </si>
  <si>
    <t>Dizaʼquë shtë Dios con dizë</t>
  </si>
  <si>
    <t>8fe8d3d604357e50</t>
  </si>
  <si>
    <t>Mixtec, Silacayoapan</t>
  </si>
  <si>
    <t>mks</t>
  </si>
  <si>
    <t>Tu̱hun sa̱á ña̱ na̱jándacoo Jesucristo nu̱ yo̱: El Nuevo Testamento en el mixteco de Silacayoapan</t>
  </si>
  <si>
    <t>8ff69087199ea716</t>
  </si>
  <si>
    <t>Nahuatl, Huasteca Central</t>
  </si>
  <si>
    <t>nch</t>
  </si>
  <si>
    <t>Icamanal toteco; Santa Biblia</t>
  </si>
  <si>
    <t>9295c61e44354ef3</t>
  </si>
  <si>
    <t>Malay (macrolanguage)</t>
  </si>
  <si>
    <t>msa</t>
  </si>
  <si>
    <t>Today&amp;#x27;s Malay Version with Deuterocanonicals 1996</t>
  </si>
  <si>
    <t>93a285d4f20c46e0</t>
  </si>
  <si>
    <t>Sharif Arabic Bible</t>
  </si>
  <si>
    <t>94cb2f456dfb8253</t>
  </si>
  <si>
    <t>Luther Bible revised 2017</t>
  </si>
  <si>
    <t>9698f673582dc6a0</t>
  </si>
  <si>
    <t>Mixtec, Atatláhuca</t>
  </si>
  <si>
    <t>mib</t>
  </si>
  <si>
    <t>Nuevo Testamento en mixteco</t>
  </si>
  <si>
    <t>971b6a2f44ec980f</t>
  </si>
  <si>
    <t>Dupaninan Agta</t>
  </si>
  <si>
    <t>duo</t>
  </si>
  <si>
    <t>Agta, Dupaninan</t>
  </si>
  <si>
    <t>977373b43b1f52ff</t>
  </si>
  <si>
    <t>Mborena Kam</t>
  </si>
  <si>
    <t>983df53a0007d0de</t>
  </si>
  <si>
    <t>Standard Bangla Common Language</t>
  </si>
  <si>
    <t>Chilughuru</t>
  </si>
  <si>
    <t>The New Testament in Lughuru</t>
  </si>
  <si>
    <t>999aa0a8875dc2aa</t>
  </si>
  <si>
    <t>Zapotec, Amatlán</t>
  </si>
  <si>
    <t>zpo</t>
  </si>
  <si>
    <t>Wdizh kwaan nyaadno yalnaban</t>
  </si>
  <si>
    <t>99c2c44b656619d1</t>
  </si>
  <si>
    <t>Quechua, Huamalíes-Dos de Mayo Huánuco</t>
  </si>
  <si>
    <t>qvh</t>
  </si>
  <si>
    <t>9a270e42b294fc37</t>
  </si>
  <si>
    <t>The New Testament in Vidunda</t>
  </si>
  <si>
    <t>9aebadd70317f674</t>
  </si>
  <si>
    <t>Zoque, Francisco León</t>
  </si>
  <si>
    <t>zos</t>
  </si>
  <si>
    <t>Jomepø Testamento</t>
  </si>
  <si>
    <t>9b1c00cd27707b24</t>
  </si>
  <si>
    <t>Baoulé</t>
  </si>
  <si>
    <t>bci</t>
  </si>
  <si>
    <t>Baoule NT 1974</t>
  </si>
  <si>
    <t>9c3654f18a02ec25</t>
  </si>
  <si>
    <t>Mamanwa</t>
  </si>
  <si>
    <t>mmn</t>
  </si>
  <si>
    <t>Mamanwa NT</t>
  </si>
  <si>
    <t>9cece7b9fbfe1c47</t>
  </si>
  <si>
    <t>Itlajtol toteco: Santa Biblia</t>
  </si>
  <si>
    <t>9ec049e49030ee2f</t>
  </si>
  <si>
    <t>Huarijio</t>
  </si>
  <si>
    <t>var</t>
  </si>
  <si>
    <t>Huarijío NT</t>
  </si>
  <si>
    <t>9f6a03b0580da945</t>
  </si>
  <si>
    <t>Abau</t>
  </si>
  <si>
    <t>aau</t>
  </si>
  <si>
    <t>God so Sokior-ok Iwon</t>
  </si>
  <si>
    <t>a14735ef7fa7ff3e</t>
  </si>
  <si>
    <t>Binukid</t>
  </si>
  <si>
    <t>bkd</t>
  </si>
  <si>
    <t>Lalang hu Dios</t>
  </si>
  <si>
    <t>a196b23b7df0cd62</t>
  </si>
  <si>
    <t>Popoluca, Highland</t>
  </si>
  <si>
    <t>poi</t>
  </si>
  <si>
    <t>Jém jomipɨc trato jém iwatnewɨɨp tánomi Jesucristo</t>
  </si>
  <si>
    <t>a31f444baa9cbaf9</t>
  </si>
  <si>
    <t>Islander Creole English</t>
  </si>
  <si>
    <t>icr</t>
  </si>
  <si>
    <t>San Andres Islander Creole New Testament</t>
  </si>
  <si>
    <t>a44192f9b2b60444</t>
  </si>
  <si>
    <t>Peñoles Mixtec</t>
  </si>
  <si>
    <t>mil</t>
  </si>
  <si>
    <t>New Testament in Mixtec, Peñoles</t>
  </si>
  <si>
    <t>a558658968d8d302</t>
  </si>
  <si>
    <t>Northern Tlaxiaco Mixtec</t>
  </si>
  <si>
    <t>xtn</t>
  </si>
  <si>
    <t>La Santa Biblia en el mixteco del norte de Tlaxiaco</t>
  </si>
  <si>
    <t>a6219db975224f50</t>
  </si>
  <si>
    <t>New International Version® NIV®1984</t>
  </si>
  <si>
    <t>a6aee10bb058511c</t>
  </si>
  <si>
    <t>King James Version with Apocrypha, American Edition</t>
  </si>
  <si>
    <t>a6dde025b3fdf5ef</t>
  </si>
  <si>
    <t>Jawa</t>
  </si>
  <si>
    <t>jav</t>
  </si>
  <si>
    <t>Javanese Bible</t>
  </si>
  <si>
    <t>a84d52e9f525de1e</t>
  </si>
  <si>
    <t>Agta, Umiray Dumaget</t>
  </si>
  <si>
    <t>due</t>
  </si>
  <si>
    <t>Agta, Umiray Dumaget New Testament</t>
  </si>
  <si>
    <t>a8931093e4e3baf3</t>
  </si>
  <si>
    <t>Jèrriais</t>
  </si>
  <si>
    <t>nrf</t>
  </si>
  <si>
    <t>Guernsey</t>
  </si>
  <si>
    <t>Gospel of Matthew in Guernésiais 1863</t>
  </si>
  <si>
    <t>a980fb87c8e9f2aa</t>
  </si>
  <si>
    <t>Nahuatl, Tetelcingo</t>
  </si>
  <si>
    <t>nhg</t>
  </si>
  <si>
    <t>El Nuevo Testamento en nahuatl de Tetelcingo</t>
  </si>
  <si>
    <t>ab14dd91b251783c</t>
  </si>
  <si>
    <t>Chatino, Nopala</t>
  </si>
  <si>
    <t>cya</t>
  </si>
  <si>
    <t>ab9780f83dc59308</t>
  </si>
  <si>
    <t>Manobo, Ata</t>
  </si>
  <si>
    <t>atd</t>
  </si>
  <si>
    <t>Kasulatan to Magboboot</t>
  </si>
  <si>
    <t>aba829a9d98c1fd7</t>
  </si>
  <si>
    <t>Indonesian Tazi NT</t>
  </si>
  <si>
    <t>acef2bc597c450a1</t>
  </si>
  <si>
    <t>Nova Tradução na Linguagem de Hoje 2000</t>
  </si>
  <si>
    <t>ad83df0695748223</t>
  </si>
  <si>
    <t>Quechua, Lambayeque</t>
  </si>
  <si>
    <t>quf</t>
  </si>
  <si>
    <t>Mushuq Testamento</t>
  </si>
  <si>
    <t>ae0a0909179f5cca</t>
  </si>
  <si>
    <t>Keley-I Kallahan</t>
  </si>
  <si>
    <t>ify</t>
  </si>
  <si>
    <t>Kallahan, Keley-i WBI</t>
  </si>
  <si>
    <t>ae484172acd5fef4</t>
  </si>
  <si>
    <t>Yakan</t>
  </si>
  <si>
    <t>yka</t>
  </si>
  <si>
    <t>YakanNT</t>
  </si>
  <si>
    <t>aec304ca66cd8fa2</t>
  </si>
  <si>
    <t>Kumyk</t>
  </si>
  <si>
    <t>kum</t>
  </si>
  <si>
    <t>Kumyk New Testament</t>
  </si>
  <si>
    <t>b019ddb0d9c0e3b6</t>
  </si>
  <si>
    <t>Central Subanen</t>
  </si>
  <si>
    <t>syb</t>
  </si>
  <si>
    <t>Subanen, Central</t>
  </si>
  <si>
    <t>b1aba5c0162ed243</t>
  </si>
  <si>
    <t>New Van Dyck Bible (Full Vocalization with Helps)</t>
  </si>
  <si>
    <t>b329b7bf9e78632c</t>
  </si>
  <si>
    <t>The Bible, Colloquial Japanese</t>
  </si>
  <si>
    <t>b4005868585e6970</t>
  </si>
  <si>
    <t>Chuj: San Mateo Ixtatan</t>
  </si>
  <si>
    <t>Chuj San Mateo Bible</t>
  </si>
  <si>
    <t>b4d34b7add862c3c</t>
  </si>
  <si>
    <t>San Juan Atzingo Popoloca</t>
  </si>
  <si>
    <t>poe</t>
  </si>
  <si>
    <t>El Nuevo Testamento con Salmos y Proverbios en Popoloca de San Juan Atzingo</t>
  </si>
  <si>
    <t>b4f9a5983f552d2f</t>
  </si>
  <si>
    <t>Zapotec, Cajonos</t>
  </si>
  <si>
    <t>zad</t>
  </si>
  <si>
    <t>Dillꞌ wen dillꞌ   Kob C̱he   Jesucrístonaꞌ</t>
  </si>
  <si>
    <t>b568d83fa39bfd44</t>
  </si>
  <si>
    <t>Botolan Sambal</t>
  </si>
  <si>
    <t>sbl</t>
  </si>
  <si>
    <t>Sambal, Botolan NT+</t>
  </si>
  <si>
    <t>b63eaee9ba3ef032</t>
  </si>
  <si>
    <t>Mixtec, Yosondúa</t>
  </si>
  <si>
    <t>mpm</t>
  </si>
  <si>
    <t>Nuevo Testamento en mixteco de Yosondúa</t>
  </si>
  <si>
    <t>b7406d5017fcf6e2</t>
  </si>
  <si>
    <t>Mixe, Totontepec</t>
  </si>
  <si>
    <t>mto</t>
  </si>
  <si>
    <t>Ya̱ʼa̱ tseʼe je̱ nam ko̱jtstán juuʼ veʼe je̱ Nteʼyamˍ xyaktaajnjimdu je̱ nMa̱j Vintsá̱namda Jesucristo ka̱jx</t>
  </si>
  <si>
    <t>b83c4bcb77428e5e</t>
  </si>
  <si>
    <t>Greek-Chinese NT Interlinear Gloss</t>
  </si>
  <si>
    <t>b8455f2252994d82</t>
  </si>
  <si>
    <t>Simple Nepali Holy Bible</t>
  </si>
  <si>
    <t>b9bb82b63632cfd6</t>
  </si>
  <si>
    <t>Ayutla Mixtec</t>
  </si>
  <si>
    <t>miy</t>
  </si>
  <si>
    <t>El Nuevo Testamento en el Mixteco de Ayutla</t>
  </si>
  <si>
    <t>bad3b803bfddd9c4</t>
  </si>
  <si>
    <t>Mixtec, Magdalena Peñasco</t>
  </si>
  <si>
    <t>xtm</t>
  </si>
  <si>
    <t>Tnu&amp;#x27;u vii tnu&amp;#x27;u va&amp;#x27;a Su&amp;#x27;si ma</t>
  </si>
  <si>
    <t>bad76f7aceb507ce</t>
  </si>
  <si>
    <t>Quichua, Northern Pastaza</t>
  </si>
  <si>
    <t>qvz</t>
  </si>
  <si>
    <t>Diospa shimi</t>
  </si>
  <si>
    <t>bc1b98e253c5cd1a</t>
  </si>
  <si>
    <t>Adamawa Fulfulde</t>
  </si>
  <si>
    <t>fub</t>
  </si>
  <si>
    <t>Fulfulde DC Bible</t>
  </si>
  <si>
    <t>bc2c2a9b54e31c9f</t>
  </si>
  <si>
    <t>Chinese, Hakka</t>
  </si>
  <si>
    <t>hak</t>
  </si>
  <si>
    <t>The Hakka Bible – Today&amp;#x27;s Taiwan Hakka Version, Old and New Testaments – Han Character Edition (2012)</t>
  </si>
  <si>
    <t>bc9bfd2a9a5007d6</t>
  </si>
  <si>
    <t>Paranan</t>
  </si>
  <si>
    <t>prf</t>
  </si>
  <si>
    <t>En Maganda A Bareta Biblia</t>
  </si>
  <si>
    <t>c029b05d88c2e65f</t>
  </si>
  <si>
    <t>Machiguenga</t>
  </si>
  <si>
    <t>mcb</t>
  </si>
  <si>
    <t>Iriniane Tasorintsi</t>
  </si>
  <si>
    <t>c085223045594907</t>
  </si>
  <si>
    <t>Cakchiquel</t>
  </si>
  <si>
    <t>Kaqchiquel Bible</t>
  </si>
  <si>
    <t>c14f4f6453b74111</t>
  </si>
  <si>
    <t>Mann NT 1978</t>
  </si>
  <si>
    <t>c2534f8e5c73accc</t>
  </si>
  <si>
    <t>Ayta, Mag-antsi</t>
  </si>
  <si>
    <t>sgb</t>
  </si>
  <si>
    <t>The Word of God: The New Testament in Ayta Mag-antsi</t>
  </si>
  <si>
    <t>c2e7f5dd6cb1b494</t>
  </si>
  <si>
    <t>Nahuatl, Northern Puebla</t>
  </si>
  <si>
    <t>ncj</t>
  </si>
  <si>
    <t>In yancuic mononotzalistli ica Totecohtzin Jesucristo</t>
  </si>
  <si>
    <t>c3f4ba157ab847cd</t>
  </si>
  <si>
    <t>Kara-Kalpak</t>
  </si>
  <si>
    <t>kaa</t>
  </si>
  <si>
    <t>Karakalpak New Testament</t>
  </si>
  <si>
    <t>c514431cef3621a3</t>
  </si>
  <si>
    <t>Balinese</t>
  </si>
  <si>
    <t>ban</t>
  </si>
  <si>
    <t>Today&amp;#x27;s Bali Bible</t>
  </si>
  <si>
    <t>c7e18871d03b8fa2</t>
  </si>
  <si>
    <t>TAZI Study Notes in French</t>
  </si>
  <si>
    <t>c81e4421cc6fd7ce</t>
  </si>
  <si>
    <t>TAZI Study Notes in Indonesian</t>
  </si>
  <si>
    <t>c9de105e00e742e3</t>
  </si>
  <si>
    <t>Manobo, Matigsalug</t>
  </si>
  <si>
    <t>mbt</t>
  </si>
  <si>
    <t>Meupiya ne panugtulen: Bibliya ne Matigsalug</t>
  </si>
  <si>
    <t>cb685808cf920c19</t>
  </si>
  <si>
    <t>Vai</t>
  </si>
  <si>
    <t>vai</t>
  </si>
  <si>
    <t>The New Testament In Vai 2002</t>
  </si>
  <si>
    <t>cbb6989fbf8d6580</t>
  </si>
  <si>
    <t>Cashibo-Cacataibo</t>
  </si>
  <si>
    <t>cbr</t>
  </si>
  <si>
    <t>Nukën &amp;#x27;Ibu Diosan ain unikama &amp;#x27;inan ain bana</t>
  </si>
  <si>
    <t>cc32e3b4a5f53210</t>
  </si>
  <si>
    <t>Thai Standard Version Revision (Digital)</t>
  </si>
  <si>
    <t>cc617ebfd1dd6224</t>
  </si>
  <si>
    <t>Pisaflores Tepehua</t>
  </si>
  <si>
    <t>tpp</t>
  </si>
  <si>
    <t>Pisaflores Tepehua NT</t>
  </si>
  <si>
    <t>ce70bbb2235fdab9</t>
  </si>
  <si>
    <t>Tzotzil chenalho 1997</t>
  </si>
  <si>
    <t>cf904fc22ebb8015</t>
  </si>
  <si>
    <t>Guerrero Nahuatl</t>
  </si>
  <si>
    <t>El Nuevo Testamento de nuestro Señor Jesucristo en náhuatl de Guerrero</t>
  </si>
  <si>
    <t>d0021819347249de</t>
  </si>
  <si>
    <t>Sayula Popoluca</t>
  </si>
  <si>
    <t>pos</t>
  </si>
  <si>
    <t>Popoluca Sayula New Testament</t>
  </si>
  <si>
    <t>d09ddfd09039452b</t>
  </si>
  <si>
    <t>Otomi, Mezquital</t>
  </si>
  <si>
    <t>ote</t>
  </si>
  <si>
    <t>Ra &amp;#x27;Ra&amp;#x27;yo Testamento</t>
  </si>
  <si>
    <t>d0e5ec8b63346fa6</t>
  </si>
  <si>
    <t>Amganad Ifugao</t>
  </si>
  <si>
    <t>ifa</t>
  </si>
  <si>
    <t>Ifugao, Amganad Bible</t>
  </si>
  <si>
    <t>d167bc7612458ae7</t>
  </si>
  <si>
    <t>Revised Latvian Bible</t>
  </si>
  <si>
    <t>d2852d0e5004eee9</t>
  </si>
  <si>
    <t>Achʼ Testamento: Jaʼ scʼoplal ti jaʼ Cajcoltavanejtic li Cajvaltic Jesucristoe</t>
  </si>
  <si>
    <t>d38a664622353792</t>
  </si>
  <si>
    <t>Isthmus-Mecayapan Nahuatl</t>
  </si>
  <si>
    <t>nhx</t>
  </si>
  <si>
    <t>La Palabra de Dios en el náhuatl de Tatahuicapan</t>
  </si>
  <si>
    <t>d3c1a6a5b1a6d906</t>
  </si>
  <si>
    <t>Jaʼ ti achʼ Testamento: jaʼ scʼopilal ti Jesucristoe jaʼ ti Jcoltavanej cuʼuntique (El Nuevo Testamento de nuestro señor Jesucristo en Tzotzil de Huixtán)</t>
  </si>
  <si>
    <t>d51b0d56065f350f</t>
  </si>
  <si>
    <t>Western Subanon</t>
  </si>
  <si>
    <t>suc</t>
  </si>
  <si>
    <t>Western Subanon NT</t>
  </si>
  <si>
    <t>d5bbe298aa0ea6cb</t>
  </si>
  <si>
    <t>Iran</t>
  </si>
  <si>
    <t>Today&amp;#x27;s Farsi</t>
  </si>
  <si>
    <t>d5d3a8a5cd196f02</t>
  </si>
  <si>
    <t>Hausa: Roman Script</t>
  </si>
  <si>
    <t>Hausa Bible</t>
  </si>
  <si>
    <t>d671096143a78cc1</t>
  </si>
  <si>
    <t>Tibetan</t>
  </si>
  <si>
    <t>bod</t>
  </si>
  <si>
    <t>Tibetan Old Testament 2011</t>
  </si>
  <si>
    <t>d68773fd760b45c1</t>
  </si>
  <si>
    <t>Vietnamese Bible 1925</t>
  </si>
  <si>
    <t>d6c7782ea3a4aec0</t>
  </si>
  <si>
    <t>Tepehua, Tlachichilco</t>
  </si>
  <si>
    <t>tpt</t>
  </si>
  <si>
    <t>Ixchivinti Dios: ni sastʼi chivinti yu Dios jatʼatamakaul ixlapanakni laka lhimasipijni</t>
  </si>
  <si>
    <t>d74ba25a95f9f383</t>
  </si>
  <si>
    <t>La Palabra de Dios en el náhuatl de Mecayapan</t>
  </si>
  <si>
    <t>d74f395a3d239bd9</t>
  </si>
  <si>
    <t>Asháninka</t>
  </si>
  <si>
    <t>cni</t>
  </si>
  <si>
    <t>Irineane tasorentsi oquenquetsatacotaqueri Avincatsarite Jesoquirishito</t>
  </si>
  <si>
    <t>d82f8b5ad17050a3</t>
  </si>
  <si>
    <t>Sambal</t>
  </si>
  <si>
    <t>xsb</t>
  </si>
  <si>
    <t>New Testament (with Tagalog)</t>
  </si>
  <si>
    <t>d8ae4308e4f2124e</t>
  </si>
  <si>
    <t>Zapotec, Ozolotepec</t>
  </si>
  <si>
    <t>zao</t>
  </si>
  <si>
    <t>Diiz kuu ndyaadno yalnaban</t>
  </si>
  <si>
    <t>d9d0cd5c1bb43798</t>
  </si>
  <si>
    <t>Central Asian Russian Scriptures (Allah Version)</t>
  </si>
  <si>
    <t>da15a6db091a32e6</t>
  </si>
  <si>
    <t>Totonac, Upper Necaxa</t>
  </si>
  <si>
    <t>tku</t>
  </si>
  <si>
    <t>Xasāstiʼ testamento (Xatze tachihuīn ixpālacata Jesucristo)</t>
  </si>
  <si>
    <t>db0ee00e9f028acd</t>
  </si>
  <si>
    <t>Indonesian: Firman Allah Yang Hidup</t>
  </si>
  <si>
    <t>db86ea13756289c9</t>
  </si>
  <si>
    <t>NBG 1951 Translation</t>
  </si>
  <si>
    <t>ddea8c682b0d648a</t>
  </si>
  <si>
    <t>Zapotec, Lachixío</t>
  </si>
  <si>
    <t>zpl</t>
  </si>
  <si>
    <t>Stichia&amp;#x27; Diose dialu</t>
  </si>
  <si>
    <t>e0d9493d9a66376a</t>
  </si>
  <si>
    <t>Nouvelle Bible Segond</t>
  </si>
  <si>
    <t>e13a21b35060dbaf</t>
  </si>
  <si>
    <t>Bontok, Central</t>
  </si>
  <si>
    <t>lbk</t>
  </si>
  <si>
    <t>Nan kalin Apo Dios</t>
  </si>
  <si>
    <t>e28623261fa99eaa</t>
  </si>
  <si>
    <t>La Biblia Hispanoamericana (Traducción Interconfesional, versión hispanoamericana)</t>
  </si>
  <si>
    <t>e2b35a5f46e8f641</t>
  </si>
  <si>
    <t>Kekchí</t>
  </si>
  <si>
    <t>Q&amp;#x27;eqchi Bible</t>
  </si>
  <si>
    <t>e3bdfee84d52f7d8</t>
  </si>
  <si>
    <t>epo</t>
  </si>
  <si>
    <t>Esperanto Bible 1926</t>
  </si>
  <si>
    <t>e3cb28f08102e0f3</t>
  </si>
  <si>
    <t>Swahili (individual language)</t>
  </si>
  <si>
    <t>Swahili Revised Union Version 2005</t>
  </si>
  <si>
    <t>e42d68c49d775346</t>
  </si>
  <si>
    <t>Bassa</t>
  </si>
  <si>
    <t>bsq</t>
  </si>
  <si>
    <t>Bassa Bible</t>
  </si>
  <si>
    <t>e46f97880b8e3862</t>
  </si>
  <si>
    <t>BasisBibel.NT+PS</t>
  </si>
  <si>
    <t>e4a6c48f010eec59</t>
  </si>
  <si>
    <t>Revised Old Version Unicode</t>
  </si>
  <si>
    <t>e505e171a286570a</t>
  </si>
  <si>
    <t>Tok Pisin, Bible</t>
  </si>
  <si>
    <t>e647441e72c72d59</t>
  </si>
  <si>
    <t>Zapotec, Santo Domingo Albarradas</t>
  </si>
  <si>
    <t>zas</t>
  </si>
  <si>
    <t>Xtiidx Dios</t>
  </si>
  <si>
    <t>e64fe1c266153ee3</t>
  </si>
  <si>
    <t>Una</t>
  </si>
  <si>
    <t>mtg</t>
  </si>
  <si>
    <t>Una New Testament</t>
  </si>
  <si>
    <t>ea23d84f809130b2</t>
  </si>
  <si>
    <t>Crimean Tatar</t>
  </si>
  <si>
    <t>crh</t>
  </si>
  <si>
    <t>Crimean Tatar Bible</t>
  </si>
  <si>
    <t>ea36d183295f766d</t>
  </si>
  <si>
    <t>The Bible in Norwegian 1978/85 nynorsk</t>
  </si>
  <si>
    <t>eaeb729a0d4e57f1</t>
  </si>
  <si>
    <t>Toraja-Sa&amp;#x27;dan</t>
  </si>
  <si>
    <t>sda</t>
  </si>
  <si>
    <t>Toraja Bible</t>
  </si>
  <si>
    <t>ecf42b3d91f56d86</t>
  </si>
  <si>
    <t>San Vicente Coatlán Zapotec</t>
  </si>
  <si>
    <t>zpt</t>
  </si>
  <si>
    <t>Zapoteco, San Vicente Coatlán NT</t>
  </si>
  <si>
    <t>ed484deed765564d</t>
  </si>
  <si>
    <t>Vietnamese Contemporary Bible (Kinh Thánh Hiện Đại)</t>
  </si>
  <si>
    <t>ee9f1aae9742a994</t>
  </si>
  <si>
    <t>Tojolabal NT</t>
  </si>
  <si>
    <t>f0f18a76b6394613</t>
  </si>
  <si>
    <t>Metlatónoc Mixtec</t>
  </si>
  <si>
    <t>mxv</t>
  </si>
  <si>
    <t>Mixteco, Metlatónoc y Cochoapa_DBL</t>
  </si>
  <si>
    <t>f421fe261da7624f</t>
  </si>
  <si>
    <t>English Standard Version 2016</t>
  </si>
  <si>
    <t>f48b60c9adc2ca63</t>
  </si>
  <si>
    <t>Yareni Zapotec</t>
  </si>
  <si>
    <t>zae</t>
  </si>
  <si>
    <t>Yareni Zapotec NT</t>
  </si>
  <si>
    <t>f543e6115ce4dc33</t>
  </si>
  <si>
    <t>Manobo, Sarangani</t>
  </si>
  <si>
    <t>mbs</t>
  </si>
  <si>
    <t>Se kaling peokit</t>
  </si>
  <si>
    <t>f5da2844f221dcd4</t>
  </si>
  <si>
    <t>Southern Ghale</t>
  </si>
  <si>
    <t>ghe</t>
  </si>
  <si>
    <t>Ghale New Testament</t>
  </si>
  <si>
    <t>f67ce04c31eaab7d</t>
  </si>
  <si>
    <t>Fulfulde Bible Ajamiya 2016</t>
  </si>
  <si>
    <t>f725bb96da745707</t>
  </si>
  <si>
    <t>Mixtec, Southern Puebla</t>
  </si>
  <si>
    <t>mit</t>
  </si>
  <si>
    <t>Ley saa ni nacoo Jesucristu</t>
  </si>
  <si>
    <t>f75f9f9c9282fa91</t>
  </si>
  <si>
    <t>Blaan, Sarangani</t>
  </si>
  <si>
    <t>bps</t>
  </si>
  <si>
    <t>I tnalù dwata</t>
  </si>
  <si>
    <t>f84c0dc97e27be9e</t>
  </si>
  <si>
    <t>Matsés</t>
  </si>
  <si>
    <t>mcf</t>
  </si>
  <si>
    <t>Esuquidistu Chuiquin Tantiamete</t>
  </si>
  <si>
    <t>f8a26118a504f1c5</t>
  </si>
  <si>
    <t>Nahuatl, Zacatlán-Ahuacatlán-Tepetzintla</t>
  </si>
  <si>
    <t>nhi</t>
  </si>
  <si>
    <t>In Yancuic Tlahtolsintilil</t>
  </si>
  <si>
    <t>f94c74ed22a440d6</t>
  </si>
  <si>
    <t>Zapotec, Yalálag</t>
  </si>
  <si>
    <t>zpu</t>
  </si>
  <si>
    <t>Diʼll danʼ nsaʼa yel nban (El Nuevo Testamento en el Zapoteco de Yalálag)</t>
  </si>
  <si>
    <t>fa936c55a35ba260</t>
  </si>
  <si>
    <t>Kagayanen</t>
  </si>
  <si>
    <t>cgc</t>
  </si>
  <si>
    <t>Pulong ta Dyos: Genesis daw bag-o na kasugtanan</t>
  </si>
  <si>
    <t>faa191eb538bd373</t>
  </si>
  <si>
    <t>Chuvash Full Bible</t>
  </si>
  <si>
    <t>fab46b7e06007824</t>
  </si>
  <si>
    <t>Amuzgo, Guerrero</t>
  </si>
  <si>
    <t>amu</t>
  </si>
  <si>
    <t>Ñʼoom xco na tqueⁿ tyʼo̱o̱tsʼom cantxja ʼnaaʼ Jesucristo</t>
  </si>
  <si>
    <t>fabaf31df1e3c684</t>
  </si>
  <si>
    <t>Triqui, Copala</t>
  </si>
  <si>
    <t>trc</t>
  </si>
  <si>
    <t>Se-nānā Diosē nanā sāʼ me rá catūū nimán níʼ a</t>
  </si>
  <si>
    <t>fbbd1d2ad6d291c8</t>
  </si>
  <si>
    <t>Quechua, Ambo-Pasco</t>
  </si>
  <si>
    <t>qva</t>
  </si>
  <si>
    <t>El Nuevo Testamento en quechua de Ambo</t>
  </si>
  <si>
    <t>fc898f8e7e747b72</t>
  </si>
  <si>
    <t>Romané: Vlax</t>
  </si>
  <si>
    <t>Romané New Testament</t>
  </si>
  <si>
    <t>fc90549675374aba</t>
  </si>
  <si>
    <t>Mixtec, Ocotepec</t>
  </si>
  <si>
    <t>mie</t>
  </si>
  <si>
    <t>Nuevo Testamento en mixteco de Ocotepec</t>
  </si>
  <si>
    <t>fcc64377691feb3c</t>
  </si>
  <si>
    <t>Manobo, Agusan</t>
  </si>
  <si>
    <t>msm</t>
  </si>
  <si>
    <t>Kasuyatan to Diyus</t>
  </si>
  <si>
    <t>fe480c766e9c9749</t>
  </si>
  <si>
    <t>Masbatenyo</t>
  </si>
  <si>
    <t>msb</t>
  </si>
  <si>
    <t>The Good News From God</t>
  </si>
  <si>
    <t>ffd7de54e89410a2</t>
  </si>
  <si>
    <t>Mapudungun New Testament</t>
  </si>
  <si>
    <t>94ac71cadd884254</t>
  </si>
  <si>
    <t>Albanian Interconfessional Bible 2018</t>
  </si>
  <si>
    <t>3a7d2caa4b5b4bec</t>
  </si>
  <si>
    <t>Yn Vible Casherick (Manx Bible) 1819</t>
  </si>
  <si>
    <t>4d521e7349b06e8b</t>
  </si>
  <si>
    <t>Murle</t>
  </si>
  <si>
    <t>mur</t>
  </si>
  <si>
    <t>900735308f61b960</t>
  </si>
  <si>
    <t>Maltese</t>
  </si>
  <si>
    <t>mlt</t>
  </si>
  <si>
    <t>Malta</t>
  </si>
  <si>
    <t>Maltese DC Bible 2010</t>
  </si>
  <si>
    <t>619fcff92275df23</t>
  </si>
  <si>
    <t>Sakachep</t>
  </si>
  <si>
    <t>sch</t>
  </si>
  <si>
    <t>Sakachep: Bible Translation 1st Edition</t>
  </si>
  <si>
    <t>2ed679542fab921d</t>
  </si>
  <si>
    <t>Yoruba Contemporary Bible (Bíbélì Mímọ́ Yorùbá Òde Òn)</t>
  </si>
  <si>
    <t>6fe82008a663e60e</t>
  </si>
  <si>
    <t>Manx New Testament 1810</t>
  </si>
  <si>
    <t>cbfc8b85c46d3eca</t>
  </si>
  <si>
    <t>Zapotec, Zoogocho</t>
  </si>
  <si>
    <t>zpq</t>
  </si>
  <si>
    <t>Zapotec, Zoogocho NT</t>
  </si>
  <si>
    <t>782c8cbaee57aa24</t>
  </si>
  <si>
    <t>Zapotec, Tabaa</t>
  </si>
  <si>
    <t>zat</t>
  </si>
  <si>
    <t>Zapotec, Tabaa NT and Psalms</t>
  </si>
  <si>
    <t>6e347966e7af61bb</t>
  </si>
  <si>
    <t>Manobo, Western Bukidnon</t>
  </si>
  <si>
    <t>Is Lalag te Megbevayà</t>
  </si>
  <si>
    <t>196922a66a1630fc</t>
  </si>
  <si>
    <t>New Welsh Translation by the University of Wales Guild of Graduates 1945</t>
  </si>
  <si>
    <t>34690fafc7ffd7d4</t>
  </si>
  <si>
    <t>Assamese Indian Revised Version Bible [asm] India</t>
  </si>
  <si>
    <t>4338bcf7a310c65f</t>
  </si>
  <si>
    <t>Bengali Indian Revised Version Bible 2017 [ben] India</t>
  </si>
  <si>
    <t>8bb0428eaade1f46</t>
  </si>
  <si>
    <t>Kabardian</t>
  </si>
  <si>
    <t>kbd</t>
  </si>
  <si>
    <t>Kabardian NT, Genesis, Psalms (Stockholm 2017)</t>
  </si>
  <si>
    <t>132f233ed2b84822</t>
  </si>
  <si>
    <t>Adhola</t>
  </si>
  <si>
    <t>adh</t>
  </si>
  <si>
    <t>Dhopadhola DC Bible 2018</t>
  </si>
  <si>
    <t>1bcc0df55e93bd63</t>
  </si>
  <si>
    <t>’Auhelawa</t>
  </si>
  <si>
    <t>kud</t>
  </si>
  <si>
    <t>&amp;#x27;Auhelawa New Testament</t>
  </si>
  <si>
    <t>d08df5375baa15dd</t>
  </si>
  <si>
    <t>New Testament in Modern Scots Gaelic 2017</t>
  </si>
  <si>
    <t>79a7d35deeb6ae5d</t>
  </si>
  <si>
    <t>Sesotho 1989 (Standard Orthography)</t>
  </si>
  <si>
    <t>63bfeebab582b5c4</t>
  </si>
  <si>
    <t>Swati</t>
  </si>
  <si>
    <t>ssw</t>
  </si>
  <si>
    <t>Siswati 1996</t>
  </si>
  <si>
    <t>51b0104f2cde29ef</t>
  </si>
  <si>
    <t>Xitsonga 1989</t>
  </si>
  <si>
    <t>7315b826c0b95d80</t>
  </si>
  <si>
    <t>Setswana 1908/1992 (New Orthography)</t>
  </si>
  <si>
    <t>3cc5b0bf9560f4ea</t>
  </si>
  <si>
    <t>Eggon</t>
  </si>
  <si>
    <t>ego</t>
  </si>
  <si>
    <t>Eggon New Testament (Ohwihwi Olehe) Version 1974</t>
  </si>
  <si>
    <t>27d398e76e8b43bf</t>
  </si>
  <si>
    <t>Kannada Indian Revised Version Bible [kan] India (BCS 2017)</t>
  </si>
  <si>
    <t>b08b2990f2663027</t>
  </si>
  <si>
    <t>Welsh William Morgan Bible (Parry/Davies Revision) 1955 Edition</t>
  </si>
  <si>
    <t>Malayalam Indian Revised Version Bible [mal] India (BCS 2017)</t>
  </si>
  <si>
    <t>f425394cc4a3cd5a</t>
  </si>
  <si>
    <t>Marathi Indian Revised Version Bible [mar] India (BCS 2017)</t>
  </si>
  <si>
    <t>Oriya Indian Revised Version Bible [ory] India (BCS 2017)</t>
  </si>
  <si>
    <t>7b929cf7aea665a3</t>
  </si>
  <si>
    <t>Eastern Punjabi Indian Revised Version Bible (BCS 2017) [pan] India</t>
  </si>
  <si>
    <t>cd37ba0be852367d</t>
  </si>
  <si>
    <t>Tamil Indian Revised Version Bible [tam] India (BCS 2017)</t>
  </si>
  <si>
    <t>85653c8847391b02</t>
  </si>
  <si>
    <t>Telugu Indian Revised Version Bible [tel] India (BCS 2017)</t>
  </si>
  <si>
    <t>e232ddd77a6e4aa3</t>
  </si>
  <si>
    <t>Fordata</t>
  </si>
  <si>
    <t>frd</t>
  </si>
  <si>
    <t>Fordata NT DBL</t>
  </si>
  <si>
    <t>aab8b91bbcdb0c8a</t>
  </si>
  <si>
    <t>Sepedi 1951/1986</t>
  </si>
  <si>
    <t>7ae1bd5b64d88f6a</t>
  </si>
  <si>
    <t>Bibelen – Guds Ord (Hermon Forlag AS)</t>
  </si>
  <si>
    <t>d768422d09c816c7</t>
  </si>
  <si>
    <t>Meta&amp;#x27;</t>
  </si>
  <si>
    <t>mgo</t>
  </si>
  <si>
    <t>Meta’ NT</t>
  </si>
  <si>
    <t>c336fb9bc6a64750</t>
  </si>
  <si>
    <t>Hyam</t>
  </si>
  <si>
    <t>jab</t>
  </si>
  <si>
    <t>The New Testament in Hyam</t>
  </si>
  <si>
    <t>fa72cee2a6497eb8</t>
  </si>
  <si>
    <t>Izere</t>
  </si>
  <si>
    <t>izr</t>
  </si>
  <si>
    <t>Izere New Testament - DBL</t>
  </si>
  <si>
    <t>dae36a743d89c064</t>
  </si>
  <si>
    <t>Mada (Nigeria)</t>
  </si>
  <si>
    <t>mda</t>
  </si>
  <si>
    <t>Mada New Testament</t>
  </si>
  <si>
    <t>1dc264c3c038f401</t>
  </si>
  <si>
    <t>Tera</t>
  </si>
  <si>
    <t>ttr</t>
  </si>
  <si>
    <t>Nyimatli New Testament</t>
  </si>
  <si>
    <t>746a6dfa77b85137</t>
  </si>
  <si>
    <t>Irigwe</t>
  </si>
  <si>
    <t>iri</t>
  </si>
  <si>
    <t>Rigwe New Testament</t>
  </si>
  <si>
    <t>bd0b326ffd9b3761</t>
  </si>
  <si>
    <t>The Bible in Obolo, Nigeria</t>
  </si>
  <si>
    <t>231f14f3162b54c9</t>
  </si>
  <si>
    <t>Tula</t>
  </si>
  <si>
    <t>tul</t>
  </si>
  <si>
    <t>Tula (Ki̱tule) New Testament</t>
  </si>
  <si>
    <t>532c189726991529</t>
  </si>
  <si>
    <t>Tyap</t>
  </si>
  <si>
    <t>kcg</t>
  </si>
  <si>
    <t>Tyap New Testament</t>
  </si>
  <si>
    <t>c3d43c21bad01a82</t>
  </si>
  <si>
    <t>Mumuye</t>
  </si>
  <si>
    <t>mzm</t>
  </si>
  <si>
    <t>Mumuye New Testament Revision</t>
  </si>
  <si>
    <t>d6f4cdb154fea079</t>
  </si>
  <si>
    <t>New Serbian Translation Latin (NSPL)</t>
  </si>
  <si>
    <t>31ce26b5803b75dd</t>
  </si>
  <si>
    <t>Soli</t>
  </si>
  <si>
    <t>sby</t>
  </si>
  <si>
    <t>SOLI BIBLE TRANSLATION</t>
  </si>
  <si>
    <t>c062e10edf74f809</t>
  </si>
  <si>
    <t>Chinese-Traditional Script: Today&amp;#x27;s Chinese Version 2017</t>
  </si>
  <si>
    <t>94b4d7bbef52efd0</t>
  </si>
  <si>
    <t>La Palabra</t>
  </si>
  <si>
    <t>ca2c2aa6a8d15c73</t>
  </si>
  <si>
    <t>La Palabra (Latin American edition)</t>
  </si>
  <si>
    <t>76c344a68e83e114</t>
  </si>
  <si>
    <t>Mbula-Bwazza</t>
  </si>
  <si>
    <t>mbu</t>
  </si>
  <si>
    <t>Mbula New Testament DBL</t>
  </si>
  <si>
    <t>c375fe09725e6822</t>
  </si>
  <si>
    <t>Chinese Union 2010 (Simplified Chinese) Shen Edition</t>
  </si>
  <si>
    <t>7374beaee7a3088c</t>
  </si>
  <si>
    <t>Sesotho 1989 (Lesotho Orthography)</t>
  </si>
  <si>
    <t>c084f8403e090d03</t>
  </si>
  <si>
    <t>Northwest Gbaya</t>
  </si>
  <si>
    <t>gya</t>
  </si>
  <si>
    <t>Bible in Gbaya 2011 with DC</t>
  </si>
  <si>
    <t>a65a2238d5aefb75</t>
  </si>
  <si>
    <t>Samoa</t>
  </si>
  <si>
    <t>Samoan Edited OV</t>
  </si>
  <si>
    <t>8b19abf5db2592ac</t>
  </si>
  <si>
    <t>Chinese Union High Wenli Version (1919) 《深文理和合譯本》</t>
  </si>
  <si>
    <t>6a5b8388fac4dda9</t>
  </si>
  <si>
    <t>Chinese Union Easy Wenli Version (1912) 《淺文理和合譯本》</t>
  </si>
  <si>
    <t>d2bcf1334956bcc3</t>
  </si>
  <si>
    <t>Setswana 1970/1987</t>
  </si>
  <si>
    <t>82fbb446de5a2c5b</t>
  </si>
  <si>
    <t>Basset-Su, Wenli NT (1707) 白日昇－徐約翰文理《新約聖經》</t>
  </si>
  <si>
    <t>12d5a0bd45b065d8</t>
  </si>
  <si>
    <t>Peking Mandarin Version (1872/1874) 《北京官話譯本》</t>
  </si>
  <si>
    <t>0a2e6f8dc2986cac</t>
  </si>
  <si>
    <t>Chinese Union Mandarin Version (1919) 《官話和合譯本》</t>
  </si>
  <si>
    <t>939133e2399e95b4</t>
  </si>
  <si>
    <t>Griffith JOHN, Wenli Psalms (1907) 楊格非文理《舊約詩篇》</t>
  </si>
  <si>
    <t>60ceb9225a437000</t>
  </si>
  <si>
    <t>Griffith JOHN, Mandarin Psalms (1907) 楊格非官話《詩篇》</t>
  </si>
  <si>
    <t>63dc3f8912b3bd1e</t>
  </si>
  <si>
    <t>Theodore HSIAO, New Testament (1967) 蕭鐵笛《新譯新約全書》</t>
  </si>
  <si>
    <t>afa55d0cec46765e</t>
  </si>
  <si>
    <t>Nanking Mandarin NT (1857) 南京官話《新約全書》</t>
  </si>
  <si>
    <t>29cd107ad9436c1f</t>
  </si>
  <si>
    <t>Burdon-Blodget Wenli Version (1889) 包爾騰－柏漢理淺文理《新約聖經》</t>
  </si>
  <si>
    <t>0f3ba60eed9a6490</t>
  </si>
  <si>
    <t>Morrison-Milne, Wenli Version (1823) 馬禮遜－米憐文理《神天聖書》</t>
  </si>
  <si>
    <t>7016a59a8c4b0755</t>
  </si>
  <si>
    <t>Wenli Delegates&amp;#x27; Version (1927) 文理《委辦譯本》</t>
  </si>
  <si>
    <t>ee025ca233928902</t>
  </si>
  <si>
    <t>Bridgman-Culbertson Wenli New Testament (1859) 裨治文－克陛存文理《新約全書》</t>
  </si>
  <si>
    <t>2de34b7b7577b7a8</t>
  </si>
  <si>
    <t>Bridgman-Culbertson Wenli Old Testament (1863) 裨治文－克陛存文理《舊約全書》</t>
  </si>
  <si>
    <t>bd7935e31a335964</t>
  </si>
  <si>
    <t>Schereschewsky, Easy Wenli Version (1902) 施約瑟淺文理《新舊約聖經》</t>
  </si>
  <si>
    <t>d7a8838f0e967abd</t>
  </si>
  <si>
    <t>Joseph HSIAO, New Testament with study notes (1922) 蕭靜山《新經全書》附注釋</t>
  </si>
  <si>
    <t>9b4bb929baabaf72</t>
  </si>
  <si>
    <t>Marshman-Lassar Wenli Version (1822) 馬殊曼－拉撒文理《新舊約全書》</t>
  </si>
  <si>
    <t>412b13943ebf2c85</t>
  </si>
  <si>
    <t>Chinese Union High Wenli Version (1919) 文理和合譯本《新舊約全書》</t>
  </si>
  <si>
    <t>3c96524500d508d7</t>
  </si>
  <si>
    <t>Chinese Union Easy Wenli New Testament (1912) 淺文理和合《新約全書》</t>
  </si>
  <si>
    <t>df0abae15aea1a5b</t>
  </si>
  <si>
    <t>WANG Yuan Teh, Newly Punctuated New Testament (1933) 王元德官話《新式標點新約全書》</t>
  </si>
  <si>
    <t>50ac63214e428617</t>
  </si>
  <si>
    <t>Ruck-Zheng, Bible Treasury New Testament (1941) 陸亨理－鄭壽麟《國語新舊庫譯本－新約全書》</t>
  </si>
  <si>
    <t>b16e034cef345028</t>
  </si>
  <si>
    <t>Chalmers-Schaub Wenli New Testament (1897) 湛約翰－韶瑪亭文理《新約全書》</t>
  </si>
  <si>
    <t>1d65451ec49f7f0a</t>
  </si>
  <si>
    <t>Kalo Finnish Romani</t>
  </si>
  <si>
    <t>rmf</t>
  </si>
  <si>
    <t>Romani Kalo Gospel of Luke 2001 (Finland)</t>
  </si>
  <si>
    <t>d3cd3637f9d8ec4e</t>
  </si>
  <si>
    <t>Romani Kalo Gospel of John 1971 (Finland)</t>
  </si>
  <si>
    <t>5456ca21b9381c6b</t>
  </si>
  <si>
    <t>Romani Kalo Gospel of Mark 1970 (Finland)</t>
  </si>
  <si>
    <t>9e944fc08f02acf9</t>
  </si>
  <si>
    <t>Adilabad Gondi</t>
  </si>
  <si>
    <t>wsg</t>
  </si>
  <si>
    <t>WSG Adilabad Gondi (Telangana, India)</t>
  </si>
  <si>
    <t>e81b7e4df27a977a</t>
  </si>
  <si>
    <t>0c4eb5c863628615</t>
  </si>
  <si>
    <t>Amharic Septuagint Final</t>
  </si>
  <si>
    <t>d0c8f10a1cf7c045</t>
  </si>
  <si>
    <t>Afar</t>
  </si>
  <si>
    <t>aar</t>
  </si>
  <si>
    <t>Afar Historical &amp;amp;amp; Prophetic Books of the OT</t>
  </si>
  <si>
    <t>58e62cbf25313022</t>
  </si>
  <si>
    <t>Cook Islands Maori Bible</t>
  </si>
  <si>
    <t>c2b32d7105553abb</t>
  </si>
  <si>
    <t>BIBULIYA ENTUKUVU SECOND EDITION</t>
  </si>
  <si>
    <t>0cfa452f80bab5c3</t>
  </si>
  <si>
    <t>Tamil Old Version Bible (BSI)</t>
  </si>
  <si>
    <t>9cbd6b370ae7f2c6</t>
  </si>
  <si>
    <t>Orthodox Wenli New Testament - Psalters (1910) 俄羅斯正教文理《希臘原文新約聖經》附《官話聖詠經》</t>
  </si>
  <si>
    <t>eae3f81c889bc610</t>
  </si>
  <si>
    <t>Griffith JOHN, Wenli New Testament (1886) 楊格非文理《新約全書》</t>
  </si>
  <si>
    <t>e43806696ffca928</t>
  </si>
  <si>
    <t>Griffith JOHN, Mandarin New Testament (1892) 楊格非官話《新約全書》</t>
  </si>
  <si>
    <t>4173532030bff300</t>
  </si>
  <si>
    <t>af5ed275c88245fa</t>
  </si>
  <si>
    <t>HSV Gespreksbijbel</t>
  </si>
  <si>
    <t>7e8e40c020026d54</t>
  </si>
  <si>
    <t>MAASAI BIBLE REVISION1</t>
  </si>
  <si>
    <t>ff913c55498d2380</t>
  </si>
  <si>
    <t>Reina Valera 1960</t>
  </si>
  <si>
    <t>4e7e3cd3cb3a4aba</t>
  </si>
  <si>
    <t>Reina Valera de Estudio 1995</t>
  </si>
  <si>
    <t>e24b405291c6f45f</t>
  </si>
  <si>
    <t>Rukai</t>
  </si>
  <si>
    <t>dru</t>
  </si>
  <si>
    <t>Ngudradrekai Bible: Old and New Testaments</t>
  </si>
  <si>
    <t>b1ac1fd2e302bbc4</t>
  </si>
  <si>
    <t>Tsotso</t>
  </si>
  <si>
    <t>lto</t>
  </si>
  <si>
    <t>LUKAKAMEGA -- LUTIRICHI 1</t>
  </si>
  <si>
    <t>d7590661fc223da2</t>
  </si>
  <si>
    <t>Neue Genfer Übersetzung</t>
  </si>
  <si>
    <t>173b6ec5bba026d2</t>
  </si>
  <si>
    <t>Bijbel in Gewone Taal</t>
  </si>
  <si>
    <t>e632b8a29d5ee63f</t>
  </si>
  <si>
    <t>Orya</t>
  </si>
  <si>
    <t>ury</t>
  </si>
  <si>
    <t>8ac595c3772ddfa5</t>
  </si>
  <si>
    <t>Rundi</t>
  </si>
  <si>
    <t>run</t>
  </si>
  <si>
    <t>Burundi</t>
  </si>
  <si>
    <t>KiRundi New Testament 1951 (Burundi)</t>
  </si>
  <si>
    <t>493d35012aa01f55</t>
  </si>
  <si>
    <t>Litvanyi et al., NT (1949) 李山甫等《新經全書》</t>
  </si>
  <si>
    <t>4a157c4980eaa785</t>
  </si>
  <si>
    <t>Joseph HSIAO, New Testament (1922) 蕭靜山《新經全書》</t>
  </si>
  <si>
    <t>a49820e51e80a765</t>
  </si>
  <si>
    <t>587e9e6fd8eb8c5c</t>
  </si>
  <si>
    <t>Duruma</t>
  </si>
  <si>
    <t>dug</t>
  </si>
  <si>
    <t>The New Testament in the Duruma language of Kenya</t>
  </si>
  <si>
    <t>8cfdaa1eb7cfea4e</t>
  </si>
  <si>
    <t>Balochi, Southern</t>
  </si>
  <si>
    <t>bcc</t>
  </si>
  <si>
    <t>The holy book of God in the Balochi language</t>
  </si>
  <si>
    <t>399c871d6e79c87e</t>
  </si>
  <si>
    <t>1824dafda43f395c</t>
  </si>
  <si>
    <t>Mato</t>
  </si>
  <si>
    <t>met</t>
  </si>
  <si>
    <t>Mato Scripture</t>
  </si>
  <si>
    <t>2fef7085f62a5ee3</t>
  </si>
  <si>
    <t>Daasanach</t>
  </si>
  <si>
    <t>dsh</t>
  </si>
  <si>
    <t>The New Testament in the aasanach language of Kenya and Ethiopia</t>
  </si>
  <si>
    <t>147df9441373e85d</t>
  </si>
  <si>
    <t>ZHU Baohui, New Testament (1936) 朱寶惠《重譯新約全書》</t>
  </si>
  <si>
    <t>30e3e4820cb54d79</t>
  </si>
  <si>
    <t>ZHU Baohui, NT with study notes (1936) 朱寶惠《重譯新約全書》附注釋</t>
  </si>
  <si>
    <t>DBL_FullList:</t>
  </si>
  <si>
    <t>Full list of DBL texts (but at the time of writing, rather elderly).  Includes contact details.</t>
  </si>
  <si>
    <t xml:space="preserve"> 18-Dec-18</t>
  </si>
  <si>
    <t>List of texts which had been processed and were available to STEP, or which appeared to duplicate texts already available.</t>
  </si>
  <si>
    <t>18-Dec-18</t>
  </si>
  <si>
    <t>BibleInEveryLanguage:</t>
  </si>
  <si>
    <t>DBL_OpenAccess:</t>
  </si>
  <si>
    <t>STEP:</t>
  </si>
  <si>
    <t>Licence</t>
  </si>
  <si>
    <t>Creative Commons - Attribution-NonCommercial-NoDerivs [CC BY-NC-ND]</t>
  </si>
  <si>
    <t>Public Domain [DBL]</t>
  </si>
  <si>
    <t>Creative Commons - Attribution-ShareAlike [CC BY-SA]</t>
  </si>
  <si>
    <t>Creative Commons - Attribution-NonCommercial [CC BY-NC]</t>
  </si>
  <si>
    <t>Creative Commons - Attribution-NoDerivs [CC BY-ND]</t>
  </si>
  <si>
    <t>Audio</t>
  </si>
  <si>
    <t>ModuleName</t>
  </si>
  <si>
    <t>anh_NendNP03</t>
  </si>
  <si>
    <t>arp_Arp</t>
  </si>
  <si>
    <t>bel_NTPrv</t>
  </si>
  <si>
    <t>bel_BBL</t>
  </si>
  <si>
    <t>beo_beo</t>
  </si>
  <si>
    <t>bla_BLA</t>
  </si>
  <si>
    <t>bsp_Baga</t>
  </si>
  <si>
    <t>cwe_Kwere</t>
  </si>
  <si>
    <t>deu_deutkw</t>
  </si>
  <si>
    <t>deu_deuelo</t>
  </si>
  <si>
    <t>dwr_DWRNT</t>
  </si>
  <si>
    <t>fuf_PFJV</t>
  </si>
  <si>
    <t>gai_MbKamNT</t>
  </si>
  <si>
    <t>geb_KirNT</t>
  </si>
  <si>
    <t>kdc_Kutu</t>
  </si>
  <si>
    <t>kde_Makonde</t>
  </si>
  <si>
    <t>kqa_MumNP18</t>
  </si>
  <si>
    <t>kql_KBNT</t>
  </si>
  <si>
    <t>mdy_MB</t>
  </si>
  <si>
    <t>mdy_MNT</t>
  </si>
  <si>
    <t>mgc_MKD</t>
  </si>
  <si>
    <t>mgh_MNT15</t>
  </si>
  <si>
    <t>mgw_Matumbi</t>
  </si>
  <si>
    <t>msc_GHBS</t>
  </si>
  <si>
    <t>mwe_Mwela</t>
  </si>
  <si>
    <t>ndj_NdBV</t>
  </si>
  <si>
    <t>ngp_NgBV</t>
  </si>
  <si>
    <t>nho_NHO</t>
  </si>
  <si>
    <t>ory_oryirv</t>
  </si>
  <si>
    <t>poy_PBV</t>
  </si>
  <si>
    <t>rmc_EMOU</t>
  </si>
  <si>
    <t>ruf_LBV</t>
  </si>
  <si>
    <t>san_ASM</t>
  </si>
  <si>
    <t>san_BEN</t>
  </si>
  <si>
    <t>san_BUR</t>
  </si>
  <si>
    <t>san_COL</t>
  </si>
  <si>
    <t>san_DEV</t>
  </si>
  <si>
    <t>san_GUJ</t>
  </si>
  <si>
    <t>san_HK</t>
  </si>
  <si>
    <t>san_IAS</t>
  </si>
  <si>
    <t>san_ISO</t>
  </si>
  <si>
    <t>san_ITR</t>
  </si>
  <si>
    <t>san_KAN</t>
  </si>
  <si>
    <t>san_KHM</t>
  </si>
  <si>
    <t>san_MAL</t>
  </si>
  <si>
    <t>san_ORI</t>
  </si>
  <si>
    <t>san_PUN</t>
  </si>
  <si>
    <t>san_SIN</t>
  </si>
  <si>
    <t>san_TAM</t>
  </si>
  <si>
    <t>san_TEL</t>
  </si>
  <si>
    <t>san_THA</t>
  </si>
  <si>
    <t>san_TIB</t>
  </si>
  <si>
    <t>san_URD</t>
  </si>
  <si>
    <t>san_VEL</t>
  </si>
  <si>
    <t>shj_SHJ</t>
  </si>
  <si>
    <t>spm_AkgPor10</t>
  </si>
  <si>
    <t>srp_srp1865</t>
  </si>
  <si>
    <t>sus_Susu</t>
  </si>
  <si>
    <t>sus_SUA</t>
  </si>
  <si>
    <t>taw_TayNT</t>
  </si>
  <si>
    <t>tod_GS</t>
  </si>
  <si>
    <t>ton_tonRWV</t>
  </si>
  <si>
    <t>urw_SobP15</t>
  </si>
  <si>
    <t>vid_Vidunda</t>
  </si>
  <si>
    <t>yal_Yalb</t>
  </si>
  <si>
    <t>yap_yap</t>
  </si>
  <si>
    <t>zaj_Zaramo</t>
  </si>
  <si>
    <t>ziw_ZiBT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</si>
</sst>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0"/>
      <color theme="1"/>
      <name val="Arial"/>
      <family val="2"/>
    </font>
    <font>
      <b/>
      <sz val="15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42">
    <xf numFmtId="0" fontId="0" fillId="0" borderId="0" xfId="0"/>
    <xf numFmtId="11" fontId="0" fillId="0" borderId="0" xfId="0" applyNumberFormat="1"/>
    <xf numFmtId="0" fontId="1" fillId="2" borderId="1" xfId="0" applyFont="1" applyFill="1" applyBorder="1"/>
    <xf numFmtId="0" fontId="0" fillId="3" borderId="0" xfId="0" applyFill="1"/>
    <xf numFmtId="0" fontId="0" fillId="3" borderId="2" xfId="0" applyFill="1" applyBorder="1"/>
    <xf numFmtId="0" fontId="3" fillId="3" borderId="2" xfId="0" applyFont="1" applyFill="1" applyBorder="1" applyAlignment="1">
      <alignment vertical="center"/>
    </xf>
    <xf numFmtId="49" fontId="0" fillId="3" borderId="3" xfId="0" applyNumberFormat="1" applyFill="1" applyBorder="1"/>
    <xf numFmtId="49" fontId="0" fillId="2" borderId="0" xfId="0" applyNumberFormat="1" applyFill="1"/>
    <xf numFmtId="49" fontId="4" fillId="2" borderId="0" xfId="0" applyNumberFormat="1" applyFont="1" applyFill="1"/>
    <xf numFmtId="49" fontId="0" fillId="2" borderId="0" xfId="0" applyNumberFormat="1" applyFill="1" applyAlignment="1">
      <alignment wrapText="1"/>
    </xf>
    <xf numFmtId="49" fontId="0" fillId="3" borderId="3" xfId="0" applyNumberFormat="1" applyFill="1" applyBorder="1" applyAlignment="1">
      <alignment vertical="top"/>
    </xf>
    <xf numFmtId="49" fontId="0" fillId="2" borderId="0" xfId="0" applyNumberFormat="1" applyFill="1" applyAlignment="1">
      <alignment vertical="top"/>
    </xf>
    <xf numFmtId="0" fontId="0" fillId="3" borderId="3" xfId="0" applyFill="1" applyBorder="1"/>
    <xf numFmtId="0" fontId="0" fillId="2" borderId="0" xfId="0" applyFill="1"/>
    <xf numFmtId="0" fontId="1" fillId="2" borderId="1" xfId="0" applyFont="1" applyFill="1" applyBorder="1" applyAlignment="1">
      <alignment vertical="top"/>
    </xf>
    <xf numFmtId="0" fontId="1" fillId="5" borderId="1" xfId="0" applyFont="1" applyFill="1" applyBorder="1" applyAlignment="1">
      <alignment vertical="top"/>
    </xf>
    <xf numFmtId="0" fontId="1" fillId="2" borderId="1" xfId="0" applyFont="1" applyFill="1" applyBorder="1" applyAlignment="1">
      <alignment wrapText="1"/>
    </xf>
    <xf numFmtId="0" fontId="1" fillId="0" borderId="0" xfId="0" applyFont="1"/>
    <xf numFmtId="0" fontId="0" fillId="0" borderId="0" xfId="0" applyAlignment="1">
      <alignment vertical="top"/>
    </xf>
    <xf numFmtId="0" fontId="0" fillId="0" borderId="0" xfId="0" applyAlignment="1">
      <alignment horizontal="left" vertical="top"/>
    </xf>
    <xf numFmtId="0" fontId="0" fillId="0" borderId="0" xfId="0" applyAlignment="1">
      <alignment wrapText="1"/>
    </xf>
    <xf numFmtId="49" fontId="0" fillId="3" borderId="3" xfId="0" applyNumberFormat="1" applyFill="1" applyBorder="1" applyAlignment="1">
      <alignment vertical="center"/>
    </xf>
    <xf numFmtId="49" fontId="0" fillId="2" borderId="0" xfId="0" applyNumberFormat="1" applyFill="1" applyAlignment="1">
      <alignment vertical="center"/>
    </xf>
    <xf numFmtId="49" fontId="1" fillId="3" borderId="4" xfId="0" applyNumberFormat="1" applyFont="1" applyFill="1" applyBorder="1" applyAlignment="1">
      <alignment horizontal="right" vertical="center" indent="1"/>
    </xf>
    <xf numFmtId="49" fontId="0" fillId="3" borderId="5" xfId="0" applyNumberFormat="1" applyFill="1" applyBorder="1" applyAlignment="1">
      <alignment vertical="center"/>
    </xf>
    <xf numFmtId="49" fontId="0" fillId="2" borderId="0" xfId="0" applyNumberFormat="1" applyFill="1" applyBorder="1" applyAlignment="1">
      <alignment vertical="center"/>
    </xf>
    <xf numFmtId="49" fontId="1" fillId="4" borderId="4" xfId="0" applyNumberFormat="1" applyFont="1" applyFill="1" applyBorder="1" applyAlignment="1">
      <alignment horizontal="right" vertical="center" indent="1"/>
    </xf>
    <xf numFmtId="49" fontId="0" fillId="4" borderId="5" xfId="0" applyNumberFormat="1" applyFill="1" applyBorder="1" applyAlignment="1">
      <alignment vertical="center"/>
    </xf>
    <xf numFmtId="49" fontId="0" fillId="4" borderId="1" xfId="0" applyNumberFormat="1" applyFill="1" applyBorder="1" applyAlignment="1">
      <alignment vertical="center"/>
    </xf>
    <xf numFmtId="0" fontId="1" fillId="3" borderId="1" xfId="0" applyFont="1" applyFill="1" applyBorder="1"/>
    <xf numFmtId="0" fontId="1" fillId="6" borderId="1" xfId="0" applyFont="1" applyFill="1" applyBorder="1"/>
    <xf numFmtId="0" fontId="2" fillId="0" borderId="0" xfId="0" applyFont="1"/>
    <xf numFmtId="0" fontId="6" fillId="0" borderId="0" xfId="1"/>
    <xf numFmtId="0" fontId="0" fillId="0" borderId="0" xfId="0" applyFill="1"/>
    <xf numFmtId="15" fontId="0" fillId="0" borderId="0" xfId="0" applyNumberFormat="1"/>
    <xf numFmtId="49" fontId="1" fillId="3" borderId="1" xfId="0" applyNumberFormat="1" applyFont="1" applyFill="1" applyBorder="1" applyAlignment="1">
      <alignment vertical="center"/>
    </xf>
    <xf numFmtId="0" fontId="1" fillId="6" borderId="0" xfId="0" applyFont="1" applyFill="1"/>
    <xf numFmtId="0" fontId="0" fillId="0" borderId="6" xfId="0" applyBorder="1"/>
    <xf numFmtId="15" fontId="1" fillId="6" borderId="0" xfId="0" applyNumberFormat="1" applyFont="1" applyFill="1"/>
    <xf numFmtId="0" fontId="7" fillId="0" borderId="0" xfId="1" applyFont="1" applyAlignment="1">
      <alignment horizontal="left"/>
    </xf>
    <xf numFmtId="49" fontId="0" fillId="3" borderId="2" xfId="0" applyNumberFormat="1" applyFill="1" applyBorder="1" applyAlignment="1">
      <alignment horizontal="left" vertical="center" wrapText="1"/>
    </xf>
    <xf numFmtId="0" fontId="0" fillId="0" borderId="0" xfId="0" applyAlignment="1">
      <alignment horizontal="left" vertical="top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114300</xdr:rowOff>
    </xdr:from>
    <xdr:to>
      <xdr:col>2</xdr:col>
      <xdr:colOff>167640</xdr:colOff>
      <xdr:row>3</xdr:row>
      <xdr:rowOff>162938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114300"/>
          <a:ext cx="1805940" cy="1791713"/>
        </a:xfrm>
        <a:prstGeom prst="rect">
          <a:avLst/>
        </a:prstGeom>
        <a:effectLst>
          <a:outerShdw blurRad="50800" dist="76200" dir="2700000" algn="ctr" rotWithShape="0">
            <a:srgbClr val="000000">
              <a:alpha val="86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19050</xdr:colOff>
      <xdr:row>1</xdr:row>
      <xdr:rowOff>19050</xdr:rowOff>
    </xdr:from>
    <xdr:ext cx="4789196" cy="310515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4839950" y="209550"/>
          <a:ext cx="4789196" cy="310515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GB" sz="1100" b="1" u="sng"/>
            <a:t>Notes</a:t>
          </a:r>
        </a:p>
        <a:p>
          <a:endParaRPr lang="en-GB" sz="1100"/>
        </a:p>
        <a:p>
          <a:r>
            <a:rPr lang="en-GB" sz="1100"/>
            <a:t>Unfortunately, the STEP web page does not give language codes.  In general,</a:t>
          </a:r>
        </a:p>
        <a:p>
          <a:r>
            <a:rPr lang="en-GB" sz="1100"/>
            <a:t>I have assumed that the code is just the first three letters of the mode identifier.</a:t>
          </a:r>
        </a:p>
        <a:p>
          <a:r>
            <a:rPr lang="en-GB" sz="1100"/>
            <a:t>However, in quite a lot of cases, this evidently not so, and these I have updated</a:t>
          </a:r>
        </a:p>
        <a:p>
          <a:r>
            <a:rPr lang="en-GB" sz="1100"/>
            <a:t>manually (and highlighted here in red).  (I could, of course, have obtained the</a:t>
          </a:r>
        </a:p>
        <a:p>
          <a:r>
            <a:rPr lang="en-GB" sz="1100"/>
            <a:t>codes by looking within the modules themselves, but this involves a lot of effort.)</a:t>
          </a:r>
        </a:p>
        <a:p>
          <a:endParaRPr lang="en-GB" sz="1100"/>
        </a:p>
        <a:p>
          <a:r>
            <a:rPr lang="en-GB" sz="1100"/>
            <a:t>This is not straightforward,</a:t>
          </a:r>
          <a:r>
            <a:rPr lang="en-GB" sz="1100" baseline="0"/>
            <a:t> in part because the standards themselves have</a:t>
          </a:r>
        </a:p>
        <a:p>
          <a:r>
            <a:rPr lang="en-GB" sz="1100" baseline="0"/>
            <a:t>remained fluid, and in part because in many cases a language has more than one</a:t>
          </a:r>
        </a:p>
        <a:p>
          <a:r>
            <a:rPr lang="en-GB" sz="1100" baseline="0"/>
            <a:t>code, and it is not obvious which one to use.  This is particularly true of Chinese:</a:t>
          </a:r>
        </a:p>
        <a:p>
          <a:r>
            <a:rPr lang="en-GB" sz="1100" baseline="0"/>
            <a:t>some of the codes I have here simply do not exist according to the Ethnologue,</a:t>
          </a:r>
        </a:p>
        <a:p>
          <a:r>
            <a:rPr lang="en-GB" sz="1100" baseline="0"/>
            <a:t>but I have no idea what they should be.</a:t>
          </a:r>
        </a:p>
        <a:p>
          <a:endParaRPr lang="en-GB" sz="1100" baseline="0"/>
        </a:p>
        <a:p>
          <a:r>
            <a:rPr lang="en-GB" sz="1100" baseline="0"/>
            <a:t>My updates here should therefore be taken with somewhat of a pinch of salt:</a:t>
          </a:r>
        </a:p>
        <a:p>
          <a:r>
            <a:rPr lang="en-GB" sz="1100" baseline="0"/>
            <a:t>they may be wrong, and even if correct, there may be quite a few in need of</a:t>
          </a:r>
        </a:p>
        <a:p>
          <a:r>
            <a:rPr lang="en-GB" sz="1100" baseline="0"/>
            <a:t>manual emendation which I simply haven't noticed.</a:t>
          </a:r>
          <a:endParaRPr lang="en-GB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0</xdr:row>
          <xdr:rowOff>19050</xdr:rowOff>
        </xdr:from>
        <xdr:to>
          <xdr:col>12</xdr:col>
          <xdr:colOff>1009650</xdr:colOff>
          <xdr:row>0</xdr:row>
          <xdr:rowOff>342900</xdr:rowOff>
        </xdr:to>
        <xdr:sp macro="" textlink="">
          <xdr:nvSpPr>
            <xdr:cNvPr id="3073" name="Btn_Reque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https://app.thedigitalbiblelibrary.org/api/entries/f72b840c855f362c/revisions/39" TargetMode="External"/><Relationship Id="rId21" Type="http://schemas.openxmlformats.org/officeDocument/2006/relationships/hyperlink" Target="https://app.thedigitalbiblelibrary.org/api/entries/65eec8e0b60e656b/revisions/7" TargetMode="External"/><Relationship Id="rId42" Type="http://schemas.openxmlformats.org/officeDocument/2006/relationships/hyperlink" Target="https://app.thedigitalbiblelibrary.org/api/entries/df7d5d71526afe9e/revisions/3" TargetMode="External"/><Relationship Id="rId63" Type="http://schemas.openxmlformats.org/officeDocument/2006/relationships/hyperlink" Target="https://app.thedigitalbiblelibrary.org/api/entries/40072c4a5aba4022/revisions/6" TargetMode="External"/><Relationship Id="rId84" Type="http://schemas.openxmlformats.org/officeDocument/2006/relationships/hyperlink" Target="https://app.thedigitalbiblelibrary.org/api/entries/51b16e0b4b7c9825/revisions/2" TargetMode="External"/><Relationship Id="rId138" Type="http://schemas.openxmlformats.org/officeDocument/2006/relationships/hyperlink" Target="https://app.thedigitalbiblelibrary.org/entry?id=685d1470fe4d5c3b" TargetMode="External"/><Relationship Id="rId159" Type="http://schemas.openxmlformats.org/officeDocument/2006/relationships/hyperlink" Target="https://app.thedigitalbiblelibrary.org/entry?id=542b32484b6e38c2" TargetMode="External"/><Relationship Id="rId170" Type="http://schemas.openxmlformats.org/officeDocument/2006/relationships/hyperlink" Target="https://app.thedigitalbiblelibrary.org/entry?id=a33a100f04f2752e" TargetMode="External"/><Relationship Id="rId191" Type="http://schemas.openxmlformats.org/officeDocument/2006/relationships/hyperlink" Target="https://app.thedigitalbiblelibrary.org/entry?id=e2588ba61891daa5" TargetMode="External"/><Relationship Id="rId205" Type="http://schemas.openxmlformats.org/officeDocument/2006/relationships/hyperlink" Target="https://app.thedigitalbiblelibrary.org/entry?id=d4599ff3c6b97f3a" TargetMode="External"/><Relationship Id="rId226" Type="http://schemas.openxmlformats.org/officeDocument/2006/relationships/hyperlink" Target="https://app.thedigitalbiblelibrary.org/entry?id=bbeb583cd75c6356" TargetMode="External"/><Relationship Id="rId107" Type="http://schemas.openxmlformats.org/officeDocument/2006/relationships/hyperlink" Target="https://app.thedigitalbiblelibrary.org/api/entries/7e7a704dd32c4280/revisions/4" TargetMode="External"/><Relationship Id="rId11" Type="http://schemas.openxmlformats.org/officeDocument/2006/relationships/hyperlink" Target="https://app.thedigitalbiblelibrary.org/api/entries/6bab4d6c61b31b80/revisions/3" TargetMode="External"/><Relationship Id="rId32" Type="http://schemas.openxmlformats.org/officeDocument/2006/relationships/hyperlink" Target="https://app.thedigitalbiblelibrary.org/api/entries/d199679f805f5b29/revisions/2" TargetMode="External"/><Relationship Id="rId53" Type="http://schemas.openxmlformats.org/officeDocument/2006/relationships/hyperlink" Target="https://app.thedigitalbiblelibrary.org/api/entries/5591cba5ae063228/revisions/1" TargetMode="External"/><Relationship Id="rId74" Type="http://schemas.openxmlformats.org/officeDocument/2006/relationships/hyperlink" Target="https://app.thedigitalbiblelibrary.org/api/entries/c1f49ed98a65a544/revisions/1" TargetMode="External"/><Relationship Id="rId128" Type="http://schemas.openxmlformats.org/officeDocument/2006/relationships/hyperlink" Target="https://app.thedigitalbiblelibrary.org/entry?id=71d2075d284c4eae" TargetMode="External"/><Relationship Id="rId149" Type="http://schemas.openxmlformats.org/officeDocument/2006/relationships/hyperlink" Target="https://app.thedigitalbiblelibrary.org/entry?id=bf8f1c7f3f9045a5" TargetMode="External"/><Relationship Id="rId5" Type="http://schemas.openxmlformats.org/officeDocument/2006/relationships/hyperlink" Target="https://app.thedigitalbiblelibrary.org/api/entries/5e51f89e89947acb/revisions/4" TargetMode="External"/><Relationship Id="rId95" Type="http://schemas.openxmlformats.org/officeDocument/2006/relationships/hyperlink" Target="https://app.thedigitalbiblelibrary.org/api/entries/2eb94132ad61ae75/revisions/2" TargetMode="External"/><Relationship Id="rId160" Type="http://schemas.openxmlformats.org/officeDocument/2006/relationships/hyperlink" Target="https://app.thedigitalbiblelibrary.org/entry?id=95410db44ef800c1" TargetMode="External"/><Relationship Id="rId181" Type="http://schemas.openxmlformats.org/officeDocument/2006/relationships/hyperlink" Target="https://app.thedigitalbiblelibrary.org/entry?id=9f78f34aabe691c9" TargetMode="External"/><Relationship Id="rId216" Type="http://schemas.openxmlformats.org/officeDocument/2006/relationships/hyperlink" Target="https://app.thedigitalbiblelibrary.org/entry?id=018ff00d7f55cbc1" TargetMode="External"/><Relationship Id="rId237" Type="http://schemas.openxmlformats.org/officeDocument/2006/relationships/hyperlink" Target="https://app.thedigitalbiblelibrary.org/entry?id=c2d40ebca6db1ec5" TargetMode="External"/><Relationship Id="rId22" Type="http://schemas.openxmlformats.org/officeDocument/2006/relationships/hyperlink" Target="https://app.thedigitalbiblelibrary.org/api/entries/c315fa9f71d4af3a/revisions/1" TargetMode="External"/><Relationship Id="rId43" Type="http://schemas.openxmlformats.org/officeDocument/2006/relationships/hyperlink" Target="https://app.thedigitalbiblelibrary.org/api/entries/de4e12af7f28f599/revisions/3" TargetMode="External"/><Relationship Id="rId64" Type="http://schemas.openxmlformats.org/officeDocument/2006/relationships/hyperlink" Target="https://app.thedigitalbiblelibrary.org/api/entries/bb3df4b7c8587c77/revisions/3" TargetMode="External"/><Relationship Id="rId118" Type="http://schemas.openxmlformats.org/officeDocument/2006/relationships/hyperlink" Target="https://app.thedigitalbiblelibrary.org/api/entries/04da588535d2f823/revisions/37" TargetMode="External"/><Relationship Id="rId139" Type="http://schemas.openxmlformats.org/officeDocument/2006/relationships/hyperlink" Target="https://app.thedigitalbiblelibrary.org/entry?id=06125adad2d5898a" TargetMode="External"/><Relationship Id="rId85" Type="http://schemas.openxmlformats.org/officeDocument/2006/relationships/hyperlink" Target="https://app.thedigitalbiblelibrary.org/api/entries/9a875168ff4df1a3/revisions/1" TargetMode="External"/><Relationship Id="rId150" Type="http://schemas.openxmlformats.org/officeDocument/2006/relationships/hyperlink" Target="https://app.thedigitalbiblelibrary.org/entry?id=40072c4a5aba4022" TargetMode="External"/><Relationship Id="rId171" Type="http://schemas.openxmlformats.org/officeDocument/2006/relationships/hyperlink" Target="https://app.thedigitalbiblelibrary.org/entry?id=df7d5d71526afe9e" TargetMode="External"/><Relationship Id="rId192" Type="http://schemas.openxmlformats.org/officeDocument/2006/relationships/hyperlink" Target="https://app.thedigitalbiblelibrary.org/entry?id=439ac17466ab4ae1" TargetMode="External"/><Relationship Id="rId206" Type="http://schemas.openxmlformats.org/officeDocument/2006/relationships/hyperlink" Target="https://app.thedigitalbiblelibrary.org/entry?id=6bc5ae3d6dd9009a" TargetMode="External"/><Relationship Id="rId227" Type="http://schemas.openxmlformats.org/officeDocument/2006/relationships/hyperlink" Target="https://app.thedigitalbiblelibrary.org/entry?id=2d5220a02a7aaac6" TargetMode="External"/><Relationship Id="rId201" Type="http://schemas.openxmlformats.org/officeDocument/2006/relationships/hyperlink" Target="https://app.thedigitalbiblelibrary.org/entry?id=e8b40ccabe793c0d" TargetMode="External"/><Relationship Id="rId222" Type="http://schemas.openxmlformats.org/officeDocument/2006/relationships/hyperlink" Target="https://app.thedigitalbiblelibrary.org/entry?id=6855dabfcb711cc2" TargetMode="External"/><Relationship Id="rId243" Type="http://schemas.openxmlformats.org/officeDocument/2006/relationships/printerSettings" Target="../printerSettings/printerSettings3.bin"/><Relationship Id="rId12" Type="http://schemas.openxmlformats.org/officeDocument/2006/relationships/hyperlink" Target="https://app.thedigitalbiblelibrary.org/api/entries/c114c33098c4fef1/revisions/1" TargetMode="External"/><Relationship Id="rId17" Type="http://schemas.openxmlformats.org/officeDocument/2006/relationships/hyperlink" Target="https://app.thedigitalbiblelibrary.org/api/entries/179568874c45066f/revisions/2" TargetMode="External"/><Relationship Id="rId33" Type="http://schemas.openxmlformats.org/officeDocument/2006/relationships/hyperlink" Target="https://app.thedigitalbiblelibrary.org/api/entries/4c3eda00cd317568/revisions/2" TargetMode="External"/><Relationship Id="rId38" Type="http://schemas.openxmlformats.org/officeDocument/2006/relationships/hyperlink" Target="https://app.thedigitalbiblelibrary.org/api/entries/de0270810140edf9/revisions/1" TargetMode="External"/><Relationship Id="rId59" Type="http://schemas.openxmlformats.org/officeDocument/2006/relationships/hyperlink" Target="https://app.thedigitalbiblelibrary.org/api/entries/365f988242c307d2/revisions/5" TargetMode="External"/><Relationship Id="rId103" Type="http://schemas.openxmlformats.org/officeDocument/2006/relationships/hyperlink" Target="https://app.thedigitalbiblelibrary.org/api/entries/dca01eb41e39d25d/revisions/4" TargetMode="External"/><Relationship Id="rId108" Type="http://schemas.openxmlformats.org/officeDocument/2006/relationships/hyperlink" Target="https://app.thedigitalbiblelibrary.org/api/entries/c9f3cf58d557a9f3/revisions/2" TargetMode="External"/><Relationship Id="rId124" Type="http://schemas.openxmlformats.org/officeDocument/2006/relationships/hyperlink" Target="https://app.thedigitalbiblelibrary.org/entry?id=b7ad344da9c39262" TargetMode="External"/><Relationship Id="rId129" Type="http://schemas.openxmlformats.org/officeDocument/2006/relationships/hyperlink" Target="https://app.thedigitalbiblelibrary.org/entry?id=55bab459b716348c" TargetMode="External"/><Relationship Id="rId54" Type="http://schemas.openxmlformats.org/officeDocument/2006/relationships/hyperlink" Target="https://app.thedigitalbiblelibrary.org/api/entries/ed5744967fe39c8c/revisions/3" TargetMode="External"/><Relationship Id="rId70" Type="http://schemas.openxmlformats.org/officeDocument/2006/relationships/hyperlink" Target="https://app.thedigitalbiblelibrary.org/api/entries/89007ccbb2eb5187/revisions/1" TargetMode="External"/><Relationship Id="rId75" Type="http://schemas.openxmlformats.org/officeDocument/2006/relationships/hyperlink" Target="https://app.thedigitalbiblelibrary.org/api/entries/6bb8b0fa7aca67c6/revisions/1" TargetMode="External"/><Relationship Id="rId91" Type="http://schemas.openxmlformats.org/officeDocument/2006/relationships/hyperlink" Target="https://app.thedigitalbiblelibrary.org/api/entries/312df00520eac624/revisions/2" TargetMode="External"/><Relationship Id="rId96" Type="http://schemas.openxmlformats.org/officeDocument/2006/relationships/hyperlink" Target="https://app.thedigitalbiblelibrary.org/api/entries/98adf0b796dc9ff4/revisions/5" TargetMode="External"/><Relationship Id="rId140" Type="http://schemas.openxmlformats.org/officeDocument/2006/relationships/hyperlink" Target="https://app.thedigitalbiblelibrary.org/entry?id=65bfdebd704a8324" TargetMode="External"/><Relationship Id="rId145" Type="http://schemas.openxmlformats.org/officeDocument/2006/relationships/hyperlink" Target="https://app.thedigitalbiblelibrary.org/entry?id=65eec8e0b60e656b" TargetMode="External"/><Relationship Id="rId161" Type="http://schemas.openxmlformats.org/officeDocument/2006/relationships/hyperlink" Target="https://app.thedigitalbiblelibrary.org/entry?id=c114c33098c4fef1" TargetMode="External"/><Relationship Id="rId166" Type="http://schemas.openxmlformats.org/officeDocument/2006/relationships/hyperlink" Target="https://app.thedigitalbiblelibrary.org/entry?id=705aad6832c6e4d2" TargetMode="External"/><Relationship Id="rId182" Type="http://schemas.openxmlformats.org/officeDocument/2006/relationships/hyperlink" Target="https://app.thedigitalbiblelibrary.org/entry?id=8c49129a458d4059" TargetMode="External"/><Relationship Id="rId187" Type="http://schemas.openxmlformats.org/officeDocument/2006/relationships/hyperlink" Target="https://app.thedigitalbiblelibrary.org/entry?id=cb0425ae772bb042" TargetMode="External"/><Relationship Id="rId217" Type="http://schemas.openxmlformats.org/officeDocument/2006/relationships/hyperlink" Target="https://app.thedigitalbiblelibrary.org/entry?id=51b16e0b4b7c9825" TargetMode="External"/><Relationship Id="rId1" Type="http://schemas.openxmlformats.org/officeDocument/2006/relationships/hyperlink" Target="https://app.thedigitalbiblelibrary.org/api/entries/2a65010324d677b6/revisions/1" TargetMode="External"/><Relationship Id="rId6" Type="http://schemas.openxmlformats.org/officeDocument/2006/relationships/hyperlink" Target="https://app.thedigitalbiblelibrary.org/api/entries/55bab459b716348c/revisions/1" TargetMode="External"/><Relationship Id="rId212" Type="http://schemas.openxmlformats.org/officeDocument/2006/relationships/hyperlink" Target="https://app.thedigitalbiblelibrary.org/entry?id=2c2cf8df5a22a46e" TargetMode="External"/><Relationship Id="rId233" Type="http://schemas.openxmlformats.org/officeDocument/2006/relationships/hyperlink" Target="https://app.thedigitalbiblelibrary.org/entry?id=2eb94132ad61ae75" TargetMode="External"/><Relationship Id="rId238" Type="http://schemas.openxmlformats.org/officeDocument/2006/relationships/hyperlink" Target="https://app.thedigitalbiblelibrary.org/entry?id=1b878de073afef07" TargetMode="External"/><Relationship Id="rId23" Type="http://schemas.openxmlformats.org/officeDocument/2006/relationships/hyperlink" Target="https://app.thedigitalbiblelibrary.org/api/entries/95410db44ef800c1/revisions/2" TargetMode="External"/><Relationship Id="rId28" Type="http://schemas.openxmlformats.org/officeDocument/2006/relationships/hyperlink" Target="https://app.thedigitalbiblelibrary.org/api/entries/3aefb10641485092/revisions/2" TargetMode="External"/><Relationship Id="rId49" Type="http://schemas.openxmlformats.org/officeDocument/2006/relationships/hyperlink" Target="https://app.thedigitalbiblelibrary.org/api/entries/9f78f34aabe691c9/revisions/5" TargetMode="External"/><Relationship Id="rId114" Type="http://schemas.openxmlformats.org/officeDocument/2006/relationships/hyperlink" Target="https://app.thedigitalbiblelibrary.org/api/entries/1b878de073afef07/revisions/1" TargetMode="External"/><Relationship Id="rId119" Type="http://schemas.openxmlformats.org/officeDocument/2006/relationships/hyperlink" Target="https://app.thedigitalbiblelibrary.org/api/entries/afe8f67d8ba9025c/revisions/3" TargetMode="External"/><Relationship Id="rId44" Type="http://schemas.openxmlformats.org/officeDocument/2006/relationships/hyperlink" Target="https://app.thedigitalbiblelibrary.org/api/entries/01b29f4b342acc35/revisions/21" TargetMode="External"/><Relationship Id="rId60" Type="http://schemas.openxmlformats.org/officeDocument/2006/relationships/hyperlink" Target="https://app.thedigitalbiblelibrary.org/api/entries/9b076bc0f1856204/revisions/3" TargetMode="External"/><Relationship Id="rId65" Type="http://schemas.openxmlformats.org/officeDocument/2006/relationships/hyperlink" Target="https://app.thedigitalbiblelibrary.org/api/entries/8d1ad2c921d811c3/revisions/2" TargetMode="External"/><Relationship Id="rId81" Type="http://schemas.openxmlformats.org/officeDocument/2006/relationships/hyperlink" Target="https://app.thedigitalbiblelibrary.org/api/entries/aa146959e1d39b78/revisions/1" TargetMode="External"/><Relationship Id="rId86" Type="http://schemas.openxmlformats.org/officeDocument/2006/relationships/hyperlink" Target="https://app.thedigitalbiblelibrary.org/api/entries/06995ce9cd23361b/revisions/1" TargetMode="External"/><Relationship Id="rId130" Type="http://schemas.openxmlformats.org/officeDocument/2006/relationships/hyperlink" Target="https://app.thedigitalbiblelibrary.org/entry?id=17c44f6c89de00db" TargetMode="External"/><Relationship Id="rId135" Type="http://schemas.openxmlformats.org/officeDocument/2006/relationships/hyperlink" Target="https://app.thedigitalbiblelibrary.org/entry?id=c61908161b077c4c" TargetMode="External"/><Relationship Id="rId151" Type="http://schemas.openxmlformats.org/officeDocument/2006/relationships/hyperlink" Target="https://app.thedigitalbiblelibrary.org/entry?id=ec290b5045ff54a5" TargetMode="External"/><Relationship Id="rId156" Type="http://schemas.openxmlformats.org/officeDocument/2006/relationships/hyperlink" Target="https://app.thedigitalbiblelibrary.org/entry?id=7142879509583d59" TargetMode="External"/><Relationship Id="rId177" Type="http://schemas.openxmlformats.org/officeDocument/2006/relationships/hyperlink" Target="https://app.thedigitalbiblelibrary.org/entry?id=385573d4ba3ff72a" TargetMode="External"/><Relationship Id="rId198" Type="http://schemas.openxmlformats.org/officeDocument/2006/relationships/hyperlink" Target="https://app.thedigitalbiblelibrary.org/entry?id=8d1ad2c921d811c3" TargetMode="External"/><Relationship Id="rId172" Type="http://schemas.openxmlformats.org/officeDocument/2006/relationships/hyperlink" Target="https://app.thedigitalbiblelibrary.org/entry?id=e8b818f49c7c2835" TargetMode="External"/><Relationship Id="rId193" Type="http://schemas.openxmlformats.org/officeDocument/2006/relationships/hyperlink" Target="https://app.thedigitalbiblelibrary.org/entry?id=1c9761e0230da6e0" TargetMode="External"/><Relationship Id="rId202" Type="http://schemas.openxmlformats.org/officeDocument/2006/relationships/hyperlink" Target="https://app.thedigitalbiblelibrary.org/entry?id=e9ea572977b4f504" TargetMode="External"/><Relationship Id="rId207" Type="http://schemas.openxmlformats.org/officeDocument/2006/relationships/hyperlink" Target="https://app.thedigitalbiblelibrary.org/entry?id=c1f49ed98a65a544" TargetMode="External"/><Relationship Id="rId223" Type="http://schemas.openxmlformats.org/officeDocument/2006/relationships/hyperlink" Target="https://app.thedigitalbiblelibrary.org/entry?id=e01f11e9b4b8e338" TargetMode="External"/><Relationship Id="rId228" Type="http://schemas.openxmlformats.org/officeDocument/2006/relationships/hyperlink" Target="https://app.thedigitalbiblelibrary.org/entry?id=fa4317c59f0825e0" TargetMode="External"/><Relationship Id="rId13" Type="http://schemas.openxmlformats.org/officeDocument/2006/relationships/hyperlink" Target="https://app.thedigitalbiblelibrary.org/api/entries/f95e2d9b384f8e6e/revisions/1" TargetMode="External"/><Relationship Id="rId18" Type="http://schemas.openxmlformats.org/officeDocument/2006/relationships/hyperlink" Target="https://app.thedigitalbiblelibrary.org/api/entries/33ac978af36830fa/revisions/6" TargetMode="External"/><Relationship Id="rId39" Type="http://schemas.openxmlformats.org/officeDocument/2006/relationships/hyperlink" Target="https://app.thedigitalbiblelibrary.org/api/entries/b35e70bce95d4261/revisions/1" TargetMode="External"/><Relationship Id="rId109" Type="http://schemas.openxmlformats.org/officeDocument/2006/relationships/hyperlink" Target="https://app.thedigitalbiblelibrary.org/api/entries/25210406001d9aae/revisions/6" TargetMode="External"/><Relationship Id="rId34" Type="http://schemas.openxmlformats.org/officeDocument/2006/relationships/hyperlink" Target="https://app.thedigitalbiblelibrary.org/api/entries/a33a100f04f2752e/revisions/2" TargetMode="External"/><Relationship Id="rId50" Type="http://schemas.openxmlformats.org/officeDocument/2006/relationships/hyperlink" Target="https://app.thedigitalbiblelibrary.org/api/entries/f638e44feb77f803/revisions/2" TargetMode="External"/><Relationship Id="rId55" Type="http://schemas.openxmlformats.org/officeDocument/2006/relationships/hyperlink" Target="https://app.thedigitalbiblelibrary.org/api/entries/0c2ff0a5c8b9069c/revisions/1" TargetMode="External"/><Relationship Id="rId76" Type="http://schemas.openxmlformats.org/officeDocument/2006/relationships/hyperlink" Target="https://app.thedigitalbiblelibrary.org/api/entries/119375d97b57cf04/revisions/1" TargetMode="External"/><Relationship Id="rId97" Type="http://schemas.openxmlformats.org/officeDocument/2006/relationships/hyperlink" Target="https://app.thedigitalbiblelibrary.org/api/entries/c2d40ebca6db1ec5/revisions/2" TargetMode="External"/><Relationship Id="rId104" Type="http://schemas.openxmlformats.org/officeDocument/2006/relationships/hyperlink" Target="https://app.thedigitalbiblelibrary.org/api/entries/98d1c5bee401f80c/revisions/4" TargetMode="External"/><Relationship Id="rId120" Type="http://schemas.openxmlformats.org/officeDocument/2006/relationships/hyperlink" Target="https://app.thedigitalbiblelibrary.org/api/entries/8a448a0135a6a70a/revisions/1" TargetMode="External"/><Relationship Id="rId125" Type="http://schemas.openxmlformats.org/officeDocument/2006/relationships/hyperlink" Target="https://app.thedigitalbiblelibrary.org/entry?id=5e51f89e89947acb" TargetMode="External"/><Relationship Id="rId141" Type="http://schemas.openxmlformats.org/officeDocument/2006/relationships/hyperlink" Target="https://app.thedigitalbiblelibrary.org/entry?id=6bab4d6c61b31b80" TargetMode="External"/><Relationship Id="rId146" Type="http://schemas.openxmlformats.org/officeDocument/2006/relationships/hyperlink" Target="https://app.thedigitalbiblelibrary.org/entry?id=c315fa9f71d4af3a" TargetMode="External"/><Relationship Id="rId167" Type="http://schemas.openxmlformats.org/officeDocument/2006/relationships/hyperlink" Target="https://app.thedigitalbiblelibrary.org/entry?id=b35e70bce95d4261" TargetMode="External"/><Relationship Id="rId188" Type="http://schemas.openxmlformats.org/officeDocument/2006/relationships/hyperlink" Target="https://app.thedigitalbiblelibrary.org/entry?id=0c2ff0a5c8b9069c" TargetMode="External"/><Relationship Id="rId7" Type="http://schemas.openxmlformats.org/officeDocument/2006/relationships/hyperlink" Target="https://app.thedigitalbiblelibrary.org/api/entries/17c44f6c89de00db/revisions/7" TargetMode="External"/><Relationship Id="rId71" Type="http://schemas.openxmlformats.org/officeDocument/2006/relationships/hyperlink" Target="https://app.thedigitalbiblelibrary.org/api/entries/0b07fcef627a2db2/revisions/1" TargetMode="External"/><Relationship Id="rId92" Type="http://schemas.openxmlformats.org/officeDocument/2006/relationships/hyperlink" Target="https://app.thedigitalbiblelibrary.org/api/entries/ec290b5045ff54a5/revisions/2" TargetMode="External"/><Relationship Id="rId162" Type="http://schemas.openxmlformats.org/officeDocument/2006/relationships/hyperlink" Target="https://app.thedigitalbiblelibrary.org/entry?id=3aefb10641485092" TargetMode="External"/><Relationship Id="rId183" Type="http://schemas.openxmlformats.org/officeDocument/2006/relationships/hyperlink" Target="https://app.thedigitalbiblelibrary.org/entry?id=f638e44feb77f803" TargetMode="External"/><Relationship Id="rId213" Type="http://schemas.openxmlformats.org/officeDocument/2006/relationships/hyperlink" Target="https://app.thedigitalbiblelibrary.org/entry?id=143e0e03cf5b12ae" TargetMode="External"/><Relationship Id="rId218" Type="http://schemas.openxmlformats.org/officeDocument/2006/relationships/hyperlink" Target="https://app.thedigitalbiblelibrary.org/entry?id=9a875168ff4df1a3" TargetMode="External"/><Relationship Id="rId234" Type="http://schemas.openxmlformats.org/officeDocument/2006/relationships/hyperlink" Target="https://app.thedigitalbiblelibrary.org/entry?id=30cb581bcc911c45" TargetMode="External"/><Relationship Id="rId239" Type="http://schemas.openxmlformats.org/officeDocument/2006/relationships/hyperlink" Target="https://app.thedigitalbiblelibrary.org/entry?id=afe8f67d8ba9025c" TargetMode="External"/><Relationship Id="rId2" Type="http://schemas.openxmlformats.org/officeDocument/2006/relationships/hyperlink" Target="https://app.thedigitalbiblelibrary.org/api/entries/685d1470fe4d5c3b/revisions/1" TargetMode="External"/><Relationship Id="rId29" Type="http://schemas.openxmlformats.org/officeDocument/2006/relationships/hyperlink" Target="https://app.thedigitalbiblelibrary.org/api/entries/3548ab6114a312d4/revisions/3" TargetMode="External"/><Relationship Id="rId24" Type="http://schemas.openxmlformats.org/officeDocument/2006/relationships/hyperlink" Target="https://app.thedigitalbiblelibrary.org/api/entries/30cb581bcc911c45/revisions/2" TargetMode="External"/><Relationship Id="rId40" Type="http://schemas.openxmlformats.org/officeDocument/2006/relationships/hyperlink" Target="https://app.thedigitalbiblelibrary.org/api/entries/8c49129a458d4059/revisions/1" TargetMode="External"/><Relationship Id="rId45" Type="http://schemas.openxmlformats.org/officeDocument/2006/relationships/hyperlink" Target="https://app.thedigitalbiblelibrary.org/api/entries/385573d4ba3ff72a/revisions/2" TargetMode="External"/><Relationship Id="rId66" Type="http://schemas.openxmlformats.org/officeDocument/2006/relationships/hyperlink" Target="https://app.thedigitalbiblelibrary.org/api/entries/9449d4ad98193779/revisions/1" TargetMode="External"/><Relationship Id="rId87" Type="http://schemas.openxmlformats.org/officeDocument/2006/relationships/hyperlink" Target="https://app.thedigitalbiblelibrary.org/api/entries/e01f11e9b4b8e338/revisions/3" TargetMode="External"/><Relationship Id="rId110" Type="http://schemas.openxmlformats.org/officeDocument/2006/relationships/hyperlink" Target="https://app.thedigitalbiblelibrary.org/api/entries/66c22495370cdfc0/revisions/4" TargetMode="External"/><Relationship Id="rId115" Type="http://schemas.openxmlformats.org/officeDocument/2006/relationships/hyperlink" Target="https://app.thedigitalbiblelibrary.org/api/entries/9879dbb7cfe39e4d/revisions/39" TargetMode="External"/><Relationship Id="rId131" Type="http://schemas.openxmlformats.org/officeDocument/2006/relationships/hyperlink" Target="https://app.thedigitalbiblelibrary.org/entry?id=b52bc8b7af3bdc6f" TargetMode="External"/><Relationship Id="rId136" Type="http://schemas.openxmlformats.org/officeDocument/2006/relationships/hyperlink" Target="https://app.thedigitalbiblelibrary.org/entry?id=e578524a0893c6b7" TargetMode="External"/><Relationship Id="rId157" Type="http://schemas.openxmlformats.org/officeDocument/2006/relationships/hyperlink" Target="https://app.thedigitalbiblelibrary.org/entry?id=f72b840c855f362c" TargetMode="External"/><Relationship Id="rId178" Type="http://schemas.openxmlformats.org/officeDocument/2006/relationships/hyperlink" Target="https://app.thedigitalbiblelibrary.org/entry?id=bed82ba57f117c16" TargetMode="External"/><Relationship Id="rId61" Type="http://schemas.openxmlformats.org/officeDocument/2006/relationships/hyperlink" Target="https://app.thedigitalbiblelibrary.org/api/entries/439ac17466ab4ae1/revisions/1" TargetMode="External"/><Relationship Id="rId82" Type="http://schemas.openxmlformats.org/officeDocument/2006/relationships/hyperlink" Target="https://app.thedigitalbiblelibrary.org/api/entries/306d6ab1ca333a1e/revisions/1" TargetMode="External"/><Relationship Id="rId152" Type="http://schemas.openxmlformats.org/officeDocument/2006/relationships/hyperlink" Target="https://app.thedigitalbiblelibrary.org/entry?id=55212e3cf5d04d49" TargetMode="External"/><Relationship Id="rId173" Type="http://schemas.openxmlformats.org/officeDocument/2006/relationships/hyperlink" Target="https://app.thedigitalbiblelibrary.org/entry?id=f2f349d77ac8f8bc" TargetMode="External"/><Relationship Id="rId194" Type="http://schemas.openxmlformats.org/officeDocument/2006/relationships/hyperlink" Target="https://app.thedigitalbiblelibrary.org/entry?id=90799bb5b996fddc" TargetMode="External"/><Relationship Id="rId199" Type="http://schemas.openxmlformats.org/officeDocument/2006/relationships/hyperlink" Target="https://app.thedigitalbiblelibrary.org/entry?id=9449d4ad98193779" TargetMode="External"/><Relationship Id="rId203" Type="http://schemas.openxmlformats.org/officeDocument/2006/relationships/hyperlink" Target="https://app.thedigitalbiblelibrary.org/entry?id=89007ccbb2eb5187" TargetMode="External"/><Relationship Id="rId208" Type="http://schemas.openxmlformats.org/officeDocument/2006/relationships/hyperlink" Target="https://app.thedigitalbiblelibrary.org/entry?id=6bb8b0fa7aca67c6" TargetMode="External"/><Relationship Id="rId229" Type="http://schemas.openxmlformats.org/officeDocument/2006/relationships/hyperlink" Target="https://app.thedigitalbiblelibrary.org/entry?id=312df00520eac624" TargetMode="External"/><Relationship Id="rId19" Type="http://schemas.openxmlformats.org/officeDocument/2006/relationships/hyperlink" Target="https://app.thedigitalbiblelibrary.org/api/entries/105a06b6146d11e7/revisions/2" TargetMode="External"/><Relationship Id="rId224" Type="http://schemas.openxmlformats.org/officeDocument/2006/relationships/hyperlink" Target="https://app.thedigitalbiblelibrary.org/entry?id=592420522e16049f" TargetMode="External"/><Relationship Id="rId240" Type="http://schemas.openxmlformats.org/officeDocument/2006/relationships/hyperlink" Target="https://app.thedigitalbiblelibrary.org/entry?id=8a448a0135a6a70a" TargetMode="External"/><Relationship Id="rId14" Type="http://schemas.openxmlformats.org/officeDocument/2006/relationships/hyperlink" Target="https://app.thedigitalbiblelibrary.org/api/entries/c61908161b077c4c/revisions/2" TargetMode="External"/><Relationship Id="rId30" Type="http://schemas.openxmlformats.org/officeDocument/2006/relationships/hyperlink" Target="https://app.thedigitalbiblelibrary.org/api/entries/a870900c030548a0/revisions/2" TargetMode="External"/><Relationship Id="rId35" Type="http://schemas.openxmlformats.org/officeDocument/2006/relationships/hyperlink" Target="https://app.thedigitalbiblelibrary.org/api/entries/e2588ba61891daa5/revisions/2" TargetMode="External"/><Relationship Id="rId56" Type="http://schemas.openxmlformats.org/officeDocument/2006/relationships/hyperlink" Target="https://app.thedigitalbiblelibrary.org/api/entries/8e3b1a957009c6ca/revisions/4" TargetMode="External"/><Relationship Id="rId77" Type="http://schemas.openxmlformats.org/officeDocument/2006/relationships/hyperlink" Target="https://app.thedigitalbiblelibrary.org/api/entries/5a27fd2a2de187c8/revisions/1" TargetMode="External"/><Relationship Id="rId100" Type="http://schemas.openxmlformats.org/officeDocument/2006/relationships/hyperlink" Target="https://app.thedigitalbiblelibrary.org/api/entries/5e29945cf530b0f6/revisions/1" TargetMode="External"/><Relationship Id="rId105" Type="http://schemas.openxmlformats.org/officeDocument/2006/relationships/hyperlink" Target="https://app.thedigitalbiblelibrary.org/api/entries/cb0425ae772bb042/revisions/2" TargetMode="External"/><Relationship Id="rId126" Type="http://schemas.openxmlformats.org/officeDocument/2006/relationships/hyperlink" Target="https://app.thedigitalbiblelibrary.org/entry?id=98adf0b796dc9ff4" TargetMode="External"/><Relationship Id="rId147" Type="http://schemas.openxmlformats.org/officeDocument/2006/relationships/hyperlink" Target="https://app.thedigitalbiblelibrary.org/entry?id=de4e12af7f28f599" TargetMode="External"/><Relationship Id="rId168" Type="http://schemas.openxmlformats.org/officeDocument/2006/relationships/hyperlink" Target="https://app.thedigitalbiblelibrary.org/entry?id=2dd568eeff29fb3c" TargetMode="External"/><Relationship Id="rId8" Type="http://schemas.openxmlformats.org/officeDocument/2006/relationships/hyperlink" Target="https://app.thedigitalbiblelibrary.org/api/entries/b52bc8b7af3bdc6f/revisions/7" TargetMode="External"/><Relationship Id="rId51" Type="http://schemas.openxmlformats.org/officeDocument/2006/relationships/hyperlink" Target="https://app.thedigitalbiblelibrary.org/api/entries/da905e46720432e2/revisions/1" TargetMode="External"/><Relationship Id="rId72" Type="http://schemas.openxmlformats.org/officeDocument/2006/relationships/hyperlink" Target="https://app.thedigitalbiblelibrary.org/api/entries/d4599ff3c6b97f3a/revisions/1" TargetMode="External"/><Relationship Id="rId93" Type="http://schemas.openxmlformats.org/officeDocument/2006/relationships/hyperlink" Target="https://app.thedigitalbiblelibrary.org/api/entries/2dd568eeff29fb3c/revisions/4" TargetMode="External"/><Relationship Id="rId98" Type="http://schemas.openxmlformats.org/officeDocument/2006/relationships/hyperlink" Target="https://app.thedigitalbiblelibrary.org/api/entries/55212e3cf5d04d49/revisions/1" TargetMode="External"/><Relationship Id="rId121" Type="http://schemas.openxmlformats.org/officeDocument/2006/relationships/hyperlink" Target="https://app.thedigitalbiblelibrary.org/entry/download_archive?email=jamie%40critos.co.uk&amp;id=b7ad344da9c39262&amp;key=34db03b417100ad9780610df72a50244&amp;license=4014&amp;revision=2&amp;type=release" TargetMode="External"/><Relationship Id="rId142" Type="http://schemas.openxmlformats.org/officeDocument/2006/relationships/hyperlink" Target="https://app.thedigitalbiblelibrary.org/entry?id=179568874c45066f" TargetMode="External"/><Relationship Id="rId163" Type="http://schemas.openxmlformats.org/officeDocument/2006/relationships/hyperlink" Target="https://app.thedigitalbiblelibrary.org/entry?id=5e29945cf530b0f6" TargetMode="External"/><Relationship Id="rId184" Type="http://schemas.openxmlformats.org/officeDocument/2006/relationships/hyperlink" Target="https://app.thedigitalbiblelibrary.org/entry?id=abf017938be72f46" TargetMode="External"/><Relationship Id="rId189" Type="http://schemas.openxmlformats.org/officeDocument/2006/relationships/hyperlink" Target="https://app.thedigitalbiblelibrary.org/entry?id=324f457845cb5d21" TargetMode="External"/><Relationship Id="rId219" Type="http://schemas.openxmlformats.org/officeDocument/2006/relationships/hyperlink" Target="https://app.thedigitalbiblelibrary.org/entry?id=06995ce9cd23361b" TargetMode="External"/><Relationship Id="rId3" Type="http://schemas.openxmlformats.org/officeDocument/2006/relationships/hyperlink" Target="https://app.thedigitalbiblelibrary.org/api/entries/06125adad2d5898a/revisions/12" TargetMode="External"/><Relationship Id="rId214" Type="http://schemas.openxmlformats.org/officeDocument/2006/relationships/hyperlink" Target="https://app.thedigitalbiblelibrary.org/entry?id=aa146959e1d39b78" TargetMode="External"/><Relationship Id="rId230" Type="http://schemas.openxmlformats.org/officeDocument/2006/relationships/hyperlink" Target="https://app.thedigitalbiblelibrary.org/entry?id=03a021185023710b" TargetMode="External"/><Relationship Id="rId235" Type="http://schemas.openxmlformats.org/officeDocument/2006/relationships/hyperlink" Target="https://app.thedigitalbiblelibrary.org/entry?id=25210406001d9aae" TargetMode="External"/><Relationship Id="rId25" Type="http://schemas.openxmlformats.org/officeDocument/2006/relationships/hyperlink" Target="https://app.thedigitalbiblelibrary.org/api/entries/71d2075d284c4eae/revisions/4" TargetMode="External"/><Relationship Id="rId46" Type="http://schemas.openxmlformats.org/officeDocument/2006/relationships/hyperlink" Target="https://app.thedigitalbiblelibrary.org/api/entries/bed82ba57f117c16/revisions/5" TargetMode="External"/><Relationship Id="rId67" Type="http://schemas.openxmlformats.org/officeDocument/2006/relationships/hyperlink" Target="https://app.thedigitalbiblelibrary.org/api/entries/33b6449cacf22773/revisions/1" TargetMode="External"/><Relationship Id="rId116" Type="http://schemas.openxmlformats.org/officeDocument/2006/relationships/hyperlink" Target="https://app.thedigitalbiblelibrary.org/api/entries/7142879509583d59/revisions/45" TargetMode="External"/><Relationship Id="rId137" Type="http://schemas.openxmlformats.org/officeDocument/2006/relationships/hyperlink" Target="https://app.thedigitalbiblelibrary.org/entry?id=ead7b4cc5007389c" TargetMode="External"/><Relationship Id="rId158" Type="http://schemas.openxmlformats.org/officeDocument/2006/relationships/hyperlink" Target="https://app.thedigitalbiblelibrary.org/entry?id=04da588535d2f823" TargetMode="External"/><Relationship Id="rId20" Type="http://schemas.openxmlformats.org/officeDocument/2006/relationships/hyperlink" Target="https://app.thedigitalbiblelibrary.org/api/entries/55ec700d9e0d77ea/revisions/1" TargetMode="External"/><Relationship Id="rId41" Type="http://schemas.openxmlformats.org/officeDocument/2006/relationships/hyperlink" Target="https://app.thedigitalbiblelibrary.org/api/entries/41f25b97f468e10b/revisions/4" TargetMode="External"/><Relationship Id="rId62" Type="http://schemas.openxmlformats.org/officeDocument/2006/relationships/hyperlink" Target="https://app.thedigitalbiblelibrary.org/api/entries/592420522e16049f/revisions/7" TargetMode="External"/><Relationship Id="rId83" Type="http://schemas.openxmlformats.org/officeDocument/2006/relationships/hyperlink" Target="https://app.thedigitalbiblelibrary.org/api/entries/018ff00d7f55cbc1/revisions/1" TargetMode="External"/><Relationship Id="rId88" Type="http://schemas.openxmlformats.org/officeDocument/2006/relationships/hyperlink" Target="https://app.thedigitalbiblelibrary.org/api/entries/bbeb583cd75c6356/revisions/5" TargetMode="External"/><Relationship Id="rId111" Type="http://schemas.openxmlformats.org/officeDocument/2006/relationships/hyperlink" Target="https://app.thedigitalbiblelibrary.org/api/entries/90799bb5b996fddc/revisions/1" TargetMode="External"/><Relationship Id="rId132" Type="http://schemas.openxmlformats.org/officeDocument/2006/relationships/hyperlink" Target="https://app.thedigitalbiblelibrary.org/entry?id=4c3eda00cd317568" TargetMode="External"/><Relationship Id="rId153" Type="http://schemas.openxmlformats.org/officeDocument/2006/relationships/hyperlink" Target="https://app.thedigitalbiblelibrary.org/entry?id=2f0fd81d7b85b923" TargetMode="External"/><Relationship Id="rId174" Type="http://schemas.openxmlformats.org/officeDocument/2006/relationships/hyperlink" Target="https://app.thedigitalbiblelibrary.org/entry?id=dca01eb41e39d25d" TargetMode="External"/><Relationship Id="rId179" Type="http://schemas.openxmlformats.org/officeDocument/2006/relationships/hyperlink" Target="https://app.thedigitalbiblelibrary.org/entry?id=b5105cd03c972046" TargetMode="External"/><Relationship Id="rId195" Type="http://schemas.openxmlformats.org/officeDocument/2006/relationships/hyperlink" Target="https://app.thedigitalbiblelibrary.org/entry?id=9b076bc0f1856204" TargetMode="External"/><Relationship Id="rId209" Type="http://schemas.openxmlformats.org/officeDocument/2006/relationships/hyperlink" Target="https://app.thedigitalbiblelibrary.org/entry?id=119375d97b57cf04" TargetMode="External"/><Relationship Id="rId190" Type="http://schemas.openxmlformats.org/officeDocument/2006/relationships/hyperlink" Target="https://app.thedigitalbiblelibrary.org/entry?id=365f988242c307d2" TargetMode="External"/><Relationship Id="rId204" Type="http://schemas.openxmlformats.org/officeDocument/2006/relationships/hyperlink" Target="https://app.thedigitalbiblelibrary.org/entry?id=0b07fcef627a2db2" TargetMode="External"/><Relationship Id="rId220" Type="http://schemas.openxmlformats.org/officeDocument/2006/relationships/hyperlink" Target="https://app.thedigitalbiblelibrary.org/entry?id=f95e2d9b384f8e6e" TargetMode="External"/><Relationship Id="rId225" Type="http://schemas.openxmlformats.org/officeDocument/2006/relationships/hyperlink" Target="https://app.thedigitalbiblelibrary.org/entry?id=482ddd53705278cc" TargetMode="External"/><Relationship Id="rId241" Type="http://schemas.openxmlformats.org/officeDocument/2006/relationships/hyperlink" Target="https://app.thedigitalbiblelibrary.org/entry?id=7e7a704dd32c4280" TargetMode="External"/><Relationship Id="rId15" Type="http://schemas.openxmlformats.org/officeDocument/2006/relationships/hyperlink" Target="https://app.thedigitalbiblelibrary.org/api/entries/e578524a0893c6b7/revisions/4" TargetMode="External"/><Relationship Id="rId36" Type="http://schemas.openxmlformats.org/officeDocument/2006/relationships/hyperlink" Target="https://app.thedigitalbiblelibrary.org/api/entries/03a021185023710b/revisions/1" TargetMode="External"/><Relationship Id="rId57" Type="http://schemas.openxmlformats.org/officeDocument/2006/relationships/hyperlink" Target="https://app.thedigitalbiblelibrary.org/api/entries/324f457845cb5d21/revisions/2" TargetMode="External"/><Relationship Id="rId106" Type="http://schemas.openxmlformats.org/officeDocument/2006/relationships/hyperlink" Target="https://app.thedigitalbiblelibrary.org/api/entries/355792a03079ccdd/revisions/2" TargetMode="External"/><Relationship Id="rId127" Type="http://schemas.openxmlformats.org/officeDocument/2006/relationships/hyperlink" Target="https://app.thedigitalbiblelibrary.org/entry?id=d199679f805f5b29" TargetMode="External"/><Relationship Id="rId10" Type="http://schemas.openxmlformats.org/officeDocument/2006/relationships/hyperlink" Target="https://app.thedigitalbiblelibrary.org/api/entries/65bfdebd704a8324/revisions/1" TargetMode="External"/><Relationship Id="rId31" Type="http://schemas.openxmlformats.org/officeDocument/2006/relationships/hyperlink" Target="https://app.thedigitalbiblelibrary.org/api/entries/705aad6832c6e4d2/revisions/3" TargetMode="External"/><Relationship Id="rId52" Type="http://schemas.openxmlformats.org/officeDocument/2006/relationships/hyperlink" Target="https://app.thedigitalbiblelibrary.org/api/entries/abf017938be72f46/revisions/4" TargetMode="External"/><Relationship Id="rId73" Type="http://schemas.openxmlformats.org/officeDocument/2006/relationships/hyperlink" Target="https://app.thedigitalbiblelibrary.org/api/entries/6bc5ae3d6dd9009a/revisions/1" TargetMode="External"/><Relationship Id="rId78" Type="http://schemas.openxmlformats.org/officeDocument/2006/relationships/hyperlink" Target="https://app.thedigitalbiblelibrary.org/api/entries/07225eadadcb079a/revisions/1" TargetMode="External"/><Relationship Id="rId94" Type="http://schemas.openxmlformats.org/officeDocument/2006/relationships/hyperlink" Target="https://app.thedigitalbiblelibrary.org/api/entries/542b32484b6e38c2/revisions/1" TargetMode="External"/><Relationship Id="rId99" Type="http://schemas.openxmlformats.org/officeDocument/2006/relationships/hyperlink" Target="https://app.thedigitalbiblelibrary.org/api/entries/2f0fd81d7b85b923/revisions/1" TargetMode="External"/><Relationship Id="rId101" Type="http://schemas.openxmlformats.org/officeDocument/2006/relationships/hyperlink" Target="https://app.thedigitalbiblelibrary.org/api/entries/e8b818f49c7c2835/revisions/3" TargetMode="External"/><Relationship Id="rId122" Type="http://schemas.openxmlformats.org/officeDocument/2006/relationships/hyperlink" Target="https://app.thedigitalbiblelibrary.org/entry?id=2a65010324d677b6" TargetMode="External"/><Relationship Id="rId143" Type="http://schemas.openxmlformats.org/officeDocument/2006/relationships/hyperlink" Target="https://app.thedigitalbiblelibrary.org/entry?id=105a06b6146d11e7" TargetMode="External"/><Relationship Id="rId148" Type="http://schemas.openxmlformats.org/officeDocument/2006/relationships/hyperlink" Target="https://app.thedigitalbiblelibrary.org/entry?id=01b29f4b342acc35" TargetMode="External"/><Relationship Id="rId164" Type="http://schemas.openxmlformats.org/officeDocument/2006/relationships/hyperlink" Target="https://app.thedigitalbiblelibrary.org/entry?id=3548ab6114a312d4" TargetMode="External"/><Relationship Id="rId169" Type="http://schemas.openxmlformats.org/officeDocument/2006/relationships/hyperlink" Target="https://app.thedigitalbiblelibrary.org/entry?id=41f25b97f468e10b" TargetMode="External"/><Relationship Id="rId185" Type="http://schemas.openxmlformats.org/officeDocument/2006/relationships/hyperlink" Target="https://app.thedigitalbiblelibrary.org/entry?id=5591cba5ae063228" TargetMode="External"/><Relationship Id="rId4" Type="http://schemas.openxmlformats.org/officeDocument/2006/relationships/hyperlink" Target="https://app.thedigitalbiblelibrary.org/api/entries/b7ad344da9c39262/revisions/2" TargetMode="External"/><Relationship Id="rId9" Type="http://schemas.openxmlformats.org/officeDocument/2006/relationships/hyperlink" Target="https://app.thedigitalbiblelibrary.org/api/entries/6855dabfcb711cc2/revisions/1" TargetMode="External"/><Relationship Id="rId180" Type="http://schemas.openxmlformats.org/officeDocument/2006/relationships/hyperlink" Target="https://app.thedigitalbiblelibrary.org/entry?id=c11c93a0b8a04496" TargetMode="External"/><Relationship Id="rId210" Type="http://schemas.openxmlformats.org/officeDocument/2006/relationships/hyperlink" Target="https://app.thedigitalbiblelibrary.org/entry?id=5a27fd2a2de187c8" TargetMode="External"/><Relationship Id="rId215" Type="http://schemas.openxmlformats.org/officeDocument/2006/relationships/hyperlink" Target="https://app.thedigitalbiblelibrary.org/entry?id=306d6ab1ca333a1e" TargetMode="External"/><Relationship Id="rId236" Type="http://schemas.openxmlformats.org/officeDocument/2006/relationships/hyperlink" Target="https://app.thedigitalbiblelibrary.org/entry?id=de0270810140edf9" TargetMode="External"/><Relationship Id="rId26" Type="http://schemas.openxmlformats.org/officeDocument/2006/relationships/hyperlink" Target="https://app.thedigitalbiblelibrary.org/api/entries/4ffcec8e8f3c33e7/revisions/3" TargetMode="External"/><Relationship Id="rId231" Type="http://schemas.openxmlformats.org/officeDocument/2006/relationships/hyperlink" Target="https://app.thedigitalbiblelibrary.org/entry?id=8e3b1a957009c6ca" TargetMode="External"/><Relationship Id="rId47" Type="http://schemas.openxmlformats.org/officeDocument/2006/relationships/hyperlink" Target="https://app.thedigitalbiblelibrary.org/api/entries/c11c93a0b8a04496/revisions/1" TargetMode="External"/><Relationship Id="rId68" Type="http://schemas.openxmlformats.org/officeDocument/2006/relationships/hyperlink" Target="https://app.thedigitalbiblelibrary.org/api/entries/e8b40ccabe793c0d/revisions/6" TargetMode="External"/><Relationship Id="rId89" Type="http://schemas.openxmlformats.org/officeDocument/2006/relationships/hyperlink" Target="https://app.thedigitalbiblelibrary.org/api/entries/2d5220a02a7aaac6/revisions/6" TargetMode="External"/><Relationship Id="rId112" Type="http://schemas.openxmlformats.org/officeDocument/2006/relationships/hyperlink" Target="https://app.thedigitalbiblelibrary.org/api/entries/1c9761e0230da6e0/revisions/1" TargetMode="External"/><Relationship Id="rId133" Type="http://schemas.openxmlformats.org/officeDocument/2006/relationships/hyperlink" Target="https://app.thedigitalbiblelibrary.org/entry?id=da905e46720432e2" TargetMode="External"/><Relationship Id="rId154" Type="http://schemas.openxmlformats.org/officeDocument/2006/relationships/hyperlink" Target="https://app.thedigitalbiblelibrary.org/entry?id=66c22495370cdfc0" TargetMode="External"/><Relationship Id="rId175" Type="http://schemas.openxmlformats.org/officeDocument/2006/relationships/hyperlink" Target="https://app.thedigitalbiblelibrary.org/entry?id=6aa52b968434d882" TargetMode="External"/><Relationship Id="rId196" Type="http://schemas.openxmlformats.org/officeDocument/2006/relationships/hyperlink" Target="https://app.thedigitalbiblelibrary.org/entry?id=4ffcec8e8f3c33e7" TargetMode="External"/><Relationship Id="rId200" Type="http://schemas.openxmlformats.org/officeDocument/2006/relationships/hyperlink" Target="https://app.thedigitalbiblelibrary.org/entry?id=33b6449cacf22773" TargetMode="External"/><Relationship Id="rId16" Type="http://schemas.openxmlformats.org/officeDocument/2006/relationships/hyperlink" Target="https://app.thedigitalbiblelibrary.org/api/entries/ead7b4cc5007389c/revisions/1" TargetMode="External"/><Relationship Id="rId221" Type="http://schemas.openxmlformats.org/officeDocument/2006/relationships/hyperlink" Target="https://app.thedigitalbiblelibrary.org/entry?id=355792a03079ccdd" TargetMode="External"/><Relationship Id="rId242" Type="http://schemas.openxmlformats.org/officeDocument/2006/relationships/hyperlink" Target="https://app.thedigitalbiblelibrary.org/entry?id=c9f3cf58d557a9f3" TargetMode="External"/><Relationship Id="rId37" Type="http://schemas.openxmlformats.org/officeDocument/2006/relationships/hyperlink" Target="https://app.thedigitalbiblelibrary.org/api/entries/5b835ce16a1703ff/revisions/1" TargetMode="External"/><Relationship Id="rId58" Type="http://schemas.openxmlformats.org/officeDocument/2006/relationships/hyperlink" Target="https://app.thedigitalbiblelibrary.org/api/entries/bf8f1c7f3f9045a5/revisions/1" TargetMode="External"/><Relationship Id="rId79" Type="http://schemas.openxmlformats.org/officeDocument/2006/relationships/hyperlink" Target="https://app.thedigitalbiblelibrary.org/api/entries/2c2cf8df5a22a46e/revisions/1" TargetMode="External"/><Relationship Id="rId102" Type="http://schemas.openxmlformats.org/officeDocument/2006/relationships/hyperlink" Target="https://app.thedigitalbiblelibrary.org/api/entries/f2f349d77ac8f8bc/revisions/2" TargetMode="External"/><Relationship Id="rId123" Type="http://schemas.openxmlformats.org/officeDocument/2006/relationships/hyperlink" Target="https://app.thedigitalbiblelibrary.org/entry/download_archive?email=jamie%40critos.co.uk&amp;id=b7ad344da9c39262&amp;key=34db03b417100ad9780610df72a50244&amp;license=4014&amp;revision=2&amp;type=release" TargetMode="External"/><Relationship Id="rId144" Type="http://schemas.openxmlformats.org/officeDocument/2006/relationships/hyperlink" Target="https://app.thedigitalbiblelibrary.org/entry?id=55ec700d9e0d77ea" TargetMode="External"/><Relationship Id="rId90" Type="http://schemas.openxmlformats.org/officeDocument/2006/relationships/hyperlink" Target="https://app.thedigitalbiblelibrary.org/api/entries/fa4317c59f0825e0/revisions/18" TargetMode="External"/><Relationship Id="rId165" Type="http://schemas.openxmlformats.org/officeDocument/2006/relationships/hyperlink" Target="https://app.thedigitalbiblelibrary.org/entry?id=a870900c030548a0" TargetMode="External"/><Relationship Id="rId186" Type="http://schemas.openxmlformats.org/officeDocument/2006/relationships/hyperlink" Target="https://app.thedigitalbiblelibrary.org/entry?id=ed5744967fe39c8c" TargetMode="External"/><Relationship Id="rId211" Type="http://schemas.openxmlformats.org/officeDocument/2006/relationships/hyperlink" Target="https://app.thedigitalbiblelibrary.org/entry?id=07225eadadcb079a" TargetMode="External"/><Relationship Id="rId232" Type="http://schemas.openxmlformats.org/officeDocument/2006/relationships/hyperlink" Target="https://app.thedigitalbiblelibrary.org/entry?id=5b835ce16a1703ff" TargetMode="External"/><Relationship Id="rId27" Type="http://schemas.openxmlformats.org/officeDocument/2006/relationships/hyperlink" Target="https://app.thedigitalbiblelibrary.org/api/entries/6aa52b968434d882/revisions/2" TargetMode="External"/><Relationship Id="rId48" Type="http://schemas.openxmlformats.org/officeDocument/2006/relationships/hyperlink" Target="https://app.thedigitalbiblelibrary.org/api/entries/b5105cd03c972046/revisions/3" TargetMode="External"/><Relationship Id="rId69" Type="http://schemas.openxmlformats.org/officeDocument/2006/relationships/hyperlink" Target="https://app.thedigitalbiblelibrary.org/api/entries/e9ea572977b4f504/revisions/1" TargetMode="External"/><Relationship Id="rId113" Type="http://schemas.openxmlformats.org/officeDocument/2006/relationships/hyperlink" Target="https://app.thedigitalbiblelibrary.org/api/entries/482ddd53705278cc/revisions/2" TargetMode="External"/><Relationship Id="rId134" Type="http://schemas.openxmlformats.org/officeDocument/2006/relationships/hyperlink" Target="https://app.thedigitalbiblelibrary.org/entry?id=33ac978af36830fa" TargetMode="External"/><Relationship Id="rId80" Type="http://schemas.openxmlformats.org/officeDocument/2006/relationships/hyperlink" Target="https://app.thedigitalbiblelibrary.org/api/entries/143e0e03cf5b12ae/revisions/2" TargetMode="External"/><Relationship Id="rId155" Type="http://schemas.openxmlformats.org/officeDocument/2006/relationships/hyperlink" Target="https://app.thedigitalbiblelibrary.org/entry?id=9879dbb7cfe39e4d" TargetMode="External"/><Relationship Id="rId176" Type="http://schemas.openxmlformats.org/officeDocument/2006/relationships/hyperlink" Target="https://app.thedigitalbiblelibrary.org/entry?id=98d1c5bee401f80c" TargetMode="External"/><Relationship Id="rId197" Type="http://schemas.openxmlformats.org/officeDocument/2006/relationships/hyperlink" Target="https://app.thedigitalbiblelibrary.org/entry?id=bb3df4b7c8587c77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dbladmin_intl@sil.org" TargetMode="External"/><Relationship Id="rId6" Type="http://schemas.openxmlformats.org/officeDocument/2006/relationships/image" Target="../media/image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AppData/Roaming/Microsoft/AppData/Roaming/Microsoft/Excel/info@bijbelgenootschap.nl" TargetMode="External"/><Relationship Id="rId299" Type="http://schemas.openxmlformats.org/officeDocument/2006/relationships/hyperlink" Target="http://www.bible.org.ph/" TargetMode="External"/><Relationship Id="rId303" Type="http://schemas.openxmlformats.org/officeDocument/2006/relationships/hyperlink" Target="http://www.royaljongbloed.com/" TargetMode="External"/><Relationship Id="rId21" Type="http://schemas.openxmlformats.org/officeDocument/2006/relationships/hyperlink" Target="../../../../AppData/Roaming/Microsoft/AppData/Roaming/Microsoft/Excel/bsl@biblesociety.org.lb" TargetMode="External"/><Relationship Id="rId42" Type="http://schemas.openxmlformats.org/officeDocument/2006/relationships/hyperlink" Target="../../../../AppData/Roaming/Microsoft/AppData/Roaming/Microsoft/Excel/wskua@biblesocieties.org" TargetMode="External"/><Relationship Id="rId63" Type="http://schemas.openxmlformats.org/officeDocument/2006/relationships/hyperlink" Target="../../../../AppData/Roaming/Microsoft/AppData/Roaming/Microsoft/Excel/hen_akaps@hotmail.com" TargetMode="External"/><Relationship Id="rId84" Type="http://schemas.openxmlformats.org/officeDocument/2006/relationships/hyperlink" Target="../../../../AppData/Roaming/Microsoft/AppData/Roaming/Microsoft/Excel/swmalek@gmail.com" TargetMode="External"/><Relationship Id="rId138" Type="http://schemas.openxmlformats.org/officeDocument/2006/relationships/hyperlink" Target="../../../../AppData/Roaming/Microsoft/AppData/Roaming/Microsoft/Excel/office@biblia.sk" TargetMode="External"/><Relationship Id="rId159" Type="http://schemas.openxmlformats.org/officeDocument/2006/relationships/hyperlink" Target="../../../../AppData/Roaming/Microsoft/AppData/Roaming/Microsoft/Excel/gnyirenda@biblesociety-zambia.org" TargetMode="External"/><Relationship Id="rId324" Type="http://schemas.openxmlformats.org/officeDocument/2006/relationships/hyperlink" Target="http://www.die-bibel.ch/" TargetMode="External"/><Relationship Id="rId170" Type="http://schemas.openxmlformats.org/officeDocument/2006/relationships/hyperlink" Target="http://www.bibleleague.bg/" TargetMode="External"/><Relationship Id="rId191" Type="http://schemas.openxmlformats.org/officeDocument/2006/relationships/hyperlink" Target="http://www.biblesociety.co.za/" TargetMode="External"/><Relationship Id="rId205" Type="http://schemas.openxmlformats.org/officeDocument/2006/relationships/hyperlink" Target="../../../../AppData/Roaming/Microsoft/AppData/Roaming/Microsoft/Excel/wwww.hbd.hr" TargetMode="External"/><Relationship Id="rId226" Type="http://schemas.openxmlformats.org/officeDocument/2006/relationships/hyperlink" Target="http://www.freebibleministry.org/" TargetMode="External"/><Relationship Id="rId247" Type="http://schemas.openxmlformats.org/officeDocument/2006/relationships/hyperlink" Target="https://ibtrussia.org/" TargetMode="External"/><Relationship Id="rId107" Type="http://schemas.openxmlformats.org/officeDocument/2006/relationships/hyperlink" Target="../../../../AppData/Roaming/Microsoft/AppData/Roaming/Microsoft/Excel/mern.mission@gmail.com" TargetMode="External"/><Relationship Id="rId268" Type="http://schemas.openxmlformats.org/officeDocument/2006/relationships/hyperlink" Target="http://www.unitedbiblesocieties.org/society/bible-society-in-liberia/" TargetMode="External"/><Relationship Id="rId289" Type="http://schemas.openxmlformats.org/officeDocument/2006/relationships/hyperlink" Target="../../../../AppData/Roaming/Microsoft/AppData/Roaming/Microsoft/Excel/www.nepalbiblesociety.org" TargetMode="External"/><Relationship Id="rId11" Type="http://schemas.openxmlformats.org/officeDocument/2006/relationships/hyperlink" Target="../../../../AppData/Roaming/Microsoft/AppData/Roaming/Microsoft/Excel/fcossio@biblesocieties.org" TargetMode="External"/><Relationship Id="rId32" Type="http://schemas.openxmlformats.org/officeDocument/2006/relationships/hyperlink" Target="../../../../AppData/Roaming/Microsoft/AppData/Roaming/Microsoft/Excel/info@biblesociety-tanzania.org" TargetMode="External"/><Relationship Id="rId53" Type="http://schemas.openxmlformats.org/officeDocument/2006/relationships/hyperlink" Target="../../../../AppData/Roaming/Microsoft/AppData/Roaming/Microsoft/Excel/comunicaciones@sbuecuador.com" TargetMode="External"/><Relationship Id="rId74" Type="http://schemas.openxmlformats.org/officeDocument/2006/relationships/hyperlink" Target="../../../../AppData/Roaming/Microsoft/AppData/Roaming/Microsoft/Excel/info@sbuhn.org" TargetMode="External"/><Relationship Id="rId128" Type="http://schemas.openxmlformats.org/officeDocument/2006/relationships/hyperlink" Target="../../../../AppData/Roaming/Microsoft/AppData/Roaming/Microsoft/Excel/dblAdmin@sbcol.org" TargetMode="External"/><Relationship Id="rId149" Type="http://schemas.openxmlformats.org/officeDocument/2006/relationships/hyperlink" Target="../../../../AppData/Roaming/Microsoft/AppData/Roaming/Microsoft/Excel/TOV@TovRose.com" TargetMode="External"/><Relationship Id="rId314" Type="http://schemas.openxmlformats.org/officeDocument/2006/relationships/hyperlink" Target="http://www.scottishbiblesociety.org/" TargetMode="External"/><Relationship Id="rId335" Type="http://schemas.openxmlformats.org/officeDocument/2006/relationships/hyperlink" Target="http://www.ukrbs.org/" TargetMode="External"/><Relationship Id="rId5" Type="http://schemas.openxmlformats.org/officeDocument/2006/relationships/hyperlink" Target="../../../../AppData/Roaming/Microsoft/AppData/Roaming/Microsoft/Excel/dbladmin@biblesint.org" TargetMode="External"/><Relationship Id="rId95" Type="http://schemas.openxmlformats.org/officeDocument/2006/relationships/hyperlink" Target="../../../../AppData/Roaming/Microsoft/AppData/Roaming/Microsoft/Excel/Jim.Laesch@lbt.org" TargetMode="External"/><Relationship Id="rId160" Type="http://schemas.openxmlformats.org/officeDocument/2006/relationships/hyperlink" Target="http://www.americanbible.org/" TargetMode="External"/><Relationship Id="rId181" Type="http://schemas.openxmlformats.org/officeDocument/2006/relationships/hyperlink" Target="http://bible.org/" TargetMode="External"/><Relationship Id="rId216" Type="http://schemas.openxmlformats.org/officeDocument/2006/relationships/hyperlink" Target="../../../../AppData/Roaming/Microsoft/AppData/Roaming/Microsoft/Excel/www.sbuecuador.com" TargetMode="External"/><Relationship Id="rId237" Type="http://schemas.openxmlformats.org/officeDocument/2006/relationships/hyperlink" Target="http://societebiblique-haiti.org/" TargetMode="External"/><Relationship Id="rId258" Type="http://schemas.openxmlformats.org/officeDocument/2006/relationships/hyperlink" Target="http://www.bskorea.or.kr/" TargetMode="External"/><Relationship Id="rId279" Type="http://schemas.openxmlformats.org/officeDocument/2006/relationships/hyperlink" Target="../../../../AppData/Roaming/Microsoft/AppData/Roaming/Microsoft/Excel/www.sbm.mx" TargetMode="External"/><Relationship Id="rId22" Type="http://schemas.openxmlformats.org/officeDocument/2006/relationships/hyperlink" Target="../../../../AppData/Roaming/Microsoft/AppData/Roaming/Microsoft/Excel/BSMongolia@gmail.com" TargetMode="External"/><Relationship Id="rId43" Type="http://schemas.openxmlformats.org/officeDocument/2006/relationships/hyperlink" Target="../../../../AppData/Roaming/Microsoft/AppData/Roaming/Microsoft/Excel/rjahns.crossway.org" TargetMode="External"/><Relationship Id="rId64" Type="http://schemas.openxmlformats.org/officeDocument/2006/relationships/hyperlink" Target="../../../../AppData/Roaming/Microsoft/AppData/Roaming/Microsoft/Excel/dbl.admins@globalbibleinitiative.org" TargetMode="External"/><Relationship Id="rId118" Type="http://schemas.openxmlformats.org/officeDocument/2006/relationships/hyperlink" Target="../../../../AppData/Roaming/Microsoft/AppData/Roaming/Microsoft/Excel/freddy.fonseca@sbnic.org" TargetMode="External"/><Relationship Id="rId139" Type="http://schemas.openxmlformats.org/officeDocument/2006/relationships/hyperlink" Target="../../../../AppData/Roaming/Microsoft/AppData/Roaming/Microsoft/Excel/matjaz.crnivec@svetopismo.si" TargetMode="External"/><Relationship Id="rId290" Type="http://schemas.openxmlformats.org/officeDocument/2006/relationships/hyperlink" Target="https://www.bijbelgenootschap.nl/" TargetMode="External"/><Relationship Id="rId304" Type="http://schemas.openxmlformats.org/officeDocument/2006/relationships/hyperlink" Target="http://biblesociety-rwanda.org/" TargetMode="External"/><Relationship Id="rId325" Type="http://schemas.openxmlformats.org/officeDocument/2006/relationships/hyperlink" Target="http://www.talkingbibles.org/" TargetMode="External"/><Relationship Id="rId85" Type="http://schemas.openxmlformats.org/officeDocument/2006/relationships/hyperlink" Target="../../../../AppData/Roaming/Microsoft/AppData/Roaming/Microsoft/Excel/info@bsisrael.com" TargetMode="External"/><Relationship Id="rId150" Type="http://schemas.openxmlformats.org/officeDocument/2006/relationships/hyperlink" Target="../../../../AppData/Roaming/Microsoft/AppData/Roaming/Microsoft/Excel/deborab@kitabimukaddes.com" TargetMode="External"/><Relationship Id="rId171" Type="http://schemas.openxmlformats.org/officeDocument/2006/relationships/hyperlink" Target="http://www.bibleleague.org/" TargetMode="External"/><Relationship Id="rId192" Type="http://schemas.openxmlformats.org/officeDocument/2006/relationships/hyperlink" Target="http://www.biblijskodrustvo.org.rs/" TargetMode="External"/><Relationship Id="rId206" Type="http://schemas.openxmlformats.org/officeDocument/2006/relationships/hyperlink" Target="http://www.crossway.org/" TargetMode="External"/><Relationship Id="rId227" Type="http://schemas.openxmlformats.org/officeDocument/2006/relationships/hyperlink" Target="http://www.unitedbiblesocieties.org/society/bible-society-in-the-gambia/" TargetMode="External"/><Relationship Id="rId248" Type="http://schemas.openxmlformats.org/officeDocument/2006/relationships/hyperlink" Target="http://www.ifb.nu/" TargetMode="External"/><Relationship Id="rId269" Type="http://schemas.openxmlformats.org/officeDocument/2006/relationships/hyperlink" Target="http://www.biblijosdraugija.lt/" TargetMode="External"/><Relationship Id="rId12" Type="http://schemas.openxmlformats.org/officeDocument/2006/relationships/hyperlink" Target="../../../../AppData/Roaming/Microsoft/AppData/Roaming/Microsoft/Excel/stgabriel@biblesocieties.org" TargetMode="External"/><Relationship Id="rId33" Type="http://schemas.openxmlformats.org/officeDocument/2006/relationships/hyperlink" Target="../../../../AppData/Roaming/Microsoft/AppData/Roaming/Microsoft/Excel/joychen@bstwn.org" TargetMode="External"/><Relationship Id="rId108" Type="http://schemas.openxmlformats.org/officeDocument/2006/relationships/hyperlink" Target="../../../../AppData/Roaming/Microsoft/AppData/Roaming/Microsoft/Excel/igalicia@sbm.mx" TargetMode="External"/><Relationship Id="rId129" Type="http://schemas.openxmlformats.org/officeDocument/2006/relationships/hyperlink" Target="../../../../AppData/Roaming/Microsoft/AppData/Roaming/Microsoft/Excel/mugalde@crbiblica.com" TargetMode="External"/><Relationship Id="rId280" Type="http://schemas.openxmlformats.org/officeDocument/2006/relationships/hyperlink" Target="https://home.missionassist.org.uk/" TargetMode="External"/><Relationship Id="rId315" Type="http://schemas.openxmlformats.org/officeDocument/2006/relationships/hyperlink" Target="../../../../AppData/Roaming/Microsoft/AppData/Roaming/Microsoft/Excel/www.sociedadesbiblicas.org.ve" TargetMode="External"/><Relationship Id="rId336" Type="http://schemas.openxmlformats.org/officeDocument/2006/relationships/hyperlink" Target="../../../../AppData/Roaming/Microsoft/AppData/Roaming/Microsoft/Excel/www.ulsterscotslanguage.com" TargetMode="External"/><Relationship Id="rId54" Type="http://schemas.openxmlformats.org/officeDocument/2006/relationships/hyperlink" Target="../../../../AppData/Roaming/Microsoft/AppData/Roaming/Microsoft/Excel/lilian@mundocristao.com.br" TargetMode="External"/><Relationship Id="rId75" Type="http://schemas.openxmlformats.org/officeDocument/2006/relationships/hyperlink" Target="../../../../AppData/Roaming/Microsoft/AppData/Roaming/Microsoft/Excel/tom.gilbert@lifeway.com" TargetMode="External"/><Relationship Id="rId96" Type="http://schemas.openxmlformats.org/officeDocument/2006/relationships/hyperlink" Target="../../../../AppData/Roaming/Microsoft/AppData/Roaming/Microsoft/Excel/dbladmin@biblesocieties.org" TargetMode="External"/><Relationship Id="rId140" Type="http://schemas.openxmlformats.org/officeDocument/2006/relationships/hyperlink" Target="../../../../AppData/Roaming/Microsoft/AppData/Roaming/Microsoft/Excel/ekajivora@hotmail.com" TargetMode="External"/><Relationship Id="rId161" Type="http://schemas.openxmlformats.org/officeDocument/2006/relationships/hyperlink" Target="../../../../AppData/Roaming/Microsoft/AppData/Roaming/Microsoft/Excel/www.biblia.kz" TargetMode="External"/><Relationship Id="rId182" Type="http://schemas.openxmlformats.org/officeDocument/2006/relationships/hyperlink" Target="http://www.biblesociety-gabon.org/" TargetMode="External"/><Relationship Id="rId217" Type="http://schemas.openxmlformats.org/officeDocument/2006/relationships/hyperlink" Target="http://www.mundocristao.com.br/" TargetMode="External"/><Relationship Id="rId6" Type="http://schemas.openxmlformats.org/officeDocument/2006/relationships/hyperlink" Target="../../../../AppData/Roaming/Microsoft/AppData/Roaming/Microsoft/Excel/infor@biblecambodia.org" TargetMode="External"/><Relationship Id="rId238" Type="http://schemas.openxmlformats.org/officeDocument/2006/relationships/hyperlink" Target="http://www.hermon.no/" TargetMode="External"/><Relationship Id="rId259" Type="http://schemas.openxmlformats.org/officeDocument/2006/relationships/hyperlink" Target="http://www.kcm.kr/" TargetMode="External"/><Relationship Id="rId23" Type="http://schemas.openxmlformats.org/officeDocument/2006/relationships/hyperlink" Target="../../../../AppData/Roaming/Microsoft/AppData/Roaming/Microsoft/Excel/Info@bsni.co.uk" TargetMode="External"/><Relationship Id="rId119" Type="http://schemas.openxmlformats.org/officeDocument/2006/relationships/hyperlink" Target="../../../../AppData/Roaming/Microsoft/AppData/Roaming/Microsoft/Excel/pbt@pbti.org" TargetMode="External"/><Relationship Id="rId270" Type="http://schemas.openxmlformats.org/officeDocument/2006/relationships/hyperlink" Target="http://www.lockman.org/" TargetMode="External"/><Relationship Id="rId291" Type="http://schemas.openxmlformats.org/officeDocument/2006/relationships/hyperlink" Target="http://www.biblesocietynet.org/" TargetMode="External"/><Relationship Id="rId305" Type="http://schemas.openxmlformats.org/officeDocument/2006/relationships/hyperlink" Target="../../../../AppData/Roaming/Microsoft/AppData/Roaming/Microsoft/Excel/www.ansagart.ie/teagmhail" TargetMode="External"/><Relationship Id="rId326" Type="http://schemas.openxmlformats.org/officeDocument/2006/relationships/hyperlink" Target="http://thedigitalbiblelibrary.org/" TargetMode="External"/><Relationship Id="rId44" Type="http://schemas.openxmlformats.org/officeDocument/2006/relationships/hyperlink" Target="../../../../AppData/Roaming/Microsoft/AppData/Roaming/Microsoft/Excel/alex.lim@bible.org.sg" TargetMode="External"/><Relationship Id="rId65" Type="http://schemas.openxmlformats.org/officeDocument/2006/relationships/hyperlink" Target="../../../../AppData/Roaming/Microsoft/AppData/Roaming/Microsoft/Excel/dbl@dbg.de" TargetMode="External"/><Relationship Id="rId86" Type="http://schemas.openxmlformats.org/officeDocument/2006/relationships/hyperlink" Target="../../../../AppData/Roaming/Microsoft/AppData/Roaming/Microsoft/Excel/v.bertalot@societabiblica.eu" TargetMode="External"/><Relationship Id="rId130" Type="http://schemas.openxmlformats.org/officeDocument/2006/relationships/hyperlink" Target="../../../../AppData/Roaming/Microsoft/AppData/Roaming/Microsoft/Excel/lj@bible.ch" TargetMode="External"/><Relationship Id="rId151" Type="http://schemas.openxmlformats.org/officeDocument/2006/relationships/hyperlink" Target="../../../../AppData/Roaming/Microsoft/AppData/Roaming/Microsoft/Excel/admin-us@twftw.org" TargetMode="External"/><Relationship Id="rId172" Type="http://schemas.openxmlformats.org/officeDocument/2006/relationships/hyperlink" Target="http://www.biblesociety.org.nz/" TargetMode="External"/><Relationship Id="rId193" Type="http://schemas.openxmlformats.org/officeDocument/2006/relationships/hyperlink" Target="http://www.bible.org.fj/" TargetMode="External"/><Relationship Id="rId207" Type="http://schemas.openxmlformats.org/officeDocument/2006/relationships/hyperlink" Target="http://www.alliancebibliqueci.org/" TargetMode="External"/><Relationship Id="rId228" Type="http://schemas.openxmlformats.org/officeDocument/2006/relationships/hyperlink" Target="http://www.globalbibleinitiative.org/" TargetMode="External"/><Relationship Id="rId249" Type="http://schemas.openxmlformats.org/officeDocument/2006/relationships/hyperlink" Target="http://www.biblian.is/" TargetMode="External"/><Relationship Id="rId13" Type="http://schemas.openxmlformats.org/officeDocument/2006/relationships/hyperlink" Target="../../../../AppData/Roaming/Microsoft/AppData/Roaming/Microsoft/Excel/brgbible@gmail.com" TargetMode="External"/><Relationship Id="rId109" Type="http://schemas.openxmlformats.org/officeDocument/2006/relationships/hyperlink" Target="../../../../AppData/Roaming/Microsoft/AppData/Roaming/Microsoft/Excel/DBLAdmin@missionassist.org.uk" TargetMode="External"/><Relationship Id="rId260" Type="http://schemas.openxmlformats.org/officeDocument/2006/relationships/hyperlink" Target="http://www.biblesociety-kenya.org/" TargetMode="External"/><Relationship Id="rId281" Type="http://schemas.openxmlformats.org/officeDocument/2006/relationships/hyperlink" Target="https://www.biblesociety.ma/" TargetMode="External"/><Relationship Id="rId316" Type="http://schemas.openxmlformats.org/officeDocument/2006/relationships/hyperlink" Target="http://www.scm-brockhaus.de/" TargetMode="External"/><Relationship Id="rId337" Type="http://schemas.openxmlformats.org/officeDocument/2006/relationships/hyperlink" Target="http://www.biblevietnam.org/" TargetMode="External"/><Relationship Id="rId34" Type="http://schemas.openxmlformats.org/officeDocument/2006/relationships/hyperlink" Target="../../../../AppData/Roaming/Microsoft/AppData/Roaming/Microsoft/Excel/gensec@biblesociety-zimbabwe.org" TargetMode="External"/><Relationship Id="rId55" Type="http://schemas.openxmlformats.org/officeDocument/2006/relationships/hyperlink" Target="../../../../AppData/Roaming/Microsoft/AppData/Roaming/Microsoft/Excel/admin@bsoe.org" TargetMode="External"/><Relationship Id="rId76" Type="http://schemas.openxmlformats.org/officeDocument/2006/relationships/hyperlink" Target="../../../../AppData/Roaming/Microsoft/AppData/Roaming/Microsoft/Excel/info@bibliatarsulat.hu" TargetMode="External"/><Relationship Id="rId97" Type="http://schemas.openxmlformats.org/officeDocument/2006/relationships/hyperlink" Target="../../../../AppData/Roaming/Microsoft/AppData/Roaming/Microsoft/Excel/inahaneng@yahoo.com" TargetMode="External"/><Relationship Id="rId120" Type="http://schemas.openxmlformats.org/officeDocument/2006/relationships/hyperlink" Target="../../../../AppData/Roaming/Microsoft/AppData/Roaming/Microsoft/Excel/toddlprice@gmail.com" TargetMode="External"/><Relationship Id="rId141" Type="http://schemas.openxmlformats.org/officeDocument/2006/relationships/hyperlink" Target="../../../../AppData/Roaming/Microsoft/AppData/Roaming/Microsoft/Excel/ismailkanani@biblesocieties.org" TargetMode="External"/><Relationship Id="rId7" Type="http://schemas.openxmlformats.org/officeDocument/2006/relationships/hyperlink" Target="../../../../AppData/Roaming/Microsoft/AppData/Roaming/Microsoft/Excel/Lee.Harris@biblica.com" TargetMode="External"/><Relationship Id="rId162" Type="http://schemas.openxmlformats.org/officeDocument/2006/relationships/hyperlink" Target="http://www.aramaicbible.org/" TargetMode="External"/><Relationship Id="rId183" Type="http://schemas.openxmlformats.org/officeDocument/2006/relationships/hyperlink" Target="../../../../AppData/Roaming/Microsoft/AppData/Roaming/Microsoft/Excel/www.bible.kg" TargetMode="External"/><Relationship Id="rId218" Type="http://schemas.openxmlformats.org/officeDocument/2006/relationships/hyperlink" Target="http://www.bsoe.org/" TargetMode="External"/><Relationship Id="rId239" Type="http://schemas.openxmlformats.org/officeDocument/2006/relationships/hyperlink" Target="../../../../AppData/Roaming/Microsoft/AppData/Roaming/Microsoft/Excel/www.hkbs.org.hk" TargetMode="External"/><Relationship Id="rId250" Type="http://schemas.openxmlformats.org/officeDocument/2006/relationships/hyperlink" Target="https://www.imb.org/" TargetMode="External"/><Relationship Id="rId271" Type="http://schemas.openxmlformats.org/officeDocument/2006/relationships/hyperlink" Target="http://lumoproject.com/" TargetMode="External"/><Relationship Id="rId292" Type="http://schemas.openxmlformats.org/officeDocument/2006/relationships/hyperlink" Target="http://www.sociedadbiblica.org.ni/" TargetMode="External"/><Relationship Id="rId306" Type="http://schemas.openxmlformats.org/officeDocument/2006/relationships/hyperlink" Target="http://www.sanskritbible.in/" TargetMode="External"/><Relationship Id="rId24" Type="http://schemas.openxmlformats.org/officeDocument/2006/relationships/hyperlink" Target="../../../../AppData/Roaming/Microsoft/AppData/Roaming/Microsoft/Excel/ajiboye@biblesociety-nigeria.org" TargetMode="External"/><Relationship Id="rId45" Type="http://schemas.openxmlformats.org/officeDocument/2006/relationships/hyperlink" Target="../../../../AppData/Roaming/Microsoft/AppData/Roaming/Microsoft/Excel/dngbesso@biblesocieties.org" TargetMode="External"/><Relationship Id="rId66" Type="http://schemas.openxmlformats.org/officeDocument/2006/relationships/hyperlink" Target="../../../../AppData/Roaming/Microsoft/AppData/Roaming/Microsoft/Excel/dokurugu@biblesociety-ghana.org" TargetMode="External"/><Relationship Id="rId87" Type="http://schemas.openxmlformats.org/officeDocument/2006/relationships/hyperlink" Target="../../../../AppData/Roaming/Microsoft/AppData/Roaming/Microsoft/Excel/transl@bible.or.jp" TargetMode="External"/><Relationship Id="rId110" Type="http://schemas.openxmlformats.org/officeDocument/2006/relationships/hyperlink" Target="../../../../AppData/Roaming/Microsoft/AppData/Roaming/Microsoft/Excel/bsmor@biblesocieties.org" TargetMode="External"/><Relationship Id="rId131" Type="http://schemas.openxmlformats.org/officeDocument/2006/relationships/hyperlink" Target="../../../../AppData/Roaming/Microsoft/AppData/Roaming/Microsoft/Excel/info@planetabiblias.org" TargetMode="External"/><Relationship Id="rId327" Type="http://schemas.openxmlformats.org/officeDocument/2006/relationships/hyperlink" Target="http://www.thaibible.or.th/" TargetMode="External"/><Relationship Id="rId152" Type="http://schemas.openxmlformats.org/officeDocument/2006/relationships/hyperlink" Target="../../../../AppData/Roaming/Microsoft/AppData/Roaming/Microsoft/Excel/dbl@biblesocieties.org" TargetMode="External"/><Relationship Id="rId173" Type="http://schemas.openxmlformats.org/officeDocument/2006/relationships/hyperlink" Target="http://sociedadbiblicaboliviana.org/" TargetMode="External"/><Relationship Id="rId194" Type="http://schemas.openxmlformats.org/officeDocument/2006/relationships/hyperlink" Target="http://biblesociety-tanzania.org/" TargetMode="External"/><Relationship Id="rId208" Type="http://schemas.openxmlformats.org/officeDocument/2006/relationships/hyperlink" Target="https://davarpartners.com/" TargetMode="External"/><Relationship Id="rId229" Type="http://schemas.openxmlformats.org/officeDocument/2006/relationships/hyperlink" Target="http://www.die-bibel.de/" TargetMode="External"/><Relationship Id="rId240" Type="http://schemas.openxmlformats.org/officeDocument/2006/relationships/hyperlink" Target="http://www.sbuhn.org/" TargetMode="External"/><Relationship Id="rId261" Type="http://schemas.openxmlformats.org/officeDocument/2006/relationships/hyperlink" Target="../../../../AppData/Roaming/Microsoft/AppData/Roaming/Microsoft/Excel/www.kindredproductions.com" TargetMode="External"/><Relationship Id="rId14" Type="http://schemas.openxmlformats.org/officeDocument/2006/relationships/hyperlink" Target="../../../../AppData/Roaming/Microsoft/AppData/Roaming/Microsoft/Excel/abbf@biblesociety-bf.org" TargetMode="External"/><Relationship Id="rId35" Type="http://schemas.openxmlformats.org/officeDocument/2006/relationships/hyperlink" Target="../../../../AppData/Roaming/Microsoft/AppData/Roaming/Microsoft/Excel/russkayabiblia@gmail.com" TargetMode="External"/><Relationship Id="rId56" Type="http://schemas.openxmlformats.org/officeDocument/2006/relationships/hyperlink" Target="../../../../AppData/Roaming/Microsoft/AppData/Roaming/Microsoft/Excel/dbladmin@biblesocieties.org" TargetMode="External"/><Relationship Id="rId77" Type="http://schemas.openxmlformats.org/officeDocument/2006/relationships/hyperlink" Target="../../../../AppData/Roaming/Microsoft/AppData/Roaming/Microsoft/Excel/gjergj@biblesocieties.org" TargetMode="External"/><Relationship Id="rId100" Type="http://schemas.openxmlformats.org/officeDocument/2006/relationships/hyperlink" Target="../../../../AppData/Roaming/Microsoft/AppData/Roaming/Microsoft/Excel/tomas@biblijosdraugija.lt" TargetMode="External"/><Relationship Id="rId282" Type="http://schemas.openxmlformats.org/officeDocument/2006/relationships/hyperlink" Target="http://www.unitedbiblesocieties.org/society/bible-society-in-mozambique/" TargetMode="External"/><Relationship Id="rId317" Type="http://schemas.openxmlformats.org/officeDocument/2006/relationships/hyperlink" Target="../../../../AppData/Roaming/Microsoft/AppData/Roaming/Microsoft/Excel/www.sim.org" TargetMode="External"/><Relationship Id="rId338" Type="http://schemas.openxmlformats.org/officeDocument/2006/relationships/hyperlink" Target="http://www.wycliffe.org/" TargetMode="External"/><Relationship Id="rId8" Type="http://schemas.openxmlformats.org/officeDocument/2006/relationships/hyperlink" Target="../../../../AppData/Roaming/Microsoft/AppData/Roaming/Microsoft/Excel/toni.petkova11@gmail.com" TargetMode="External"/><Relationship Id="rId98" Type="http://schemas.openxmlformats.org/officeDocument/2006/relationships/hyperlink" Target="../../../../AppData/Roaming/Microsoft/AppData/Roaming/Microsoft/Excel/johan.thoren@levbible.org" TargetMode="External"/><Relationship Id="rId121" Type="http://schemas.openxmlformats.org/officeDocument/2006/relationships/hyperlink" Target="../../../../AppData/Roaming/Microsoft/AppData/Roaming/Microsoft/Excel/dbladmin@recordedword.com" TargetMode="External"/><Relationship Id="rId142" Type="http://schemas.openxmlformats.org/officeDocument/2006/relationships/hyperlink" Target="../../../../AppData/Roaming/Microsoft/AppData/Roaming/Microsoft/Excel/mikael.winninge@bibeln.se" TargetMode="External"/><Relationship Id="rId163" Type="http://schemas.openxmlformats.org/officeDocument/2006/relationships/hyperlink" Target="http://www.sba.org.ar/" TargetMode="External"/><Relationship Id="rId184" Type="http://schemas.openxmlformats.org/officeDocument/2006/relationships/hyperlink" Target="http://www.biblesociety.org.lb/" TargetMode="External"/><Relationship Id="rId219" Type="http://schemas.openxmlformats.org/officeDocument/2006/relationships/hyperlink" Target="../../../../AppData/Roaming/Microsoft/AppData/Roaming/Microsoft/Excel/www.feib.pl" TargetMode="External"/><Relationship Id="rId3" Type="http://schemas.openxmlformats.org/officeDocument/2006/relationships/hyperlink" Target="../../../../AppData/Roaming/Microsoft/AppData/Roaming/Microsoft/Excel/abbenin@intnet.bj" TargetMode="External"/><Relationship Id="rId214" Type="http://schemas.openxmlformats.org/officeDocument/2006/relationships/hyperlink" Target="https://www.distantshores.org/" TargetMode="External"/><Relationship Id="rId230" Type="http://schemas.openxmlformats.org/officeDocument/2006/relationships/hyperlink" Target="http://www.bible.ge/" TargetMode="External"/><Relationship Id="rId235" Type="http://schemas.openxmlformats.org/officeDocument/2006/relationships/hyperlink" Target="http://www.sbiblica.org/" TargetMode="External"/><Relationship Id="rId251" Type="http://schemas.openxmlformats.org/officeDocument/2006/relationships/hyperlink" Target="http://www.bsind.org/" TargetMode="External"/><Relationship Id="rId256" Type="http://schemas.openxmlformats.org/officeDocument/2006/relationships/hyperlink" Target="../../../../AppData/Roaming/Microsoft/AppData/Roaming/Microsoft/Excel/www.belreform.org" TargetMode="External"/><Relationship Id="rId277" Type="http://schemas.openxmlformats.org/officeDocument/2006/relationships/hyperlink" Target="http://www.megavoice.com/" TargetMode="External"/><Relationship Id="rId298" Type="http://schemas.openxmlformats.org/officeDocument/2006/relationships/hyperlink" Target="http://www.sbp.org.pe/" TargetMode="External"/><Relationship Id="rId25" Type="http://schemas.openxmlformats.org/officeDocument/2006/relationships/hyperlink" Target="../../../../AppData/Roaming/Microsoft/AppData/Roaming/Microsoft/Excel/dbl@biblesocieties.org" TargetMode="External"/><Relationship Id="rId46" Type="http://schemas.openxmlformats.org/officeDocument/2006/relationships/hyperlink" Target="../../../../AppData/Roaming/Microsoft/AppData/Roaming/Microsoft/Excel/nathan@davarpartners.com" TargetMode="External"/><Relationship Id="rId67" Type="http://schemas.openxmlformats.org/officeDocument/2006/relationships/hyperlink" Target="../../../../AppData/Roaming/Microsoft/AppData/Roaming/Microsoft/Excel/golygydd@beibl.net" TargetMode="External"/><Relationship Id="rId116" Type="http://schemas.openxmlformats.org/officeDocument/2006/relationships/hyperlink" Target="../../../../AppData/Roaming/Microsoft/AppData/Roaming/Microsoft/Excel/nrsvcopyright@mosaicrights.com" TargetMode="External"/><Relationship Id="rId137" Type="http://schemas.openxmlformats.org/officeDocument/2006/relationships/hyperlink" Target="../../../../AppData/Roaming/Microsoft/AppData/Roaming/Microsoft/Excel/dbladmin@karnbibeln.se" TargetMode="External"/><Relationship Id="rId158" Type="http://schemas.openxmlformats.org/officeDocument/2006/relationships/hyperlink" Target="../../../../AppData/Roaming/Microsoft/AppData/Roaming/Microsoft/Excel/biblehouse@biblesocietywi.org" TargetMode="External"/><Relationship Id="rId272" Type="http://schemas.openxmlformats.org/officeDocument/2006/relationships/hyperlink" Target="http://www.mampielybaiboly.mg/" TargetMode="External"/><Relationship Id="rId293" Type="http://schemas.openxmlformats.org/officeDocument/2006/relationships/hyperlink" Target="http://www.bibelselskapet.no/" TargetMode="External"/><Relationship Id="rId302" Type="http://schemas.openxmlformats.org/officeDocument/2006/relationships/hyperlink" Target="http://recordedword.com/" TargetMode="External"/><Relationship Id="rId307" Type="http://schemas.openxmlformats.org/officeDocument/2006/relationships/hyperlink" Target="http://www.sbb.org.br/" TargetMode="External"/><Relationship Id="rId323" Type="http://schemas.openxmlformats.org/officeDocument/2006/relationships/hyperlink" Target="http://www.bibelsallskapet.se/" TargetMode="External"/><Relationship Id="rId328" Type="http://schemas.openxmlformats.org/officeDocument/2006/relationships/hyperlink" Target="http://www.jesusfilm.org/" TargetMode="External"/><Relationship Id="rId20" Type="http://schemas.openxmlformats.org/officeDocument/2006/relationships/hyperlink" Target="../../../../AppData/Roaming/Microsoft/AppData/Roaming/Microsoft/Excel/biblesociety7@yahoo.com" TargetMode="External"/><Relationship Id="rId41" Type="http://schemas.openxmlformats.org/officeDocument/2006/relationships/hyperlink" Target="../../../../AppData/Roaming/Microsoft/AppData/Roaming/Microsoft/Excel/abicongo@biblesocieties.org" TargetMode="External"/><Relationship Id="rId62" Type="http://schemas.openxmlformats.org/officeDocument/2006/relationships/hyperlink" Target="../../../../AppData/Roaming/Microsoft/AppData/Roaming/Microsoft/Excel/info@freebibleministry.org" TargetMode="External"/><Relationship Id="rId83" Type="http://schemas.openxmlformats.org/officeDocument/2006/relationships/hyperlink" Target="../../../../AppData/Roaming/Microsoft/AppData/Roaming/Microsoft/Excel/DBLadmin@imb.org" TargetMode="External"/><Relationship Id="rId88" Type="http://schemas.openxmlformats.org/officeDocument/2006/relationships/hyperlink" Target="../../../../AppData/Roaming/Microsoft/AppData/Roaming/Microsoft/Excel/dengi75@ya.ru" TargetMode="External"/><Relationship Id="rId111" Type="http://schemas.openxmlformats.org/officeDocument/2006/relationships/hyperlink" Target="../../../../AppData/Roaming/Microsoft/AppData/Roaming/Microsoft/Excel/sbmoz@tvcabo.co.mz" TargetMode="External"/><Relationship Id="rId132" Type="http://schemas.openxmlformats.org/officeDocument/2006/relationships/hyperlink" Target="../../../../AppData/Roaming/Microsoft/AppData/Roaming/Microsoft/Excel/john.kutsko@sbl-site.org" TargetMode="External"/><Relationship Id="rId153" Type="http://schemas.openxmlformats.org/officeDocument/2006/relationships/hyperlink" Target="../../../../AppData/Roaming/Microsoft/AppData/Roaming/Microsoft/Excel/info@biblesociety-uganda.org" TargetMode="External"/><Relationship Id="rId174" Type="http://schemas.openxmlformats.org/officeDocument/2006/relationships/hyperlink" Target="http://www.unitedbiblesocieties.org/society/bible-society-in-botswana/" TargetMode="External"/><Relationship Id="rId179" Type="http://schemas.openxmlformats.org/officeDocument/2006/relationships/hyperlink" Target="http://www.biblesociety.am/" TargetMode="External"/><Relationship Id="rId195" Type="http://schemas.openxmlformats.org/officeDocument/2006/relationships/hyperlink" Target="../../../../AppData/Roaming/Microsoft/AppData/Roaming/Microsoft/Excel/www.bstwn.org" TargetMode="External"/><Relationship Id="rId209" Type="http://schemas.openxmlformats.org/officeDocument/2006/relationships/hyperlink" Target="http://www.thedigitalbiblelibrary.org/" TargetMode="External"/><Relationship Id="rId190" Type="http://schemas.openxmlformats.org/officeDocument/2006/relationships/hyperlink" Target="http://www.bible.org.sg/" TargetMode="External"/><Relationship Id="rId204" Type="http://schemas.openxmlformats.org/officeDocument/2006/relationships/hyperlink" Target="http://www.ubscp.org/" TargetMode="External"/><Relationship Id="rId220" Type="http://schemas.openxmlformats.org/officeDocument/2006/relationships/hyperlink" Target="http://www.dblipc.org/" TargetMode="External"/><Relationship Id="rId225" Type="http://schemas.openxmlformats.org/officeDocument/2006/relationships/hyperlink" Target="../../../../AppData/Roaming/Microsoft/AppData/Roaming/Microsoft/Excel/www.alliancebiblique.fr" TargetMode="External"/><Relationship Id="rId241" Type="http://schemas.openxmlformats.org/officeDocument/2006/relationships/hyperlink" Target="http://csbible.com/" TargetMode="External"/><Relationship Id="rId246" Type="http://schemas.openxmlformats.org/officeDocument/2006/relationships/hyperlink" Target="http://www.rki.fi/" TargetMode="External"/><Relationship Id="rId267" Type="http://schemas.openxmlformats.org/officeDocument/2006/relationships/hyperlink" Target="http://levbible.org/" TargetMode="External"/><Relationship Id="rId288" Type="http://schemas.openxmlformats.org/officeDocument/2006/relationships/hyperlink" Target="http://www.nrsvbibles.org/" TargetMode="External"/><Relationship Id="rId15" Type="http://schemas.openxmlformats.org/officeDocument/2006/relationships/hyperlink" Target="../../../../AppData/Roaming/Microsoft/AppData/Roaming/Microsoft/Excel/nigmatovs@protonmail.com" TargetMode="External"/><Relationship Id="rId36" Type="http://schemas.openxmlformats.org/officeDocument/2006/relationships/hyperlink" Target="../../../../AppData/Roaming/Microsoft/AppData/Roaming/Microsoft/Excel/apostolov@biblesociety.bg" TargetMode="External"/><Relationship Id="rId57" Type="http://schemas.openxmlformats.org/officeDocument/2006/relationships/hyperlink" Target="../../../../AppData/Roaming/Microsoft/AppData/Roaming/Microsoft/Excel/contact@elam.com" TargetMode="External"/><Relationship Id="rId106" Type="http://schemas.openxmlformats.org/officeDocument/2006/relationships/hyperlink" Target="../../../../AppData/Roaming/Microsoft/AppData/Roaming/Microsoft/Excel/ezagofsky@megavoice.com" TargetMode="External"/><Relationship Id="rId127" Type="http://schemas.openxmlformats.org/officeDocument/2006/relationships/hyperlink" Target="../../../../AppData/Roaming/Microsoft/AppData/Roaming/Microsoft/Excel/mbakiono@biblesocieties.org" TargetMode="External"/><Relationship Id="rId262" Type="http://schemas.openxmlformats.org/officeDocument/2006/relationships/hyperlink" Target="http://www.alkitab.or.id/" TargetMode="External"/><Relationship Id="rId283" Type="http://schemas.openxmlformats.org/officeDocument/2006/relationships/hyperlink" Target="../../../../AppData/Roaming/Microsoft/AppData/Roaming/Microsoft/Excel/www.mongol.bible" TargetMode="External"/><Relationship Id="rId313" Type="http://schemas.openxmlformats.org/officeDocument/2006/relationships/hyperlink" Target="http://sociedadbiblicard.org/" TargetMode="External"/><Relationship Id="rId318" Type="http://schemas.openxmlformats.org/officeDocument/2006/relationships/hyperlink" Target="http://www.karnbibeln.se/" TargetMode="External"/><Relationship Id="rId339" Type="http://schemas.openxmlformats.org/officeDocument/2006/relationships/hyperlink" Target="http://www.biblesocietywi.com/" TargetMode="External"/><Relationship Id="rId10" Type="http://schemas.openxmlformats.org/officeDocument/2006/relationships/hyperlink" Target="../../../../AppData/Roaming/Microsoft/AppData/Roaming/Microsoft/Excel/jwatson@biblesociety.org.nz" TargetMode="External"/><Relationship Id="rId31" Type="http://schemas.openxmlformats.org/officeDocument/2006/relationships/hyperlink" Target="../../../../AppData/Roaming/Microsoft/AppData/Roaming/Microsoft/Excel/mkatonivere@bible.org.fj" TargetMode="External"/><Relationship Id="rId52" Type="http://schemas.openxmlformats.org/officeDocument/2006/relationships/hyperlink" Target="../../../../AppData/Roaming/Microsoft/AppData/Roaming/Microsoft/Excel/Michael@eBible.org" TargetMode="External"/><Relationship Id="rId73" Type="http://schemas.openxmlformats.org/officeDocument/2006/relationships/hyperlink" Target="../../../../AppData/Roaming/Microsoft/AppData/Roaming/Microsoft/Excel/ignatius@hkbs.org.hk" TargetMode="External"/><Relationship Id="rId78" Type="http://schemas.openxmlformats.org/officeDocument/2006/relationships/hyperlink" Target="../../../../AppData/Roaming/Microsoft/AppData/Roaming/Microsoft/Excel/akirillov2014@gmail.com" TargetMode="External"/><Relationship Id="rId94" Type="http://schemas.openxmlformats.org/officeDocument/2006/relationships/hyperlink" Target="../../../../AppData/Roaming/Microsoft/AppData/Roaming/Microsoft/Excel/anwartjen@alkitab.or.id" TargetMode="External"/><Relationship Id="rId99" Type="http://schemas.openxmlformats.org/officeDocument/2006/relationships/hyperlink" Target="../../../../AppData/Roaming/Microsoft/AppData/Roaming/Microsoft/Excel/pstevens@biblesocieties.org" TargetMode="External"/><Relationship Id="rId101" Type="http://schemas.openxmlformats.org/officeDocument/2006/relationships/hyperlink" Target="../../../../AppData/Roaming/Microsoft/AppData/Roaming/Microsoft/Excel/digitalbiblelibrary@lockman.org" TargetMode="External"/><Relationship Id="rId122" Type="http://schemas.openxmlformats.org/officeDocument/2006/relationships/hyperlink" Target="../../../../AppData/Roaming/Microsoft/AppData/Roaming/Microsoft/Excel/gjjkarsten@jongbloed.com" TargetMode="External"/><Relationship Id="rId143" Type="http://schemas.openxmlformats.org/officeDocument/2006/relationships/hyperlink" Target="../../../../AppData/Roaming/Microsoft/AppData/Roaming/Microsoft/Excel/eva.thomi@die-bibel.ch" TargetMode="External"/><Relationship Id="rId148" Type="http://schemas.openxmlformats.org/officeDocument/2006/relationships/hyperlink" Target="../../../../AppData/Roaming/Microsoft/AppData/Roaming/Microsoft/Excel/chris.deckert@cru.org" TargetMode="External"/><Relationship Id="rId164" Type="http://schemas.openxmlformats.org/officeDocument/2006/relationships/hyperlink" Target="http://biblesociety.org.bd/" TargetMode="External"/><Relationship Id="rId169" Type="http://schemas.openxmlformats.org/officeDocument/2006/relationships/hyperlink" Target="http://www.biblica.com/" TargetMode="External"/><Relationship Id="rId185" Type="http://schemas.openxmlformats.org/officeDocument/2006/relationships/hyperlink" Target="http://biblesocietymongolia.org/bsmhome.shtml" TargetMode="External"/><Relationship Id="rId334" Type="http://schemas.openxmlformats.org/officeDocument/2006/relationships/hyperlink" Target="http://www.biblesociety-uganda.org/" TargetMode="External"/><Relationship Id="rId4" Type="http://schemas.openxmlformats.org/officeDocument/2006/relationships/hyperlink" Target="../../../../AppData/Roaming/Microsoft/AppData/Roaming/Microsoft/Excel/derek.hill@biblesociety.org.uk" TargetMode="External"/><Relationship Id="rId9" Type="http://schemas.openxmlformats.org/officeDocument/2006/relationships/hyperlink" Target="../../../../AppData/Roaming/Microsoft/AppData/Roaming/Microsoft/Excel/bmclemore@bibleleague.org" TargetMode="External"/><Relationship Id="rId180" Type="http://schemas.openxmlformats.org/officeDocument/2006/relationships/hyperlink" Target="http://biblesociety-ethiopia.org/" TargetMode="External"/><Relationship Id="rId210" Type="http://schemas.openxmlformats.org/officeDocument/2006/relationships/hyperlink" Target="http://www.thedigitalbiblelibrary.org/" TargetMode="External"/><Relationship Id="rId215" Type="http://schemas.openxmlformats.org/officeDocument/2006/relationships/hyperlink" Target="http://ebible.org/" TargetMode="External"/><Relationship Id="rId236" Type="http://schemas.openxmlformats.org/officeDocument/2006/relationships/hyperlink" Target="http://www.gvm.website/" TargetMode="External"/><Relationship Id="rId257" Type="http://schemas.openxmlformats.org/officeDocument/2006/relationships/hyperlink" Target="http://www.jps.org/" TargetMode="External"/><Relationship Id="rId278" Type="http://schemas.openxmlformats.org/officeDocument/2006/relationships/hyperlink" Target="http://www.zgg.nl/" TargetMode="External"/><Relationship Id="rId26" Type="http://schemas.openxmlformats.org/officeDocument/2006/relationships/hyperlink" Target="../../../../AppData/Roaming/Microsoft/AppData/Roaming/Microsoft/Excel/pzlateski@yahoo.it" TargetMode="External"/><Relationship Id="rId231" Type="http://schemas.openxmlformats.org/officeDocument/2006/relationships/hyperlink" Target="http://www.biblesociety-ghana.org/" TargetMode="External"/><Relationship Id="rId252" Type="http://schemas.openxmlformats.org/officeDocument/2006/relationships/hyperlink" Target="http://www.sharifbible.com/" TargetMode="External"/><Relationship Id="rId273" Type="http://schemas.openxmlformats.org/officeDocument/2006/relationships/hyperlink" Target="http://www.biblesociety-mali.org/" TargetMode="External"/><Relationship Id="rId294" Type="http://schemas.openxmlformats.org/officeDocument/2006/relationships/hyperlink" Target="http://pakistanbiblesociety.org/" TargetMode="External"/><Relationship Id="rId308" Type="http://schemas.openxmlformats.org/officeDocument/2006/relationships/hyperlink" Target="http://www.sociedadbiblicacolombiana.com/" TargetMode="External"/><Relationship Id="rId329" Type="http://schemas.openxmlformats.org/officeDocument/2006/relationships/hyperlink" Target="http://www.biblesociety-togo.org/" TargetMode="External"/><Relationship Id="rId47" Type="http://schemas.openxmlformats.org/officeDocument/2006/relationships/hyperlink" Target="../../../../AppData/Roaming/Microsoft/AppData/Roaming/Microsoft/Excel/dbl@biblesocieties.org" TargetMode="External"/><Relationship Id="rId68" Type="http://schemas.openxmlformats.org/officeDocument/2006/relationships/hyperlink" Target="../../../../AppData/Roaming/Microsoft/AppData/Roaming/Microsoft/Excel/terresa_hiebert@global.partners" TargetMode="External"/><Relationship Id="rId89" Type="http://schemas.openxmlformats.org/officeDocument/2006/relationships/hyperlink" Target="../../../../AppData/Roaming/Microsoft/AppData/Roaming/Microsoft/Excel/lmilliken2@unl.edu" TargetMode="External"/><Relationship Id="rId112" Type="http://schemas.openxmlformats.org/officeDocument/2006/relationships/hyperlink" Target="../../../../AppData/Roaming/Microsoft/AppData/Roaming/Microsoft/Excel/mubsociety@gmail.com" TargetMode="External"/><Relationship Id="rId133" Type="http://schemas.openxmlformats.org/officeDocument/2006/relationships/hyperlink" Target="../../../../AppData/Roaming/Microsoft/AppData/Roaming/Microsoft/Excel/info@sociedadesbiblicas.org.ve" TargetMode="External"/><Relationship Id="rId154" Type="http://schemas.openxmlformats.org/officeDocument/2006/relationships/hyperlink" Target="../../../../AppData/Roaming/Microsoft/AppData/Roaming/Microsoft/Excel/info@ukrbs.org" TargetMode="External"/><Relationship Id="rId175" Type="http://schemas.openxmlformats.org/officeDocument/2006/relationships/hyperlink" Target="http://www.brgbible.com/" TargetMode="External"/><Relationship Id="rId340" Type="http://schemas.openxmlformats.org/officeDocument/2006/relationships/hyperlink" Target="../../../../AppData/Roaming/Microsoft/AppData/Roaming/Microsoft/Excel/www.biblesociety-zambia.org" TargetMode="External"/><Relationship Id="rId196" Type="http://schemas.openxmlformats.org/officeDocument/2006/relationships/hyperlink" Target="http://biblesociety-zimbabwe.org/" TargetMode="External"/><Relationship Id="rId200" Type="http://schemas.openxmlformats.org/officeDocument/2006/relationships/hyperlink" Target="http://www.biblesociety.ca/" TargetMode="External"/><Relationship Id="rId16" Type="http://schemas.openxmlformats.org/officeDocument/2006/relationships/hyperlink" Target="../../../../AppData/Roaming/Microsoft/AppData/Roaming/Microsoft/Excel/paul.eckert@biblesociety.org.au" TargetMode="External"/><Relationship Id="rId221" Type="http://schemas.openxmlformats.org/officeDocument/2006/relationships/hyperlink" Target="http://www.elam.com/" TargetMode="External"/><Relationship Id="rId242" Type="http://schemas.openxmlformats.org/officeDocument/2006/relationships/hyperlink" Target="http://www.bibliatarsulat.hu/" TargetMode="External"/><Relationship Id="rId263" Type="http://schemas.openxmlformats.org/officeDocument/2006/relationships/hyperlink" Target="http://www.bibelesbiedriba.lv/" TargetMode="External"/><Relationship Id="rId284" Type="http://schemas.openxmlformats.org/officeDocument/2006/relationships/hyperlink" Target="http://www.biblesociety-malawi.org/" TargetMode="External"/><Relationship Id="rId319" Type="http://schemas.openxmlformats.org/officeDocument/2006/relationships/hyperlink" Target="https://biblickaspolocnost.sk/podpora" TargetMode="External"/><Relationship Id="rId37" Type="http://schemas.openxmlformats.org/officeDocument/2006/relationships/hyperlink" Target="../../../../AppData/Roaming/Microsoft/AppData/Roaming/Microsoft/Excel/gluke@biblesocieties.org" TargetMode="External"/><Relationship Id="rId58" Type="http://schemas.openxmlformats.org/officeDocument/2006/relationships/hyperlink" Target="../../../../AppData/Roaming/Microsoft/AppData/Roaming/Microsoft/Excel/biblia@biblia.fo" TargetMode="External"/><Relationship Id="rId79" Type="http://schemas.openxmlformats.org/officeDocument/2006/relationships/hyperlink" Target="../../../../AppData/Roaming/Microsoft/AppData/Roaming/Microsoft/Excel/rodion_popov@ibt.org.ru" TargetMode="External"/><Relationship Id="rId102" Type="http://schemas.openxmlformats.org/officeDocument/2006/relationships/hyperlink" Target="../../../../AppData/Roaming/Microsoft/AppData/Roaming/Microsoft/Excel/TessieDevore@onehope.net" TargetMode="External"/><Relationship Id="rId123" Type="http://schemas.openxmlformats.org/officeDocument/2006/relationships/hyperlink" Target="../../../../AppData/Roaming/Microsoft/AppData/Roaming/Microsoft/Excel/bsrwanda@biblesociety-rwanda.org" TargetMode="External"/><Relationship Id="rId144" Type="http://schemas.openxmlformats.org/officeDocument/2006/relationships/hyperlink" Target="../../../../AppData/Roaming/Microsoft/AppData/Roaming/Microsoft/Excel/biblesoc@seychelles.net" TargetMode="External"/><Relationship Id="rId330" Type="http://schemas.openxmlformats.org/officeDocument/2006/relationships/hyperlink" Target="http://www.tovrose.com/" TargetMode="External"/><Relationship Id="rId90" Type="http://schemas.openxmlformats.org/officeDocument/2006/relationships/hyperlink" Target="../../../../AppData/Roaming/Microsoft/AppData/Roaming/Microsoft/Excel/hjyang@bskorea.or.kr" TargetMode="External"/><Relationship Id="rId165" Type="http://schemas.openxmlformats.org/officeDocument/2006/relationships/hyperlink" Target="http://www.biblesociety-benin.org/" TargetMode="External"/><Relationship Id="rId186" Type="http://schemas.openxmlformats.org/officeDocument/2006/relationships/hyperlink" Target="../../../../AppData/Roaming/Microsoft/AppData/Roaming/Microsoft/Excel/www.bsni.co.uk" TargetMode="External"/><Relationship Id="rId211" Type="http://schemas.openxmlformats.org/officeDocument/2006/relationships/hyperlink" Target="../../../../AppData/Roaming/Microsoft/AppData/Roaming/Microsoft/Excel/www.dbs.org" TargetMode="External"/><Relationship Id="rId232" Type="http://schemas.openxmlformats.org/officeDocument/2006/relationships/hyperlink" Target="../../../../AppData/Roaming/Microsoft/AppData/Roaming/Microsoft/Excel/www.gobaith.org" TargetMode="External"/><Relationship Id="rId253" Type="http://schemas.openxmlformats.org/officeDocument/2006/relationships/hyperlink" Target="http://www.biblesocietyinisrael.com/" TargetMode="External"/><Relationship Id="rId274" Type="http://schemas.openxmlformats.org/officeDocument/2006/relationships/hyperlink" Target="http://www.bible.org.my/" TargetMode="External"/><Relationship Id="rId295" Type="http://schemas.openxmlformats.org/officeDocument/2006/relationships/hyperlink" Target="http://sbp.org.py/" TargetMode="External"/><Relationship Id="rId309" Type="http://schemas.openxmlformats.org/officeDocument/2006/relationships/hyperlink" Target="../../../../AppData/Roaming/Microsoft/AppData/Roaming/Microsoft/Excel/www.crbiblica.com" TargetMode="External"/><Relationship Id="rId27" Type="http://schemas.openxmlformats.org/officeDocument/2006/relationships/hyperlink" Target="../../../../AppData/Roaming/Microsoft/AppData/Roaming/Microsoft/Excel/alex.lim@bible.org.sg" TargetMode="External"/><Relationship Id="rId48" Type="http://schemas.openxmlformats.org/officeDocument/2006/relationships/hyperlink" Target="../../../../AppData/Roaming/Microsoft/AppData/Roaming/Microsoft/Excel/mark@mvhsolutions.com" TargetMode="External"/><Relationship Id="rId69" Type="http://schemas.openxmlformats.org/officeDocument/2006/relationships/hyperlink" Target="../../../../AppData/Roaming/Microsoft/AppData/Roaming/Microsoft/Excel/info@greekbibles.org" TargetMode="External"/><Relationship Id="rId113" Type="http://schemas.openxmlformats.org/officeDocument/2006/relationships/hyperlink" Target="../../../../AppData/Roaming/Microsoft/AppData/Roaming/Microsoft/Excel/bsmalawi-dbl@biblesocieties.org" TargetMode="External"/><Relationship Id="rId134" Type="http://schemas.openxmlformats.org/officeDocument/2006/relationships/hyperlink" Target="../../../../AppData/Roaming/Microsoft/AppData/Roaming/Microsoft/Excel/DBLAdmin@scm-verlag.de" TargetMode="External"/><Relationship Id="rId320" Type="http://schemas.openxmlformats.org/officeDocument/2006/relationships/hyperlink" Target="../../../../AppData/Roaming/Microsoft/AppData/Roaming/Microsoft/Excel/www.svetopismo.si" TargetMode="External"/><Relationship Id="rId80" Type="http://schemas.openxmlformats.org/officeDocument/2006/relationships/hyperlink" Target="../../../../AppData/Roaming/Microsoft/AppData/Roaming/Microsoft/Excel/info.fin@ibtnet.org" TargetMode="External"/><Relationship Id="rId155" Type="http://schemas.openxmlformats.org/officeDocument/2006/relationships/hyperlink" Target="../../../../AppData/Roaming/Microsoft/AppData/Roaming/Microsoft/Excel/lktam@biblevietnam.org" TargetMode="External"/><Relationship Id="rId176" Type="http://schemas.openxmlformats.org/officeDocument/2006/relationships/hyperlink" Target="http://alliancebiblique-bf.org/" TargetMode="External"/><Relationship Id="rId197" Type="http://schemas.openxmlformats.org/officeDocument/2006/relationships/hyperlink" Target="http://www.russianbible.ru/" TargetMode="External"/><Relationship Id="rId201" Type="http://schemas.openxmlformats.org/officeDocument/2006/relationships/hyperlink" Target="http://www.ceylonbiblesociety.org/" TargetMode="External"/><Relationship Id="rId222" Type="http://schemas.openxmlformats.org/officeDocument/2006/relationships/hyperlink" Target="../../../../AppData/Roaming/Microsoft/AppData/Roaming/Microsoft/Excel/www.biblia.fo" TargetMode="External"/><Relationship Id="rId243" Type="http://schemas.openxmlformats.org/officeDocument/2006/relationships/hyperlink" Target="http://albanianbiblesociety.com/" TargetMode="External"/><Relationship Id="rId264" Type="http://schemas.openxmlformats.org/officeDocument/2006/relationships/hyperlink" Target="http://us.lbt.org/" TargetMode="External"/><Relationship Id="rId285" Type="http://schemas.openxmlformats.org/officeDocument/2006/relationships/hyperlink" Target="http://www.myanmarbible.com/" TargetMode="External"/><Relationship Id="rId17" Type="http://schemas.openxmlformats.org/officeDocument/2006/relationships/hyperlink" Target="../../../../AppData/Roaming/Microsoft/AppData/Roaming/Microsoft/Excel/sociedadebiblica@netcabo.co.ao" TargetMode="External"/><Relationship Id="rId38" Type="http://schemas.openxmlformats.org/officeDocument/2006/relationships/hyperlink" Target="../../../../AppData/Roaming/Microsoft/AppData/Roaming/Microsoft/Excel/dbl@biblesociety.ca" TargetMode="External"/><Relationship Id="rId59" Type="http://schemas.openxmlformats.org/officeDocument/2006/relationships/hyperlink" Target="../../../../AppData/Roaming/Microsoft/AppData/Roaming/Microsoft/Excel/DBLinfo@fcbhmail.org" TargetMode="External"/><Relationship Id="rId103" Type="http://schemas.openxmlformats.org/officeDocument/2006/relationships/hyperlink" Target="../../../../AppData/Roaming/Microsoft/AppData/Roaming/Microsoft/Excel/ombanasoa@biblesociety-malagasy.org" TargetMode="External"/><Relationship Id="rId124" Type="http://schemas.openxmlformats.org/officeDocument/2006/relationships/hyperlink" Target="../../../../AppData/Roaming/Microsoft/AppData/Roaming/Microsoft/Excel/neil.rees@biblesociety.org.uk" TargetMode="External"/><Relationship Id="rId310" Type="http://schemas.openxmlformats.org/officeDocument/2006/relationships/hyperlink" Target="https://www.bible-society.org/en" TargetMode="External"/><Relationship Id="rId70" Type="http://schemas.openxmlformats.org/officeDocument/2006/relationships/hyperlink" Target="../../../../AppData/Roaming/Microsoft/AppData/Roaming/Microsoft/Excel/alliancegn@yahoo.com" TargetMode="External"/><Relationship Id="rId91" Type="http://schemas.openxmlformats.org/officeDocument/2006/relationships/hyperlink" Target="../../../../AppData/Roaming/Microsoft/AppData/Roaming/Microsoft/Excel/imanchung@yahoo.com" TargetMode="External"/><Relationship Id="rId145" Type="http://schemas.openxmlformats.org/officeDocument/2006/relationships/hyperlink" Target="../../../../AppData/Roaming/Microsoft/AppData/Roaming/Microsoft/Excel/clay@talkingbibles.org" TargetMode="External"/><Relationship Id="rId166" Type="http://schemas.openxmlformats.org/officeDocument/2006/relationships/hyperlink" Target="http://www.biblesociety.org.uk/" TargetMode="External"/><Relationship Id="rId187" Type="http://schemas.openxmlformats.org/officeDocument/2006/relationships/hyperlink" Target="http://www.biblesociety-nigeria.org/" TargetMode="External"/><Relationship Id="rId331" Type="http://schemas.openxmlformats.org/officeDocument/2006/relationships/hyperlink" Target="http://www.kitabimukaddes.com/" TargetMode="External"/><Relationship Id="rId1" Type="http://schemas.openxmlformats.org/officeDocument/2006/relationships/hyperlink" Target="../../../../AppData/Roaming/Microsoft/AppData/Roaming/Microsoft/Excel/information@aramaicbible.org" TargetMode="External"/><Relationship Id="rId212" Type="http://schemas.openxmlformats.org/officeDocument/2006/relationships/hyperlink" Target="http://www.bibelselskabet.dk/" TargetMode="External"/><Relationship Id="rId233" Type="http://schemas.openxmlformats.org/officeDocument/2006/relationships/hyperlink" Target="https://globalpartners.world/" TargetMode="External"/><Relationship Id="rId254" Type="http://schemas.openxmlformats.org/officeDocument/2006/relationships/hyperlink" Target="http://www.societabiblica.it/" TargetMode="External"/><Relationship Id="rId28" Type="http://schemas.openxmlformats.org/officeDocument/2006/relationships/hyperlink" Target="../../../../AppData/Roaming/Microsoft/AppData/Roaming/Microsoft/Excel/geldenhuys@biblesociety.co.za" TargetMode="External"/><Relationship Id="rId49" Type="http://schemas.openxmlformats.org/officeDocument/2006/relationships/hyperlink" Target="../../../../AppData/Roaming/Microsoft/AppData/Roaming/Microsoft/Excel/ken@dbs.org" TargetMode="External"/><Relationship Id="rId114" Type="http://schemas.openxmlformats.org/officeDocument/2006/relationships/hyperlink" Target="../../../../AppData/Roaming/Microsoft/AppData/Roaming/Microsoft/Excel/gensec@nambible.org.na" TargetMode="External"/><Relationship Id="rId275" Type="http://schemas.openxmlformats.org/officeDocument/2006/relationships/hyperlink" Target="http://www.biblesociety-mauritius.org/" TargetMode="External"/><Relationship Id="rId296" Type="http://schemas.openxmlformats.org/officeDocument/2006/relationships/hyperlink" Target="../../../../AppData/Roaming/Microsoft/AppData/Roaming/Microsoft/Excel/www.bibleclaret.org" TargetMode="External"/><Relationship Id="rId300" Type="http://schemas.openxmlformats.org/officeDocument/2006/relationships/hyperlink" Target="http://www.pioneers.org/" TargetMode="External"/><Relationship Id="rId60" Type="http://schemas.openxmlformats.org/officeDocument/2006/relationships/hyperlink" Target="../../../../AppData/Roaming/Microsoft/AppData/Roaming/Microsoft/Excel/info@piplia.fi" TargetMode="External"/><Relationship Id="rId81" Type="http://schemas.openxmlformats.org/officeDocument/2006/relationships/hyperlink" Target="../../../../AppData/Roaming/Microsoft/AppData/Roaming/Microsoft/Excel/info@ibt.org.ru" TargetMode="External"/><Relationship Id="rId135" Type="http://schemas.openxmlformats.org/officeDocument/2006/relationships/hyperlink" Target="../../../../AppData/Roaming/Microsoft/AppData/Roaming/Microsoft/Excel/abs_sahel@yahoo.fr" TargetMode="External"/><Relationship Id="rId156" Type="http://schemas.openxmlformats.org/officeDocument/2006/relationships/hyperlink" Target="../../../../AppData/Roaming/Microsoft/AppData/Roaming/Microsoft/Excel/dbladmin_intl@sil.org" TargetMode="External"/><Relationship Id="rId177" Type="http://schemas.openxmlformats.org/officeDocument/2006/relationships/hyperlink" Target="http://www.biblesociety.org.au/" TargetMode="External"/><Relationship Id="rId198" Type="http://schemas.openxmlformats.org/officeDocument/2006/relationships/hyperlink" Target="../../../../AppData/Roaming/Microsoft/AppData/Roaming/Microsoft/Excel/www.biblesocety.bg" TargetMode="External"/><Relationship Id="rId321" Type="http://schemas.openxmlformats.org/officeDocument/2006/relationships/hyperlink" Target="http://sociedadbiblica.org/" TargetMode="External"/><Relationship Id="rId202" Type="http://schemas.openxmlformats.org/officeDocument/2006/relationships/hyperlink" Target="http://www.sbch.cl/" TargetMode="External"/><Relationship Id="rId223" Type="http://schemas.openxmlformats.org/officeDocument/2006/relationships/hyperlink" Target="http://www.faithcomesbyhearing.com/" TargetMode="External"/><Relationship Id="rId244" Type="http://schemas.openxmlformats.org/officeDocument/2006/relationships/hyperlink" Target="http://www.ibs.md/" TargetMode="External"/><Relationship Id="rId18" Type="http://schemas.openxmlformats.org/officeDocument/2006/relationships/hyperlink" Target="../../../../AppData/Roaming/Microsoft/AppData/Roaming/Microsoft/Excel/info@biblesociety.am" TargetMode="External"/><Relationship Id="rId39" Type="http://schemas.openxmlformats.org/officeDocument/2006/relationships/hyperlink" Target="../../../../AppData/Roaming/Microsoft/AppData/Roaming/Microsoft/Excel/info@ceylonbiblesociety.org" TargetMode="External"/><Relationship Id="rId265" Type="http://schemas.openxmlformats.org/officeDocument/2006/relationships/hyperlink" Target="http://www.lca.org.au/" TargetMode="External"/><Relationship Id="rId286" Type="http://schemas.openxmlformats.org/officeDocument/2006/relationships/hyperlink" Target="http://www.nambible.org.na/" TargetMode="External"/><Relationship Id="rId50" Type="http://schemas.openxmlformats.org/officeDocument/2006/relationships/hyperlink" Target="../../../../AppData/Roaming/Microsoft/AppData/Roaming/Microsoft/Excel/bibelselskabet@bibelselskabet.dk" TargetMode="External"/><Relationship Id="rId104" Type="http://schemas.openxmlformats.org/officeDocument/2006/relationships/hyperlink" Target="../../../../AppData/Roaming/Microsoft/AppData/Roaming/Microsoft/Excel/info@biblesociety-mali.org" TargetMode="External"/><Relationship Id="rId125" Type="http://schemas.openxmlformats.org/officeDocument/2006/relationships/hyperlink" Target="../../../../AppData/Roaming/Microsoft/AppData/Roaming/Microsoft/Excel/sanskritbible.in@gmail.com" TargetMode="External"/><Relationship Id="rId146" Type="http://schemas.openxmlformats.org/officeDocument/2006/relationships/hyperlink" Target="../../../../AppData/Roaming/Microsoft/AppData/Roaming/Microsoft/Excel/dbladmin@biblesocieties.org" TargetMode="External"/><Relationship Id="rId167" Type="http://schemas.openxmlformats.org/officeDocument/2006/relationships/hyperlink" Target="http://www.biblesint.org/" TargetMode="External"/><Relationship Id="rId188" Type="http://schemas.openxmlformats.org/officeDocument/2006/relationships/hyperlink" Target="http://www.sociedadbiblica.org.uy/" TargetMode="External"/><Relationship Id="rId311" Type="http://schemas.openxmlformats.org/officeDocument/2006/relationships/hyperlink" Target="http://www.planetabiblias.org/" TargetMode="External"/><Relationship Id="rId332" Type="http://schemas.openxmlformats.org/officeDocument/2006/relationships/hyperlink" Target="../../../../AppData/Roaming/Microsoft/AppData/Roaming/Microsoft/Excel/www.twftw.org" TargetMode="External"/><Relationship Id="rId71" Type="http://schemas.openxmlformats.org/officeDocument/2006/relationships/hyperlink" Target="../../../../AppData/Roaming/Microsoft/AppData/Roaming/Microsoft/Excel/19Kcharles71@gmail.com" TargetMode="External"/><Relationship Id="rId92" Type="http://schemas.openxmlformats.org/officeDocument/2006/relationships/hyperlink" Target="../../../../AppData/Roaming/Microsoft/AppData/Roaming/Microsoft/Excel/muriuki@biblesociety-kenya.org" TargetMode="External"/><Relationship Id="rId213" Type="http://schemas.openxmlformats.org/officeDocument/2006/relationships/hyperlink" Target="http://www.biblesociety-cd.org/" TargetMode="External"/><Relationship Id="rId234" Type="http://schemas.openxmlformats.org/officeDocument/2006/relationships/hyperlink" Target="http://greek.bible/" TargetMode="External"/><Relationship Id="rId2" Type="http://schemas.openxmlformats.org/officeDocument/2006/relationships/hyperlink" Target="../../../../AppData/Roaming/Microsoft/AppData/Roaming/Microsoft/Excel/info@biblesociety.org.bd" TargetMode="External"/><Relationship Id="rId29" Type="http://schemas.openxmlformats.org/officeDocument/2006/relationships/hyperlink" Target="../../../../AppData/Roaming/Microsoft/AppData/Roaming/Microsoft/Excel/serbianbs@sbb.rs" TargetMode="External"/><Relationship Id="rId255" Type="http://schemas.openxmlformats.org/officeDocument/2006/relationships/hyperlink" Target="http://www.bible.or.jp/" TargetMode="External"/><Relationship Id="rId276" Type="http://schemas.openxmlformats.org/officeDocument/2006/relationships/hyperlink" Target="http://www.maltabible.com/" TargetMode="External"/><Relationship Id="rId297" Type="http://schemas.openxmlformats.org/officeDocument/2006/relationships/hyperlink" Target="../../../../AppData/Roaming/Microsoft/AppData/Roaming/Microsoft/Excel/www.pioneerbible.org" TargetMode="External"/><Relationship Id="rId40" Type="http://schemas.openxmlformats.org/officeDocument/2006/relationships/hyperlink" Target="../../../../AppData/Roaming/Microsoft/AppData/Roaming/Microsoft/Excel/info@sbch.cl" TargetMode="External"/><Relationship Id="rId115" Type="http://schemas.openxmlformats.org/officeDocument/2006/relationships/hyperlink" Target="../../../../AppData/Roaming/Microsoft/AppData/Roaming/Microsoft/Excel/heidi_rosendall@sil.org" TargetMode="External"/><Relationship Id="rId136" Type="http://schemas.openxmlformats.org/officeDocument/2006/relationships/hyperlink" Target="../../../../AppData/Roaming/Microsoft/AppData/Roaming/Microsoft/Excel/pierre.barassounon@sim.org" TargetMode="External"/><Relationship Id="rId157" Type="http://schemas.openxmlformats.org/officeDocument/2006/relationships/hyperlink" Target="../../../../AppData/Roaming/Microsoft/AppData/Roaming/Microsoft/Excel/tom_van_wynen@wycliffe.net" TargetMode="External"/><Relationship Id="rId178" Type="http://schemas.openxmlformats.org/officeDocument/2006/relationships/hyperlink" Target="../../../../AppData/Roaming/Microsoft/AppData/Roaming/Microsoft/Excel/www.biblesociety-angola.org" TargetMode="External"/><Relationship Id="rId301" Type="http://schemas.openxmlformats.org/officeDocument/2006/relationships/hyperlink" Target="http://www.sociedade-biblica.pt/" TargetMode="External"/><Relationship Id="rId322" Type="http://schemas.openxmlformats.org/officeDocument/2006/relationships/hyperlink" Target="http://biblesociety-sudan.org/" TargetMode="External"/><Relationship Id="rId61" Type="http://schemas.openxmlformats.org/officeDocument/2006/relationships/hyperlink" Target="../../../../AppData/Roaming/Microsoft/AppData/Roaming/Microsoft/Excel/alliance.biblique@sbf.fr" TargetMode="External"/><Relationship Id="rId82" Type="http://schemas.openxmlformats.org/officeDocument/2006/relationships/hyperlink" Target="../../../../AppData/Roaming/Microsoft/AppData/Roaming/Microsoft/Excel/gretar@grafarvogskirkja.is" TargetMode="External"/><Relationship Id="rId199" Type="http://schemas.openxmlformats.org/officeDocument/2006/relationships/hyperlink" Target="http://www.biblesociety-cameroon.org/" TargetMode="External"/><Relationship Id="rId203" Type="http://schemas.openxmlformats.org/officeDocument/2006/relationships/hyperlink" Target="http://alliancebiblique-congo.org/" TargetMode="External"/><Relationship Id="rId19" Type="http://schemas.openxmlformats.org/officeDocument/2006/relationships/hyperlink" Target="../../../../AppData/Roaming/Microsoft/AppData/Roaming/Microsoft/Excel/admin@biblesociety-ethiopia.org" TargetMode="External"/><Relationship Id="rId224" Type="http://schemas.openxmlformats.org/officeDocument/2006/relationships/hyperlink" Target="http://www.bible.fi/" TargetMode="External"/><Relationship Id="rId245" Type="http://schemas.openxmlformats.org/officeDocument/2006/relationships/hyperlink" Target="http://www.societateabiblica.org/" TargetMode="External"/><Relationship Id="rId266" Type="http://schemas.openxmlformats.org/officeDocument/2006/relationships/hyperlink" Target="http://www.unitedbiblesocieties.org/society/bible-society-of-lesotho/" TargetMode="External"/><Relationship Id="rId287" Type="http://schemas.openxmlformats.org/officeDocument/2006/relationships/hyperlink" Target="http://wycliffe.net/" TargetMode="External"/><Relationship Id="rId30" Type="http://schemas.openxmlformats.org/officeDocument/2006/relationships/hyperlink" Target="../../../../AppData/Roaming/Microsoft/AppData/Roaming/Microsoft/Excel/cjones@biblesocieties.org" TargetMode="External"/><Relationship Id="rId105" Type="http://schemas.openxmlformats.org/officeDocument/2006/relationships/hyperlink" Target="../../../../AppData/Roaming/Microsoft/AppData/Roaming/Microsoft/Excel/mathewpunnoose@biblemalaysia.org" TargetMode="External"/><Relationship Id="rId126" Type="http://schemas.openxmlformats.org/officeDocument/2006/relationships/hyperlink" Target="../../../../AppData/Roaming/Microsoft/AppData/Roaming/Microsoft/Excel/elismar@sbb.org.br" TargetMode="External"/><Relationship Id="rId147" Type="http://schemas.openxmlformats.org/officeDocument/2006/relationships/hyperlink" Target="../../../../AppData/Roaming/Microsoft/AppData/Roaming/Microsoft/Excel/seree@thaibible.or.th" TargetMode="External"/><Relationship Id="rId168" Type="http://schemas.openxmlformats.org/officeDocument/2006/relationships/hyperlink" Target="../../../../AppData/Roaming/Microsoft/AppData/Roaming/Microsoft/Excel/www.biblecambodia.org" TargetMode="External"/><Relationship Id="rId312" Type="http://schemas.openxmlformats.org/officeDocument/2006/relationships/hyperlink" Target="http://www.sbl-site.org/" TargetMode="External"/><Relationship Id="rId333" Type="http://schemas.openxmlformats.org/officeDocument/2006/relationships/hyperlink" Target="http://www.unitedbiblesocieties.org/" TargetMode="External"/><Relationship Id="rId51" Type="http://schemas.openxmlformats.org/officeDocument/2006/relationships/hyperlink" Target="../../../../AppData/Roaming/Microsoft/AppData/Roaming/Microsoft/Excel/dev@distantshores.org" TargetMode="External"/><Relationship Id="rId72" Type="http://schemas.openxmlformats.org/officeDocument/2006/relationships/hyperlink" Target="../../../../AppData/Roaming/Microsoft/AppData/Roaming/Microsoft/Excel/dag@hermon.no" TargetMode="External"/><Relationship Id="rId93" Type="http://schemas.openxmlformats.org/officeDocument/2006/relationships/hyperlink" Target="../../../../AppData/Roaming/Microsoft/AppData/Roaming/Microsoft/Excel/kindred@mbchurches.ca" TargetMode="External"/><Relationship Id="rId189" Type="http://schemas.openxmlformats.org/officeDocument/2006/relationships/hyperlink" Target="http://www.biblia.ru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52961-8B67-40DE-9CA6-359C295525F0}">
  <sheetPr codeName="Sheet1"/>
  <dimension ref="A1:F23"/>
  <sheetViews>
    <sheetView showGridLines="0" workbookViewId="0">
      <selection activeCell="F17" sqref="F17"/>
    </sheetView>
  </sheetViews>
  <sheetFormatPr defaultColWidth="8.85546875" defaultRowHeight="15" x14ac:dyDescent="0.25"/>
  <cols>
    <col min="1" max="1" width="17.42578125" style="12" customWidth="1"/>
    <col min="2" max="2" width="8.85546875" style="13"/>
    <col min="3" max="3" width="27.85546875" style="13" customWidth="1"/>
    <col min="4" max="4" width="111.7109375" style="13" bestFit="1" customWidth="1"/>
    <col min="5" max="5" width="1.85546875" style="13" customWidth="1"/>
    <col min="6" max="6" width="49.140625" style="13" bestFit="1" customWidth="1"/>
    <col min="7" max="16384" width="8.85546875" style="13"/>
  </cols>
  <sheetData>
    <row r="1" spans="1:6" s="4" customFormat="1" ht="103.35" customHeight="1" x14ac:dyDescent="0.25">
      <c r="A1" s="3"/>
      <c r="C1" s="5" t="s">
        <v>1644</v>
      </c>
      <c r="E1" s="40" t="s">
        <v>1645</v>
      </c>
      <c r="F1" s="40"/>
    </row>
    <row r="3" spans="1:6" s="7" customFormat="1" ht="19.5" x14ac:dyDescent="0.3">
      <c r="A3" s="6"/>
      <c r="C3" s="8" t="s">
        <v>1643</v>
      </c>
      <c r="D3" s="9"/>
      <c r="E3" s="13"/>
      <c r="F3" s="13"/>
    </row>
    <row r="4" spans="1:6" s="7" customFormat="1" x14ac:dyDescent="0.25">
      <c r="A4" s="6"/>
      <c r="D4" s="9"/>
    </row>
    <row r="5" spans="1:6" s="22" customFormat="1" ht="30.75" customHeight="1" x14ac:dyDescent="0.25">
      <c r="A5" s="21"/>
      <c r="C5" s="23" t="s">
        <v>1812</v>
      </c>
      <c r="D5" s="24" t="s">
        <v>1811</v>
      </c>
      <c r="F5" s="35" t="s">
        <v>1958</v>
      </c>
    </row>
    <row r="6" spans="1:6" s="22" customFormat="1" ht="9.9499999999999993" customHeight="1" x14ac:dyDescent="0.25">
      <c r="A6" s="21"/>
      <c r="C6" s="25"/>
      <c r="D6" s="25"/>
    </row>
    <row r="7" spans="1:6" s="22" customFormat="1" ht="30.75" customHeight="1" x14ac:dyDescent="0.25">
      <c r="A7" s="21"/>
      <c r="C7" s="26" t="s">
        <v>9441</v>
      </c>
      <c r="D7" s="27" t="s">
        <v>1953</v>
      </c>
      <c r="F7" s="28" t="s">
        <v>9438</v>
      </c>
    </row>
    <row r="8" spans="1:6" s="22" customFormat="1" ht="9.9499999999999993" customHeight="1" x14ac:dyDescent="0.25">
      <c r="A8" s="21"/>
      <c r="C8" s="25"/>
      <c r="D8" s="25"/>
    </row>
    <row r="9" spans="1:6" s="22" customFormat="1" ht="30.75" customHeight="1" x14ac:dyDescent="0.25">
      <c r="A9" s="21"/>
      <c r="C9" s="26" t="s">
        <v>1813</v>
      </c>
      <c r="D9" s="27" t="s">
        <v>1810</v>
      </c>
      <c r="F9" s="28" t="s">
        <v>1815</v>
      </c>
    </row>
    <row r="10" spans="1:6" s="22" customFormat="1" ht="9.9499999999999993" customHeight="1" x14ac:dyDescent="0.25">
      <c r="A10" s="21"/>
      <c r="C10" s="25"/>
      <c r="D10" s="25"/>
    </row>
    <row r="11" spans="1:6" s="22" customFormat="1" ht="30.75" customHeight="1" x14ac:dyDescent="0.25">
      <c r="A11" s="21"/>
      <c r="C11" s="26" t="s">
        <v>9440</v>
      </c>
      <c r="D11" s="27" t="s">
        <v>1809</v>
      </c>
      <c r="F11" s="28" t="s">
        <v>1814</v>
      </c>
    </row>
    <row r="12" spans="1:6" s="22" customFormat="1" ht="9.9499999999999993" customHeight="1" x14ac:dyDescent="0.25">
      <c r="A12" s="21"/>
      <c r="C12" s="25"/>
      <c r="D12" s="25"/>
    </row>
    <row r="13" spans="1:6" s="22" customFormat="1" ht="30.75" customHeight="1" x14ac:dyDescent="0.25">
      <c r="A13" s="21"/>
      <c r="C13" s="26" t="s">
        <v>9434</v>
      </c>
      <c r="D13" s="27" t="s">
        <v>9435</v>
      </c>
      <c r="F13" s="28" t="s">
        <v>9436</v>
      </c>
    </row>
    <row r="14" spans="1:6" s="22" customFormat="1" ht="9.9499999999999993" customHeight="1" x14ac:dyDescent="0.25">
      <c r="A14" s="21"/>
      <c r="C14" s="25"/>
      <c r="D14" s="25"/>
    </row>
    <row r="15" spans="1:6" s="22" customFormat="1" ht="30.75" customHeight="1" x14ac:dyDescent="0.25">
      <c r="A15" s="21"/>
      <c r="C15" s="26" t="s">
        <v>9439</v>
      </c>
      <c r="D15" s="27" t="s">
        <v>9437</v>
      </c>
      <c r="F15" s="28" t="s">
        <v>9436</v>
      </c>
    </row>
    <row r="16" spans="1:6" s="22" customFormat="1" ht="9.9499999999999993" customHeight="1" x14ac:dyDescent="0.25">
      <c r="A16" s="21"/>
      <c r="C16" s="25"/>
      <c r="D16" s="25"/>
    </row>
    <row r="17" spans="1:6" s="22" customFormat="1" ht="30.75" customHeight="1" x14ac:dyDescent="0.25">
      <c r="A17" s="21"/>
      <c r="C17" s="26" t="s">
        <v>2676</v>
      </c>
      <c r="D17" s="27" t="s">
        <v>2677</v>
      </c>
      <c r="F17" s="28" t="s">
        <v>9438</v>
      </c>
    </row>
    <row r="18" spans="1:6" s="11" customFormat="1" ht="52.5" customHeight="1" x14ac:dyDescent="0.25">
      <c r="A18" s="10"/>
      <c r="C18" s="7"/>
      <c r="D18" s="7"/>
    </row>
    <row r="19" spans="1:6" s="11" customFormat="1" ht="28.35" customHeight="1" x14ac:dyDescent="0.25">
      <c r="A19" s="10"/>
    </row>
    <row r="20" spans="1:6" s="7" customFormat="1" ht="18.75" customHeight="1" x14ac:dyDescent="0.25">
      <c r="A20" s="6"/>
      <c r="C20" s="11"/>
      <c r="D20" s="11"/>
    </row>
    <row r="21" spans="1:6" s="11" customFormat="1" ht="52.5" customHeight="1" x14ac:dyDescent="0.25">
      <c r="A21" s="10"/>
      <c r="C21" s="7"/>
      <c r="D21" s="7"/>
    </row>
    <row r="22" spans="1:6" s="11" customFormat="1" ht="28.35" customHeight="1" x14ac:dyDescent="0.25">
      <c r="A22" s="10"/>
    </row>
    <row r="23" spans="1:6" x14ac:dyDescent="0.25">
      <c r="C23" s="11"/>
      <c r="D23" s="11"/>
    </row>
  </sheetData>
  <mergeCells count="1">
    <mergeCell ref="E1:F1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67FDA3-C864-44EA-8B0B-A2977BD9A83F}">
  <sheetPr codeName="Sheet4"/>
  <dimension ref="A1:E542"/>
  <sheetViews>
    <sheetView workbookViewId="0">
      <pane xSplit="1" ySplit="1" topLeftCell="C236" activePane="bottomRight" state="frozen"/>
      <selection pane="topRight" activeCell="B1" sqref="B1"/>
      <selection pane="bottomLeft" activeCell="A2" sqref="A2"/>
      <selection pane="bottomRight" activeCell="E115" sqref="E115"/>
    </sheetView>
  </sheetViews>
  <sheetFormatPr defaultRowHeight="15" x14ac:dyDescent="0.25"/>
  <cols>
    <col min="1" max="1" width="15.140625" bestFit="1" customWidth="1"/>
    <col min="2" max="2" width="164.42578125" bestFit="1" customWidth="1"/>
    <col min="3" max="3" width="14.140625" bestFit="1" customWidth="1"/>
    <col min="4" max="4" width="3.5703125" customWidth="1"/>
    <col min="5" max="5" width="16.28515625" bestFit="1" customWidth="1"/>
    <col min="6" max="6" width="3.140625" customWidth="1"/>
  </cols>
  <sheetData>
    <row r="1" spans="1:5" s="2" customFormat="1" x14ac:dyDescent="0.25">
      <c r="A1" s="2" t="s">
        <v>1639</v>
      </c>
      <c r="B1" s="2" t="s">
        <v>1640</v>
      </c>
      <c r="C1" s="2" t="s">
        <v>1641</v>
      </c>
      <c r="E1" s="30" t="s">
        <v>1817</v>
      </c>
    </row>
    <row r="2" spans="1:5" x14ac:dyDescent="0.25">
      <c r="A2" t="s">
        <v>844</v>
      </c>
      <c r="B2" t="s">
        <v>845</v>
      </c>
      <c r="C2" t="s">
        <v>565</v>
      </c>
      <c r="E2" s="31" t="s">
        <v>1944</v>
      </c>
    </row>
    <row r="3" spans="1:5" x14ac:dyDescent="0.25">
      <c r="A3" t="s">
        <v>563</v>
      </c>
      <c r="B3" t="s">
        <v>564</v>
      </c>
      <c r="C3" t="s">
        <v>565</v>
      </c>
      <c r="E3" t="s">
        <v>563</v>
      </c>
    </row>
    <row r="4" spans="1:5" x14ac:dyDescent="0.25">
      <c r="A4" t="s">
        <v>566</v>
      </c>
      <c r="B4" t="s">
        <v>567</v>
      </c>
      <c r="C4" t="s">
        <v>565</v>
      </c>
      <c r="E4" t="s">
        <v>566</v>
      </c>
    </row>
    <row r="5" spans="1:5" x14ac:dyDescent="0.25">
      <c r="A5" t="s">
        <v>568</v>
      </c>
      <c r="B5" t="s">
        <v>569</v>
      </c>
      <c r="C5" t="s">
        <v>565</v>
      </c>
      <c r="E5" t="s">
        <v>568</v>
      </c>
    </row>
    <row r="6" spans="1:5" x14ac:dyDescent="0.25">
      <c r="A6" t="s">
        <v>754</v>
      </c>
      <c r="B6" t="s">
        <v>755</v>
      </c>
      <c r="C6" t="s">
        <v>565</v>
      </c>
      <c r="E6" s="31" t="s">
        <v>1944</v>
      </c>
    </row>
    <row r="7" spans="1:5" x14ac:dyDescent="0.25">
      <c r="A7" t="s">
        <v>864</v>
      </c>
      <c r="B7" t="s">
        <v>865</v>
      </c>
      <c r="C7" t="s">
        <v>739</v>
      </c>
      <c r="E7" t="s">
        <v>1945</v>
      </c>
    </row>
    <row r="8" spans="1:5" x14ac:dyDescent="0.25">
      <c r="A8" t="s">
        <v>758</v>
      </c>
      <c r="B8" t="s">
        <v>759</v>
      </c>
      <c r="C8" t="s">
        <v>565</v>
      </c>
      <c r="E8" s="31" t="s">
        <v>1944</v>
      </c>
    </row>
    <row r="9" spans="1:5" x14ac:dyDescent="0.25">
      <c r="A9" t="s">
        <v>998</v>
      </c>
      <c r="B9" t="s">
        <v>999</v>
      </c>
      <c r="C9" t="s">
        <v>565</v>
      </c>
      <c r="E9" s="31" t="s">
        <v>1942</v>
      </c>
    </row>
    <row r="10" spans="1:5" x14ac:dyDescent="0.25">
      <c r="A10" t="s">
        <v>756</v>
      </c>
      <c r="B10" t="s">
        <v>757</v>
      </c>
      <c r="C10" t="s">
        <v>565</v>
      </c>
      <c r="E10" s="31" t="s">
        <v>1944</v>
      </c>
    </row>
    <row r="11" spans="1:5" x14ac:dyDescent="0.25">
      <c r="A11" t="s">
        <v>1000</v>
      </c>
      <c r="B11" t="s">
        <v>1001</v>
      </c>
      <c r="C11" t="s">
        <v>565</v>
      </c>
      <c r="E11" s="31" t="s">
        <v>1942</v>
      </c>
    </row>
    <row r="12" spans="1:5" x14ac:dyDescent="0.25">
      <c r="A12" t="s">
        <v>570</v>
      </c>
      <c r="B12" t="s">
        <v>571</v>
      </c>
      <c r="C12" t="s">
        <v>565</v>
      </c>
      <c r="E12" t="s">
        <v>1818</v>
      </c>
    </row>
    <row r="13" spans="1:5" x14ac:dyDescent="0.25">
      <c r="A13" t="s">
        <v>572</v>
      </c>
      <c r="B13" t="s">
        <v>573</v>
      </c>
      <c r="C13" t="s">
        <v>565</v>
      </c>
      <c r="E13" t="s">
        <v>1818</v>
      </c>
    </row>
    <row r="14" spans="1:5" x14ac:dyDescent="0.25">
      <c r="A14" t="s">
        <v>574</v>
      </c>
      <c r="B14" t="s">
        <v>575</v>
      </c>
      <c r="C14" t="s">
        <v>565</v>
      </c>
      <c r="E14" t="s">
        <v>574</v>
      </c>
    </row>
    <row r="15" spans="1:5" x14ac:dyDescent="0.25">
      <c r="A15" t="s">
        <v>576</v>
      </c>
      <c r="B15" t="s">
        <v>577</v>
      </c>
      <c r="C15" t="s">
        <v>565</v>
      </c>
      <c r="E15" t="s">
        <v>1819</v>
      </c>
    </row>
    <row r="16" spans="1:5" x14ac:dyDescent="0.25">
      <c r="A16" t="s">
        <v>760</v>
      </c>
      <c r="B16" t="s">
        <v>761</v>
      </c>
      <c r="C16" t="s">
        <v>565</v>
      </c>
      <c r="E16" s="31" t="s">
        <v>1944</v>
      </c>
    </row>
    <row r="17" spans="1:5" x14ac:dyDescent="0.25">
      <c r="A17" t="s">
        <v>578</v>
      </c>
      <c r="B17" t="s">
        <v>579</v>
      </c>
      <c r="C17" t="s">
        <v>565</v>
      </c>
      <c r="E17" t="s">
        <v>578</v>
      </c>
    </row>
    <row r="18" spans="1:5" x14ac:dyDescent="0.25">
      <c r="A18" t="s">
        <v>580</v>
      </c>
      <c r="B18" t="s">
        <v>581</v>
      </c>
      <c r="C18" t="s">
        <v>565</v>
      </c>
      <c r="E18" t="s">
        <v>580</v>
      </c>
    </row>
    <row r="19" spans="1:5" x14ac:dyDescent="0.25">
      <c r="A19" t="s">
        <v>582</v>
      </c>
      <c r="B19" t="s">
        <v>583</v>
      </c>
      <c r="C19" t="s">
        <v>565</v>
      </c>
      <c r="E19" t="s">
        <v>582</v>
      </c>
    </row>
    <row r="20" spans="1:5" x14ac:dyDescent="0.25">
      <c r="A20" t="s">
        <v>584</v>
      </c>
      <c r="B20" t="s">
        <v>585</v>
      </c>
      <c r="C20" t="s">
        <v>565</v>
      </c>
      <c r="E20" t="s">
        <v>584</v>
      </c>
    </row>
    <row r="21" spans="1:5" x14ac:dyDescent="0.25">
      <c r="A21" t="s">
        <v>586</v>
      </c>
      <c r="B21" t="s">
        <v>587</v>
      </c>
      <c r="C21" t="s">
        <v>565</v>
      </c>
      <c r="E21" t="s">
        <v>586</v>
      </c>
    </row>
    <row r="22" spans="1:5" x14ac:dyDescent="0.25">
      <c r="A22" t="s">
        <v>588</v>
      </c>
      <c r="B22" t="s">
        <v>589</v>
      </c>
      <c r="C22" t="s">
        <v>565</v>
      </c>
      <c r="E22" t="s">
        <v>588</v>
      </c>
    </row>
    <row r="23" spans="1:5" x14ac:dyDescent="0.25">
      <c r="A23" t="s">
        <v>762</v>
      </c>
      <c r="B23" t="s">
        <v>763</v>
      </c>
      <c r="C23" t="s">
        <v>565</v>
      </c>
      <c r="E23" s="31" t="s">
        <v>1944</v>
      </c>
    </row>
    <row r="24" spans="1:5" x14ac:dyDescent="0.25">
      <c r="A24" t="s">
        <v>1461</v>
      </c>
      <c r="B24" t="s">
        <v>1462</v>
      </c>
      <c r="C24" t="s">
        <v>565</v>
      </c>
      <c r="E24" t="s">
        <v>1461</v>
      </c>
    </row>
    <row r="25" spans="1:5" x14ac:dyDescent="0.25">
      <c r="A25" t="s">
        <v>1038</v>
      </c>
      <c r="B25" t="s">
        <v>1039</v>
      </c>
      <c r="C25" t="s">
        <v>565</v>
      </c>
      <c r="E25" s="31" t="s">
        <v>1941</v>
      </c>
    </row>
    <row r="26" spans="1:5" x14ac:dyDescent="0.25">
      <c r="A26" t="s">
        <v>866</v>
      </c>
      <c r="B26" t="s">
        <v>867</v>
      </c>
      <c r="C26" t="s">
        <v>739</v>
      </c>
      <c r="E26" t="s">
        <v>1945</v>
      </c>
    </row>
    <row r="27" spans="1:5" x14ac:dyDescent="0.25">
      <c r="A27" t="s">
        <v>590</v>
      </c>
      <c r="B27" t="s">
        <v>591</v>
      </c>
      <c r="C27" t="s">
        <v>565</v>
      </c>
      <c r="E27" t="s">
        <v>1820</v>
      </c>
    </row>
    <row r="28" spans="1:5" x14ac:dyDescent="0.25">
      <c r="A28" t="s">
        <v>592</v>
      </c>
      <c r="B28" t="s">
        <v>593</v>
      </c>
      <c r="C28" t="s">
        <v>565</v>
      </c>
      <c r="E28" t="s">
        <v>592</v>
      </c>
    </row>
    <row r="29" spans="1:5" x14ac:dyDescent="0.25">
      <c r="A29" t="s">
        <v>594</v>
      </c>
      <c r="B29" t="s">
        <v>595</v>
      </c>
      <c r="C29" t="s">
        <v>565</v>
      </c>
      <c r="E29" t="s">
        <v>1821</v>
      </c>
    </row>
    <row r="30" spans="1:5" x14ac:dyDescent="0.25">
      <c r="A30" t="s">
        <v>596</v>
      </c>
      <c r="B30" t="s">
        <v>597</v>
      </c>
      <c r="C30" t="s">
        <v>565</v>
      </c>
      <c r="E30" t="s">
        <v>596</v>
      </c>
    </row>
    <row r="31" spans="1:5" x14ac:dyDescent="0.25">
      <c r="A31" t="s">
        <v>1002</v>
      </c>
      <c r="B31" t="s">
        <v>1003</v>
      </c>
      <c r="C31" t="s">
        <v>565</v>
      </c>
      <c r="E31" s="31" t="s">
        <v>1942</v>
      </c>
    </row>
    <row r="32" spans="1:5" x14ac:dyDescent="0.25">
      <c r="A32" t="s">
        <v>598</v>
      </c>
      <c r="B32" t="s">
        <v>599</v>
      </c>
      <c r="C32" t="s">
        <v>565</v>
      </c>
      <c r="E32" t="s">
        <v>598</v>
      </c>
    </row>
    <row r="33" spans="1:5" x14ac:dyDescent="0.25">
      <c r="A33" t="s">
        <v>600</v>
      </c>
      <c r="B33" t="s">
        <v>601</v>
      </c>
      <c r="C33" t="s">
        <v>565</v>
      </c>
      <c r="E33" t="s">
        <v>598</v>
      </c>
    </row>
    <row r="34" spans="1:5" x14ac:dyDescent="0.25">
      <c r="A34" t="s">
        <v>602</v>
      </c>
      <c r="B34" t="s">
        <v>603</v>
      </c>
      <c r="C34" t="s">
        <v>565</v>
      </c>
      <c r="E34" t="s">
        <v>602</v>
      </c>
    </row>
    <row r="35" spans="1:5" x14ac:dyDescent="0.25">
      <c r="A35" t="s">
        <v>604</v>
      </c>
      <c r="B35" t="s">
        <v>605</v>
      </c>
      <c r="C35" t="s">
        <v>565</v>
      </c>
      <c r="E35" t="s">
        <v>604</v>
      </c>
    </row>
    <row r="36" spans="1:5" x14ac:dyDescent="0.25">
      <c r="A36" t="s">
        <v>606</v>
      </c>
      <c r="B36" t="s">
        <v>607</v>
      </c>
      <c r="C36" t="s">
        <v>565</v>
      </c>
      <c r="E36" t="s">
        <v>606</v>
      </c>
    </row>
    <row r="37" spans="1:5" x14ac:dyDescent="0.25">
      <c r="A37" t="s">
        <v>608</v>
      </c>
      <c r="B37" t="s">
        <v>609</v>
      </c>
      <c r="C37" t="s">
        <v>565</v>
      </c>
      <c r="E37" t="s">
        <v>608</v>
      </c>
    </row>
    <row r="38" spans="1:5" x14ac:dyDescent="0.25">
      <c r="A38" t="s">
        <v>610</v>
      </c>
      <c r="B38" t="s">
        <v>611</v>
      </c>
      <c r="C38" t="s">
        <v>565</v>
      </c>
      <c r="E38" t="s">
        <v>1823</v>
      </c>
    </row>
    <row r="39" spans="1:5" x14ac:dyDescent="0.25">
      <c r="A39" t="s">
        <v>614</v>
      </c>
      <c r="B39" t="s">
        <v>615</v>
      </c>
      <c r="C39" t="s">
        <v>565</v>
      </c>
      <c r="E39" t="s">
        <v>1824</v>
      </c>
    </row>
    <row r="40" spans="1:5" x14ac:dyDescent="0.25">
      <c r="A40" t="s">
        <v>1090</v>
      </c>
      <c r="B40" t="s">
        <v>1091</v>
      </c>
      <c r="C40" t="s">
        <v>565</v>
      </c>
      <c r="E40" t="s">
        <v>1825</v>
      </c>
    </row>
    <row r="41" spans="1:5" x14ac:dyDescent="0.25">
      <c r="A41" t="s">
        <v>1092</v>
      </c>
      <c r="B41" t="s">
        <v>1093</v>
      </c>
      <c r="C41" t="s">
        <v>565</v>
      </c>
      <c r="E41" t="s">
        <v>1825</v>
      </c>
    </row>
    <row r="42" spans="1:5" x14ac:dyDescent="0.25">
      <c r="A42" t="s">
        <v>616</v>
      </c>
      <c r="B42" t="s">
        <v>617</v>
      </c>
      <c r="C42" t="s">
        <v>565</v>
      </c>
      <c r="E42" t="s">
        <v>1826</v>
      </c>
    </row>
    <row r="43" spans="1:5" x14ac:dyDescent="0.25">
      <c r="A43" t="s">
        <v>618</v>
      </c>
      <c r="B43" t="s">
        <v>619</v>
      </c>
      <c r="C43" t="s">
        <v>565</v>
      </c>
      <c r="E43" t="s">
        <v>618</v>
      </c>
    </row>
    <row r="44" spans="1:5" x14ac:dyDescent="0.25">
      <c r="A44" t="s">
        <v>764</v>
      </c>
      <c r="B44" t="s">
        <v>765</v>
      </c>
      <c r="C44" t="s">
        <v>565</v>
      </c>
      <c r="E44" s="31" t="s">
        <v>1944</v>
      </c>
    </row>
    <row r="45" spans="1:5" x14ac:dyDescent="0.25">
      <c r="A45" t="s">
        <v>620</v>
      </c>
      <c r="B45" t="s">
        <v>621</v>
      </c>
      <c r="C45" t="s">
        <v>565</v>
      </c>
      <c r="E45" t="s">
        <v>620</v>
      </c>
    </row>
    <row r="46" spans="1:5" x14ac:dyDescent="0.25">
      <c r="A46" t="s">
        <v>622</v>
      </c>
      <c r="B46" t="s">
        <v>623</v>
      </c>
      <c r="C46" t="s">
        <v>565</v>
      </c>
      <c r="E46" t="s">
        <v>622</v>
      </c>
    </row>
    <row r="47" spans="1:5" x14ac:dyDescent="0.25">
      <c r="A47" t="s">
        <v>624</v>
      </c>
      <c r="B47" t="s">
        <v>625</v>
      </c>
      <c r="C47" t="s">
        <v>565</v>
      </c>
      <c r="E47" t="s">
        <v>624</v>
      </c>
    </row>
    <row r="48" spans="1:5" x14ac:dyDescent="0.25">
      <c r="A48" t="s">
        <v>626</v>
      </c>
      <c r="B48" t="s">
        <v>627</v>
      </c>
      <c r="C48" t="s">
        <v>565</v>
      </c>
      <c r="E48" t="s">
        <v>626</v>
      </c>
    </row>
    <row r="49" spans="1:5" x14ac:dyDescent="0.25">
      <c r="A49" t="s">
        <v>628</v>
      </c>
      <c r="B49" t="s">
        <v>629</v>
      </c>
      <c r="C49" t="s">
        <v>565</v>
      </c>
      <c r="E49" t="s">
        <v>628</v>
      </c>
    </row>
    <row r="50" spans="1:5" x14ac:dyDescent="0.25">
      <c r="A50" t="s">
        <v>630</v>
      </c>
      <c r="B50" t="s">
        <v>631</v>
      </c>
      <c r="C50" t="s">
        <v>565</v>
      </c>
      <c r="E50" t="s">
        <v>630</v>
      </c>
    </row>
    <row r="51" spans="1:5" x14ac:dyDescent="0.25">
      <c r="A51" t="s">
        <v>868</v>
      </c>
      <c r="B51" t="s">
        <v>869</v>
      </c>
      <c r="C51" t="s">
        <v>739</v>
      </c>
      <c r="E51" t="s">
        <v>1945</v>
      </c>
    </row>
    <row r="52" spans="1:5" x14ac:dyDescent="0.25">
      <c r="A52" t="s">
        <v>940</v>
      </c>
      <c r="B52" t="s">
        <v>941</v>
      </c>
      <c r="C52" t="s">
        <v>565</v>
      </c>
      <c r="E52" t="s">
        <v>1827</v>
      </c>
    </row>
    <row r="53" spans="1:5" x14ac:dyDescent="0.25">
      <c r="A53" t="s">
        <v>632</v>
      </c>
      <c r="B53" t="s">
        <v>633</v>
      </c>
      <c r="C53" t="s">
        <v>565</v>
      </c>
      <c r="E53" t="s">
        <v>632</v>
      </c>
    </row>
    <row r="54" spans="1:5" x14ac:dyDescent="0.25">
      <c r="A54" t="s">
        <v>766</v>
      </c>
      <c r="B54" t="s">
        <v>767</v>
      </c>
      <c r="C54" t="s">
        <v>565</v>
      </c>
      <c r="E54" s="31" t="s">
        <v>1944</v>
      </c>
    </row>
    <row r="55" spans="1:5" x14ac:dyDescent="0.25">
      <c r="A55" t="s">
        <v>634</v>
      </c>
      <c r="B55" t="s">
        <v>635</v>
      </c>
      <c r="C55" t="s">
        <v>565</v>
      </c>
      <c r="E55" t="s">
        <v>634</v>
      </c>
    </row>
    <row r="56" spans="1:5" x14ac:dyDescent="0.25">
      <c r="A56" t="s">
        <v>636</v>
      </c>
      <c r="B56" t="s">
        <v>637</v>
      </c>
      <c r="C56" t="s">
        <v>565</v>
      </c>
      <c r="E56" t="s">
        <v>636</v>
      </c>
    </row>
    <row r="57" spans="1:5" x14ac:dyDescent="0.25">
      <c r="A57" t="s">
        <v>638</v>
      </c>
      <c r="B57" t="s">
        <v>639</v>
      </c>
      <c r="C57" t="s">
        <v>565</v>
      </c>
      <c r="E57" t="s">
        <v>638</v>
      </c>
    </row>
    <row r="58" spans="1:5" x14ac:dyDescent="0.25">
      <c r="A58" t="s">
        <v>640</v>
      </c>
      <c r="B58" t="s">
        <v>641</v>
      </c>
      <c r="C58" t="s">
        <v>565</v>
      </c>
      <c r="E58" t="s">
        <v>640</v>
      </c>
    </row>
    <row r="59" spans="1:5" x14ac:dyDescent="0.25">
      <c r="A59" t="s">
        <v>642</v>
      </c>
      <c r="B59" t="s">
        <v>643</v>
      </c>
      <c r="C59" t="s">
        <v>565</v>
      </c>
      <c r="E59" t="s">
        <v>642</v>
      </c>
    </row>
    <row r="60" spans="1:5" x14ac:dyDescent="0.25">
      <c r="A60" t="s">
        <v>644</v>
      </c>
      <c r="B60" t="s">
        <v>645</v>
      </c>
      <c r="C60" t="s">
        <v>565</v>
      </c>
      <c r="E60" t="s">
        <v>1828</v>
      </c>
    </row>
    <row r="61" spans="1:5" x14ac:dyDescent="0.25">
      <c r="A61" t="s">
        <v>646</v>
      </c>
      <c r="B61" t="s">
        <v>647</v>
      </c>
      <c r="C61" t="s">
        <v>565</v>
      </c>
      <c r="E61" t="s">
        <v>646</v>
      </c>
    </row>
    <row r="62" spans="1:5" x14ac:dyDescent="0.25">
      <c r="A62" t="s">
        <v>648</v>
      </c>
      <c r="B62" t="s">
        <v>649</v>
      </c>
      <c r="C62" t="s">
        <v>565</v>
      </c>
      <c r="E62" t="s">
        <v>648</v>
      </c>
    </row>
    <row r="63" spans="1:5" x14ac:dyDescent="0.25">
      <c r="A63" t="s">
        <v>650</v>
      </c>
      <c r="B63" t="s">
        <v>651</v>
      </c>
      <c r="C63" t="s">
        <v>565</v>
      </c>
      <c r="E63" t="s">
        <v>650</v>
      </c>
    </row>
    <row r="64" spans="1:5" x14ac:dyDescent="0.25">
      <c r="A64" t="s">
        <v>652</v>
      </c>
      <c r="B64" t="s">
        <v>653</v>
      </c>
      <c r="C64" t="s">
        <v>565</v>
      </c>
      <c r="E64" t="s">
        <v>652</v>
      </c>
    </row>
    <row r="65" spans="1:5" x14ac:dyDescent="0.25">
      <c r="A65" t="s">
        <v>654</v>
      </c>
      <c r="B65" t="s">
        <v>655</v>
      </c>
      <c r="C65" t="s">
        <v>565</v>
      </c>
      <c r="E65" t="s">
        <v>654</v>
      </c>
    </row>
    <row r="66" spans="1:5" x14ac:dyDescent="0.25">
      <c r="A66" t="s">
        <v>656</v>
      </c>
      <c r="B66" t="s">
        <v>657</v>
      </c>
      <c r="C66" t="s">
        <v>565</v>
      </c>
      <c r="E66" t="s">
        <v>656</v>
      </c>
    </row>
    <row r="67" spans="1:5" x14ac:dyDescent="0.25">
      <c r="A67" t="s">
        <v>658</v>
      </c>
      <c r="B67" t="s">
        <v>659</v>
      </c>
      <c r="C67" t="s">
        <v>565</v>
      </c>
      <c r="E67" t="s">
        <v>658</v>
      </c>
    </row>
    <row r="68" spans="1:5" x14ac:dyDescent="0.25">
      <c r="A68" t="s">
        <v>660</v>
      </c>
      <c r="B68" t="s">
        <v>661</v>
      </c>
      <c r="C68" t="s">
        <v>565</v>
      </c>
      <c r="E68" t="s">
        <v>660</v>
      </c>
    </row>
    <row r="69" spans="1:5" x14ac:dyDescent="0.25">
      <c r="A69" t="s">
        <v>662</v>
      </c>
      <c r="B69" t="s">
        <v>663</v>
      </c>
      <c r="C69" t="s">
        <v>565</v>
      </c>
      <c r="E69" t="s">
        <v>662</v>
      </c>
    </row>
    <row r="70" spans="1:5" x14ac:dyDescent="0.25">
      <c r="A70" t="s">
        <v>768</v>
      </c>
      <c r="B70" t="s">
        <v>769</v>
      </c>
      <c r="C70" t="s">
        <v>565</v>
      </c>
      <c r="E70" t="s">
        <v>768</v>
      </c>
    </row>
    <row r="71" spans="1:5" x14ac:dyDescent="0.25">
      <c r="A71" t="s">
        <v>664</v>
      </c>
      <c r="B71" t="s">
        <v>665</v>
      </c>
      <c r="C71" t="s">
        <v>565</v>
      </c>
      <c r="E71" t="s">
        <v>664</v>
      </c>
    </row>
    <row r="72" spans="1:5" x14ac:dyDescent="0.25">
      <c r="A72" t="s">
        <v>666</v>
      </c>
      <c r="B72" t="s">
        <v>667</v>
      </c>
      <c r="C72" t="s">
        <v>565</v>
      </c>
      <c r="E72" t="s">
        <v>1829</v>
      </c>
    </row>
    <row r="73" spans="1:5" x14ac:dyDescent="0.25">
      <c r="A73" t="s">
        <v>668</v>
      </c>
      <c r="B73" t="s">
        <v>1642</v>
      </c>
      <c r="C73" t="s">
        <v>565</v>
      </c>
      <c r="E73" t="s">
        <v>1829</v>
      </c>
    </row>
    <row r="74" spans="1:5" x14ac:dyDescent="0.25">
      <c r="A74" t="s">
        <v>669</v>
      </c>
      <c r="B74" t="s">
        <v>670</v>
      </c>
      <c r="C74" t="s">
        <v>565</v>
      </c>
      <c r="E74" t="s">
        <v>1829</v>
      </c>
    </row>
    <row r="75" spans="1:5" x14ac:dyDescent="0.25">
      <c r="A75" t="s">
        <v>1285</v>
      </c>
      <c r="B75" t="s">
        <v>1286</v>
      </c>
      <c r="C75" t="s">
        <v>565</v>
      </c>
      <c r="E75" t="s">
        <v>1830</v>
      </c>
    </row>
    <row r="76" spans="1:5" x14ac:dyDescent="0.25">
      <c r="A76" t="s">
        <v>870</v>
      </c>
      <c r="B76" t="s">
        <v>871</v>
      </c>
      <c r="C76" t="s">
        <v>739</v>
      </c>
      <c r="E76" t="s">
        <v>1945</v>
      </c>
    </row>
    <row r="77" spans="1:5" x14ac:dyDescent="0.25">
      <c r="A77" t="s">
        <v>770</v>
      </c>
      <c r="B77" t="s">
        <v>771</v>
      </c>
      <c r="C77" t="s">
        <v>565</v>
      </c>
      <c r="E77" s="31" t="s">
        <v>1944</v>
      </c>
    </row>
    <row r="78" spans="1:5" x14ac:dyDescent="0.25">
      <c r="A78" t="s">
        <v>671</v>
      </c>
      <c r="B78" t="s">
        <v>672</v>
      </c>
      <c r="C78" t="s">
        <v>565</v>
      </c>
      <c r="E78" t="s">
        <v>671</v>
      </c>
    </row>
    <row r="79" spans="1:5" x14ac:dyDescent="0.25">
      <c r="A79" t="s">
        <v>673</v>
      </c>
      <c r="B79" t="s">
        <v>674</v>
      </c>
      <c r="C79" t="s">
        <v>565</v>
      </c>
      <c r="E79" t="s">
        <v>671</v>
      </c>
    </row>
    <row r="80" spans="1:5" x14ac:dyDescent="0.25">
      <c r="A80" t="s">
        <v>675</v>
      </c>
      <c r="B80" t="s">
        <v>676</v>
      </c>
      <c r="C80" t="s">
        <v>565</v>
      </c>
      <c r="E80" t="s">
        <v>675</v>
      </c>
    </row>
    <row r="81" spans="1:5" x14ac:dyDescent="0.25">
      <c r="A81" t="s">
        <v>1004</v>
      </c>
      <c r="B81" t="s">
        <v>1005</v>
      </c>
      <c r="C81" t="s">
        <v>565</v>
      </c>
      <c r="E81" s="31" t="s">
        <v>1942</v>
      </c>
    </row>
    <row r="82" spans="1:5" x14ac:dyDescent="0.25">
      <c r="A82" t="s">
        <v>677</v>
      </c>
      <c r="B82" t="s">
        <v>678</v>
      </c>
      <c r="C82" t="s">
        <v>565</v>
      </c>
      <c r="E82" t="s">
        <v>677</v>
      </c>
    </row>
    <row r="83" spans="1:5" x14ac:dyDescent="0.25">
      <c r="A83" t="s">
        <v>679</v>
      </c>
      <c r="B83" t="s">
        <v>680</v>
      </c>
      <c r="C83" t="s">
        <v>565</v>
      </c>
      <c r="E83" t="s">
        <v>679</v>
      </c>
    </row>
    <row r="84" spans="1:5" x14ac:dyDescent="0.25">
      <c r="A84" t="s">
        <v>1395</v>
      </c>
      <c r="B84" t="s">
        <v>1396</v>
      </c>
      <c r="C84" t="s">
        <v>565</v>
      </c>
      <c r="E84" t="s">
        <v>1831</v>
      </c>
    </row>
    <row r="85" spans="1:5" x14ac:dyDescent="0.25">
      <c r="A85" t="s">
        <v>1623</v>
      </c>
      <c r="B85" t="s">
        <v>1624</v>
      </c>
      <c r="C85" t="s">
        <v>565</v>
      </c>
      <c r="E85" t="s">
        <v>1623</v>
      </c>
    </row>
    <row r="86" spans="1:5" x14ac:dyDescent="0.25">
      <c r="A86" t="s">
        <v>681</v>
      </c>
      <c r="B86" t="s">
        <v>682</v>
      </c>
      <c r="C86" t="s">
        <v>565</v>
      </c>
      <c r="E86" t="s">
        <v>1832</v>
      </c>
    </row>
    <row r="87" spans="1:5" x14ac:dyDescent="0.25">
      <c r="A87" t="s">
        <v>683</v>
      </c>
      <c r="B87" t="s">
        <v>684</v>
      </c>
      <c r="C87" t="s">
        <v>565</v>
      </c>
      <c r="E87" t="s">
        <v>1832</v>
      </c>
    </row>
    <row r="88" spans="1:5" x14ac:dyDescent="0.25">
      <c r="A88" t="s">
        <v>685</v>
      </c>
      <c r="B88" t="s">
        <v>686</v>
      </c>
      <c r="C88" t="s">
        <v>565</v>
      </c>
      <c r="E88" t="s">
        <v>1833</v>
      </c>
    </row>
    <row r="89" spans="1:5" x14ac:dyDescent="0.25">
      <c r="A89" t="s">
        <v>687</v>
      </c>
      <c r="B89" t="s">
        <v>688</v>
      </c>
      <c r="C89" t="s">
        <v>565</v>
      </c>
      <c r="E89" t="s">
        <v>1834</v>
      </c>
    </row>
    <row r="90" spans="1:5" x14ac:dyDescent="0.25">
      <c r="A90" t="s">
        <v>689</v>
      </c>
      <c r="B90" t="s">
        <v>690</v>
      </c>
      <c r="C90" t="s">
        <v>565</v>
      </c>
      <c r="E90" t="s">
        <v>1835</v>
      </c>
    </row>
    <row r="91" spans="1:5" x14ac:dyDescent="0.25">
      <c r="A91" t="s">
        <v>1625</v>
      </c>
      <c r="B91" t="s">
        <v>1626</v>
      </c>
      <c r="C91" t="s">
        <v>565</v>
      </c>
      <c r="E91" t="s">
        <v>1836</v>
      </c>
    </row>
    <row r="92" spans="1:5" x14ac:dyDescent="0.25">
      <c r="A92" t="s">
        <v>1627</v>
      </c>
      <c r="B92" t="s">
        <v>1628</v>
      </c>
      <c r="C92" t="s">
        <v>565</v>
      </c>
      <c r="E92" t="s">
        <v>1836</v>
      </c>
    </row>
    <row r="93" spans="1:5" x14ac:dyDescent="0.25">
      <c r="A93" t="s">
        <v>691</v>
      </c>
      <c r="B93" t="s">
        <v>692</v>
      </c>
      <c r="C93" t="s">
        <v>565</v>
      </c>
      <c r="E93" t="s">
        <v>691</v>
      </c>
    </row>
    <row r="94" spans="1:5" x14ac:dyDescent="0.25">
      <c r="A94" t="s">
        <v>693</v>
      </c>
      <c r="B94" t="s">
        <v>694</v>
      </c>
      <c r="C94" t="s">
        <v>565</v>
      </c>
      <c r="E94" t="s">
        <v>1837</v>
      </c>
    </row>
    <row r="95" spans="1:5" x14ac:dyDescent="0.25">
      <c r="A95" t="s">
        <v>872</v>
      </c>
      <c r="B95" t="s">
        <v>873</v>
      </c>
      <c r="C95" t="s">
        <v>739</v>
      </c>
      <c r="E95" t="s">
        <v>1945</v>
      </c>
    </row>
    <row r="96" spans="1:5" x14ac:dyDescent="0.25">
      <c r="A96" t="s">
        <v>1633</v>
      </c>
      <c r="B96" t="s">
        <v>1634</v>
      </c>
      <c r="C96" t="s">
        <v>565</v>
      </c>
      <c r="E96" t="s">
        <v>1838</v>
      </c>
    </row>
    <row r="97" spans="1:5" x14ac:dyDescent="0.25">
      <c r="A97" t="s">
        <v>1635</v>
      </c>
      <c r="B97" t="s">
        <v>1636</v>
      </c>
      <c r="C97" t="s">
        <v>565</v>
      </c>
      <c r="E97" t="s">
        <v>1838</v>
      </c>
    </row>
    <row r="98" spans="1:5" x14ac:dyDescent="0.25">
      <c r="A98" t="s">
        <v>772</v>
      </c>
      <c r="B98" t="s">
        <v>773</v>
      </c>
      <c r="C98" t="s">
        <v>565</v>
      </c>
      <c r="E98" t="s">
        <v>1839</v>
      </c>
    </row>
    <row r="99" spans="1:5" x14ac:dyDescent="0.25">
      <c r="A99" t="s">
        <v>695</v>
      </c>
      <c r="B99" t="s">
        <v>696</v>
      </c>
      <c r="C99" t="s">
        <v>565</v>
      </c>
      <c r="E99" t="s">
        <v>1840</v>
      </c>
    </row>
    <row r="100" spans="1:5" x14ac:dyDescent="0.25">
      <c r="A100" t="s">
        <v>697</v>
      </c>
      <c r="B100" t="s">
        <v>698</v>
      </c>
      <c r="C100" t="s">
        <v>565</v>
      </c>
      <c r="E100" t="s">
        <v>1840</v>
      </c>
    </row>
    <row r="101" spans="1:5" x14ac:dyDescent="0.25">
      <c r="A101" t="s">
        <v>699</v>
      </c>
      <c r="B101" t="s">
        <v>700</v>
      </c>
      <c r="C101" t="s">
        <v>565</v>
      </c>
      <c r="E101" t="s">
        <v>1840</v>
      </c>
    </row>
    <row r="102" spans="1:5" x14ac:dyDescent="0.25">
      <c r="A102" t="s">
        <v>774</v>
      </c>
      <c r="B102" t="s">
        <v>775</v>
      </c>
      <c r="C102" t="s">
        <v>565</v>
      </c>
      <c r="E102" t="s">
        <v>1841</v>
      </c>
    </row>
    <row r="103" spans="1:5" x14ac:dyDescent="0.25">
      <c r="A103" t="s">
        <v>1074</v>
      </c>
      <c r="B103" t="s">
        <v>1075</v>
      </c>
      <c r="C103" t="s">
        <v>565</v>
      </c>
      <c r="E103" t="s">
        <v>1074</v>
      </c>
    </row>
    <row r="104" spans="1:5" x14ac:dyDescent="0.25">
      <c r="A104" t="s">
        <v>705</v>
      </c>
      <c r="B104" t="s">
        <v>706</v>
      </c>
      <c r="C104" t="s">
        <v>565</v>
      </c>
      <c r="E104" t="s">
        <v>1842</v>
      </c>
    </row>
    <row r="105" spans="1:5" x14ac:dyDescent="0.25">
      <c r="A105" t="s">
        <v>1629</v>
      </c>
      <c r="B105" t="s">
        <v>1630</v>
      </c>
      <c r="C105" t="s">
        <v>565</v>
      </c>
      <c r="E105" t="s">
        <v>1629</v>
      </c>
    </row>
    <row r="106" spans="1:5" x14ac:dyDescent="0.25">
      <c r="A106" t="s">
        <v>1631</v>
      </c>
      <c r="B106" t="s">
        <v>1632</v>
      </c>
      <c r="C106" t="s">
        <v>565</v>
      </c>
      <c r="E106" t="s">
        <v>1629</v>
      </c>
    </row>
    <row r="107" spans="1:5" x14ac:dyDescent="0.25">
      <c r="A107" t="s">
        <v>707</v>
      </c>
      <c r="B107" t="s">
        <v>708</v>
      </c>
      <c r="C107" t="s">
        <v>565</v>
      </c>
      <c r="E107" t="s">
        <v>707</v>
      </c>
    </row>
    <row r="108" spans="1:5" x14ac:dyDescent="0.25">
      <c r="A108" t="s">
        <v>701</v>
      </c>
      <c r="B108" t="s">
        <v>702</v>
      </c>
      <c r="C108" t="s">
        <v>565</v>
      </c>
      <c r="E108" t="s">
        <v>1843</v>
      </c>
    </row>
    <row r="109" spans="1:5" x14ac:dyDescent="0.25">
      <c r="A109" t="s">
        <v>703</v>
      </c>
      <c r="B109" t="s">
        <v>704</v>
      </c>
      <c r="C109" t="s">
        <v>565</v>
      </c>
      <c r="E109" t="s">
        <v>1843</v>
      </c>
    </row>
    <row r="110" spans="1:5" x14ac:dyDescent="0.25">
      <c r="A110" t="s">
        <v>713</v>
      </c>
      <c r="B110" t="s">
        <v>714</v>
      </c>
      <c r="C110" t="s">
        <v>565</v>
      </c>
      <c r="E110" t="s">
        <v>713</v>
      </c>
    </row>
    <row r="111" spans="1:5" x14ac:dyDescent="0.25">
      <c r="A111" t="s">
        <v>715</v>
      </c>
      <c r="B111" t="s">
        <v>716</v>
      </c>
      <c r="C111" t="s">
        <v>565</v>
      </c>
      <c r="E111" t="s">
        <v>715</v>
      </c>
    </row>
    <row r="112" spans="1:5" x14ac:dyDescent="0.25">
      <c r="A112" t="s">
        <v>709</v>
      </c>
      <c r="B112" t="s">
        <v>710</v>
      </c>
      <c r="C112" t="s">
        <v>565</v>
      </c>
      <c r="E112" t="s">
        <v>709</v>
      </c>
    </row>
    <row r="113" spans="1:5" x14ac:dyDescent="0.25">
      <c r="A113" t="s">
        <v>711</v>
      </c>
      <c r="B113" t="s">
        <v>712</v>
      </c>
      <c r="C113" t="s">
        <v>565</v>
      </c>
      <c r="E113" t="s">
        <v>709</v>
      </c>
    </row>
    <row r="114" spans="1:5" x14ac:dyDescent="0.25">
      <c r="A114" t="s">
        <v>717</v>
      </c>
      <c r="B114" t="s">
        <v>718</v>
      </c>
      <c r="C114" t="s">
        <v>565</v>
      </c>
      <c r="E114" t="s">
        <v>709</v>
      </c>
    </row>
    <row r="115" spans="1:5" x14ac:dyDescent="0.25">
      <c r="A115" t="s">
        <v>776</v>
      </c>
      <c r="B115" t="s">
        <v>777</v>
      </c>
      <c r="C115" t="s">
        <v>565</v>
      </c>
      <c r="E115" s="31" t="s">
        <v>1944</v>
      </c>
    </row>
    <row r="116" spans="1:5" x14ac:dyDescent="0.25">
      <c r="A116" t="s">
        <v>742</v>
      </c>
      <c r="B116" t="s">
        <v>743</v>
      </c>
      <c r="C116" t="s">
        <v>565</v>
      </c>
      <c r="E116" t="s">
        <v>742</v>
      </c>
    </row>
    <row r="117" spans="1:5" x14ac:dyDescent="0.25">
      <c r="A117" t="s">
        <v>744</v>
      </c>
      <c r="B117" t="s">
        <v>745</v>
      </c>
      <c r="C117" t="s">
        <v>565</v>
      </c>
      <c r="E117" t="s">
        <v>744</v>
      </c>
    </row>
    <row r="118" spans="1:5" x14ac:dyDescent="0.25">
      <c r="A118" t="s">
        <v>778</v>
      </c>
      <c r="B118" t="s">
        <v>779</v>
      </c>
      <c r="C118" t="s">
        <v>565</v>
      </c>
      <c r="E118" t="s">
        <v>1844</v>
      </c>
    </row>
    <row r="119" spans="1:5" x14ac:dyDescent="0.25">
      <c r="A119" t="s">
        <v>746</v>
      </c>
      <c r="B119" t="s">
        <v>747</v>
      </c>
      <c r="C119" t="s">
        <v>565</v>
      </c>
      <c r="E119" t="s">
        <v>746</v>
      </c>
    </row>
    <row r="120" spans="1:5" x14ac:dyDescent="0.25">
      <c r="A120" t="s">
        <v>780</v>
      </c>
      <c r="B120" t="s">
        <v>781</v>
      </c>
      <c r="C120" t="s">
        <v>565</v>
      </c>
      <c r="E120" s="31" t="s">
        <v>1944</v>
      </c>
    </row>
    <row r="121" spans="1:5" x14ac:dyDescent="0.25">
      <c r="A121" t="s">
        <v>874</v>
      </c>
      <c r="B121" t="s">
        <v>875</v>
      </c>
      <c r="C121" t="s">
        <v>739</v>
      </c>
      <c r="E121" t="s">
        <v>1945</v>
      </c>
    </row>
    <row r="122" spans="1:5" x14ac:dyDescent="0.25">
      <c r="A122" t="s">
        <v>1317</v>
      </c>
      <c r="B122" t="s">
        <v>1318</v>
      </c>
      <c r="C122" t="s">
        <v>739</v>
      </c>
      <c r="E122" t="s">
        <v>1945</v>
      </c>
    </row>
    <row r="123" spans="1:5" x14ac:dyDescent="0.25">
      <c r="A123" t="s">
        <v>1315</v>
      </c>
      <c r="B123" t="s">
        <v>1316</v>
      </c>
      <c r="C123" t="s">
        <v>565</v>
      </c>
      <c r="E123" t="s">
        <v>1845</v>
      </c>
    </row>
    <row r="124" spans="1:5" x14ac:dyDescent="0.25">
      <c r="A124" t="s">
        <v>748</v>
      </c>
      <c r="B124" t="s">
        <v>749</v>
      </c>
      <c r="C124" t="s">
        <v>565</v>
      </c>
      <c r="E124" t="s">
        <v>748</v>
      </c>
    </row>
    <row r="125" spans="1:5" x14ac:dyDescent="0.25">
      <c r="A125" t="s">
        <v>782</v>
      </c>
      <c r="B125" t="s">
        <v>783</v>
      </c>
      <c r="C125" t="s">
        <v>565</v>
      </c>
      <c r="E125" s="31" t="s">
        <v>1944</v>
      </c>
    </row>
    <row r="126" spans="1:5" x14ac:dyDescent="0.25">
      <c r="A126" t="s">
        <v>1006</v>
      </c>
      <c r="B126" t="s">
        <v>1007</v>
      </c>
      <c r="C126" t="s">
        <v>565</v>
      </c>
      <c r="E126" s="31" t="s">
        <v>1942</v>
      </c>
    </row>
    <row r="127" spans="1:5" x14ac:dyDescent="0.25">
      <c r="A127" t="s">
        <v>752</v>
      </c>
      <c r="B127" t="s">
        <v>753</v>
      </c>
      <c r="C127" t="s">
        <v>565</v>
      </c>
      <c r="E127" t="s">
        <v>752</v>
      </c>
    </row>
    <row r="128" spans="1:5" x14ac:dyDescent="0.25">
      <c r="A128" t="s">
        <v>914</v>
      </c>
      <c r="B128" t="s">
        <v>915</v>
      </c>
      <c r="C128" t="s">
        <v>565</v>
      </c>
      <c r="E128" t="s">
        <v>914</v>
      </c>
    </row>
    <row r="129" spans="1:5" x14ac:dyDescent="0.25">
      <c r="A129" t="s">
        <v>916</v>
      </c>
      <c r="B129" t="s">
        <v>917</v>
      </c>
      <c r="C129" t="s">
        <v>565</v>
      </c>
      <c r="E129" s="31" t="s">
        <v>1954</v>
      </c>
    </row>
    <row r="130" spans="1:5" x14ac:dyDescent="0.25">
      <c r="A130" t="s">
        <v>936</v>
      </c>
      <c r="B130" t="s">
        <v>937</v>
      </c>
      <c r="C130" t="s">
        <v>565</v>
      </c>
      <c r="E130" t="s">
        <v>936</v>
      </c>
    </row>
    <row r="131" spans="1:5" x14ac:dyDescent="0.25">
      <c r="A131" t="s">
        <v>784</v>
      </c>
      <c r="B131" t="s">
        <v>785</v>
      </c>
      <c r="C131" t="s">
        <v>565</v>
      </c>
      <c r="E131" s="31" t="s">
        <v>1944</v>
      </c>
    </row>
    <row r="132" spans="1:5" x14ac:dyDescent="0.25">
      <c r="A132" t="s">
        <v>784</v>
      </c>
      <c r="B132" t="s">
        <v>785</v>
      </c>
      <c r="C132" t="s">
        <v>565</v>
      </c>
      <c r="E132" s="31" t="s">
        <v>1944</v>
      </c>
    </row>
    <row r="133" spans="1:5" x14ac:dyDescent="0.25">
      <c r="A133" t="s">
        <v>786</v>
      </c>
      <c r="B133" t="s">
        <v>787</v>
      </c>
      <c r="C133" t="s">
        <v>565</v>
      </c>
      <c r="E133" s="31" t="s">
        <v>1944</v>
      </c>
    </row>
    <row r="134" spans="1:5" x14ac:dyDescent="0.25">
      <c r="A134" t="s">
        <v>938</v>
      </c>
      <c r="B134" t="s">
        <v>939</v>
      </c>
      <c r="C134" t="s">
        <v>565</v>
      </c>
      <c r="E134" t="s">
        <v>938</v>
      </c>
    </row>
    <row r="135" spans="1:5" x14ac:dyDescent="0.25">
      <c r="A135" t="s">
        <v>942</v>
      </c>
      <c r="B135" t="s">
        <v>943</v>
      </c>
      <c r="C135" t="s">
        <v>565</v>
      </c>
      <c r="E135" t="s">
        <v>1846</v>
      </c>
    </row>
    <row r="136" spans="1:5" x14ac:dyDescent="0.25">
      <c r="A136" t="s">
        <v>944</v>
      </c>
      <c r="B136" t="s">
        <v>945</v>
      </c>
      <c r="C136" t="s">
        <v>565</v>
      </c>
      <c r="E136" t="s">
        <v>1846</v>
      </c>
    </row>
    <row r="137" spans="1:5" x14ac:dyDescent="0.25">
      <c r="A137" t="s">
        <v>950</v>
      </c>
      <c r="B137" t="s">
        <v>951</v>
      </c>
      <c r="C137" t="s">
        <v>565</v>
      </c>
      <c r="E137" t="s">
        <v>950</v>
      </c>
    </row>
    <row r="138" spans="1:5" x14ac:dyDescent="0.25">
      <c r="A138" t="s">
        <v>952</v>
      </c>
      <c r="B138" t="s">
        <v>953</v>
      </c>
      <c r="C138" t="s">
        <v>565</v>
      </c>
      <c r="E138" t="s">
        <v>952</v>
      </c>
    </row>
    <row r="139" spans="1:5" x14ac:dyDescent="0.25">
      <c r="A139" t="s">
        <v>876</v>
      </c>
      <c r="B139" t="s">
        <v>877</v>
      </c>
      <c r="C139" t="s">
        <v>739</v>
      </c>
      <c r="E139" t="s">
        <v>1945</v>
      </c>
    </row>
    <row r="140" spans="1:5" x14ac:dyDescent="0.25">
      <c r="A140" t="s">
        <v>946</v>
      </c>
      <c r="B140" t="s">
        <v>947</v>
      </c>
      <c r="C140" t="s">
        <v>565</v>
      </c>
      <c r="E140" t="s">
        <v>1847</v>
      </c>
    </row>
    <row r="141" spans="1:5" x14ac:dyDescent="0.25">
      <c r="A141" t="s">
        <v>948</v>
      </c>
      <c r="B141" t="s">
        <v>949</v>
      </c>
      <c r="C141" t="s">
        <v>565</v>
      </c>
      <c r="E141" t="s">
        <v>948</v>
      </c>
    </row>
    <row r="142" spans="1:5" x14ac:dyDescent="0.25">
      <c r="A142" t="s">
        <v>954</v>
      </c>
      <c r="B142" t="s">
        <v>955</v>
      </c>
      <c r="C142" t="s">
        <v>565</v>
      </c>
      <c r="E142" t="s">
        <v>1848</v>
      </c>
    </row>
    <row r="143" spans="1:5" x14ac:dyDescent="0.25">
      <c r="A143" t="s">
        <v>956</v>
      </c>
      <c r="B143" t="s">
        <v>957</v>
      </c>
      <c r="C143" t="s">
        <v>565</v>
      </c>
      <c r="E143" t="s">
        <v>1848</v>
      </c>
    </row>
    <row r="144" spans="1:5" x14ac:dyDescent="0.25">
      <c r="A144" t="s">
        <v>958</v>
      </c>
      <c r="B144" t="s">
        <v>959</v>
      </c>
      <c r="C144" t="s">
        <v>565</v>
      </c>
      <c r="E144" t="s">
        <v>958</v>
      </c>
    </row>
    <row r="145" spans="1:5" x14ac:dyDescent="0.25">
      <c r="A145" t="s">
        <v>960</v>
      </c>
      <c r="B145" t="s">
        <v>961</v>
      </c>
      <c r="C145" t="s">
        <v>565</v>
      </c>
      <c r="E145" t="s">
        <v>1849</v>
      </c>
    </row>
    <row r="146" spans="1:5" x14ac:dyDescent="0.25">
      <c r="A146" t="s">
        <v>962</v>
      </c>
      <c r="B146" t="s">
        <v>963</v>
      </c>
      <c r="C146" t="s">
        <v>565</v>
      </c>
      <c r="E146" t="s">
        <v>1849</v>
      </c>
    </row>
    <row r="147" spans="1:5" x14ac:dyDescent="0.25">
      <c r="A147" t="s">
        <v>1080</v>
      </c>
      <c r="B147" t="s">
        <v>1081</v>
      </c>
      <c r="C147" t="s">
        <v>565</v>
      </c>
      <c r="E147" t="s">
        <v>1849</v>
      </c>
    </row>
    <row r="148" spans="1:5" x14ac:dyDescent="0.25">
      <c r="A148" t="s">
        <v>964</v>
      </c>
      <c r="B148" t="s">
        <v>965</v>
      </c>
      <c r="C148" t="s">
        <v>565</v>
      </c>
      <c r="E148" t="s">
        <v>1849</v>
      </c>
    </row>
    <row r="149" spans="1:5" x14ac:dyDescent="0.25">
      <c r="A149" t="s">
        <v>972</v>
      </c>
      <c r="B149" t="s">
        <v>973</v>
      </c>
      <c r="C149" t="s">
        <v>565</v>
      </c>
      <c r="E149" t="s">
        <v>1849</v>
      </c>
    </row>
    <row r="150" spans="1:5" x14ac:dyDescent="0.25">
      <c r="A150" t="s">
        <v>966</v>
      </c>
      <c r="B150" t="s">
        <v>967</v>
      </c>
      <c r="C150" t="s">
        <v>565</v>
      </c>
      <c r="E150" t="s">
        <v>1849</v>
      </c>
    </row>
    <row r="151" spans="1:5" x14ac:dyDescent="0.25">
      <c r="A151" t="s">
        <v>968</v>
      </c>
      <c r="B151" t="s">
        <v>969</v>
      </c>
      <c r="C151" t="s">
        <v>565</v>
      </c>
      <c r="E151" t="s">
        <v>1849</v>
      </c>
    </row>
    <row r="152" spans="1:5" x14ac:dyDescent="0.25">
      <c r="A152" t="s">
        <v>970</v>
      </c>
      <c r="B152" t="s">
        <v>971</v>
      </c>
      <c r="C152" t="s">
        <v>565</v>
      </c>
      <c r="E152" t="s">
        <v>1849</v>
      </c>
    </row>
    <row r="153" spans="1:5" x14ac:dyDescent="0.25">
      <c r="A153" t="s">
        <v>976</v>
      </c>
      <c r="B153" t="s">
        <v>977</v>
      </c>
      <c r="C153" t="s">
        <v>565</v>
      </c>
      <c r="E153" t="s">
        <v>976</v>
      </c>
    </row>
    <row r="154" spans="1:5" x14ac:dyDescent="0.25">
      <c r="A154" t="s">
        <v>978</v>
      </c>
      <c r="B154" t="s">
        <v>979</v>
      </c>
      <c r="C154" t="s">
        <v>565</v>
      </c>
      <c r="E154" t="s">
        <v>978</v>
      </c>
    </row>
    <row r="155" spans="1:5" x14ac:dyDescent="0.25">
      <c r="A155" t="s">
        <v>980</v>
      </c>
      <c r="B155" t="s">
        <v>981</v>
      </c>
      <c r="C155" t="s">
        <v>565</v>
      </c>
      <c r="E155" t="s">
        <v>980</v>
      </c>
    </row>
    <row r="156" spans="1:5" x14ac:dyDescent="0.25">
      <c r="A156" t="s">
        <v>982</v>
      </c>
      <c r="B156" t="s">
        <v>983</v>
      </c>
      <c r="C156" t="s">
        <v>565</v>
      </c>
      <c r="E156" t="s">
        <v>1850</v>
      </c>
    </row>
    <row r="157" spans="1:5" x14ac:dyDescent="0.25">
      <c r="A157" t="s">
        <v>986</v>
      </c>
      <c r="B157" t="s">
        <v>987</v>
      </c>
      <c r="C157" t="s">
        <v>565</v>
      </c>
      <c r="E157" t="s">
        <v>986</v>
      </c>
    </row>
    <row r="158" spans="1:5" x14ac:dyDescent="0.25">
      <c r="A158" t="s">
        <v>988</v>
      </c>
      <c r="B158" t="s">
        <v>989</v>
      </c>
      <c r="C158" t="s">
        <v>565</v>
      </c>
      <c r="E158" t="s">
        <v>988</v>
      </c>
    </row>
    <row r="159" spans="1:5" x14ac:dyDescent="0.25">
      <c r="A159" t="s">
        <v>990</v>
      </c>
      <c r="B159" t="s">
        <v>991</v>
      </c>
      <c r="C159" t="s">
        <v>565</v>
      </c>
      <c r="E159" t="s">
        <v>1851</v>
      </c>
    </row>
    <row r="160" spans="1:5" x14ac:dyDescent="0.25">
      <c r="A160" t="s">
        <v>788</v>
      </c>
      <c r="B160" t="s">
        <v>789</v>
      </c>
      <c r="C160" t="s">
        <v>565</v>
      </c>
      <c r="E160" t="s">
        <v>788</v>
      </c>
    </row>
    <row r="161" spans="1:5" x14ac:dyDescent="0.25">
      <c r="A161" t="s">
        <v>878</v>
      </c>
      <c r="B161" t="s">
        <v>879</v>
      </c>
      <c r="C161" t="s">
        <v>739</v>
      </c>
      <c r="E161" t="s">
        <v>1945</v>
      </c>
    </row>
    <row r="162" spans="1:5" x14ac:dyDescent="0.25">
      <c r="A162" t="s">
        <v>719</v>
      </c>
      <c r="B162" t="s">
        <v>720</v>
      </c>
      <c r="C162" t="s">
        <v>565</v>
      </c>
      <c r="E162" t="s">
        <v>1852</v>
      </c>
    </row>
    <row r="163" spans="1:5" x14ac:dyDescent="0.25">
      <c r="A163" t="s">
        <v>721</v>
      </c>
      <c r="B163" t="s">
        <v>722</v>
      </c>
      <c r="C163" t="s">
        <v>565</v>
      </c>
      <c r="E163" t="s">
        <v>1852</v>
      </c>
    </row>
    <row r="164" spans="1:5" x14ac:dyDescent="0.25">
      <c r="A164" t="s">
        <v>723</v>
      </c>
      <c r="B164" t="s">
        <v>724</v>
      </c>
      <c r="C164" t="s">
        <v>565</v>
      </c>
      <c r="E164" t="s">
        <v>1852</v>
      </c>
    </row>
    <row r="165" spans="1:5" x14ac:dyDescent="0.25">
      <c r="A165" t="s">
        <v>725</v>
      </c>
      <c r="B165" t="s">
        <v>726</v>
      </c>
      <c r="C165" t="s">
        <v>565</v>
      </c>
      <c r="E165" t="s">
        <v>1852</v>
      </c>
    </row>
    <row r="166" spans="1:5" x14ac:dyDescent="0.25">
      <c r="A166" t="s">
        <v>727</v>
      </c>
      <c r="B166" t="s">
        <v>728</v>
      </c>
      <c r="C166" t="s">
        <v>565</v>
      </c>
      <c r="E166" t="s">
        <v>1852</v>
      </c>
    </row>
    <row r="167" spans="1:5" x14ac:dyDescent="0.25">
      <c r="A167" t="s">
        <v>729</v>
      </c>
      <c r="B167" t="s">
        <v>730</v>
      </c>
      <c r="C167" t="s">
        <v>565</v>
      </c>
      <c r="E167" t="s">
        <v>1852</v>
      </c>
    </row>
    <row r="168" spans="1:5" x14ac:dyDescent="0.25">
      <c r="A168" t="s">
        <v>731</v>
      </c>
      <c r="B168" t="s">
        <v>732</v>
      </c>
      <c r="C168" t="s">
        <v>565</v>
      </c>
      <c r="E168" t="s">
        <v>1852</v>
      </c>
    </row>
    <row r="169" spans="1:5" x14ac:dyDescent="0.25">
      <c r="A169" t="s">
        <v>733</v>
      </c>
      <c r="B169" t="s">
        <v>734</v>
      </c>
      <c r="C169" t="s">
        <v>565</v>
      </c>
      <c r="E169" t="s">
        <v>1852</v>
      </c>
    </row>
    <row r="170" spans="1:5" x14ac:dyDescent="0.25">
      <c r="A170" t="s">
        <v>735</v>
      </c>
      <c r="B170" t="s">
        <v>736</v>
      </c>
      <c r="C170" t="s">
        <v>565</v>
      </c>
      <c r="E170" t="s">
        <v>1852</v>
      </c>
    </row>
    <row r="171" spans="1:5" x14ac:dyDescent="0.25">
      <c r="A171" t="s">
        <v>992</v>
      </c>
      <c r="B171" t="s">
        <v>993</v>
      </c>
      <c r="C171" t="s">
        <v>565</v>
      </c>
      <c r="E171" t="s">
        <v>992</v>
      </c>
    </row>
    <row r="172" spans="1:5" x14ac:dyDescent="0.25">
      <c r="A172" t="s">
        <v>994</v>
      </c>
      <c r="B172" t="s">
        <v>995</v>
      </c>
      <c r="C172" t="s">
        <v>565</v>
      </c>
      <c r="E172" t="s">
        <v>994</v>
      </c>
    </row>
    <row r="173" spans="1:5" x14ac:dyDescent="0.25">
      <c r="A173" t="s">
        <v>790</v>
      </c>
      <c r="B173" t="s">
        <v>791</v>
      </c>
      <c r="C173" t="s">
        <v>565</v>
      </c>
      <c r="E173" t="s">
        <v>1853</v>
      </c>
    </row>
    <row r="174" spans="1:5" x14ac:dyDescent="0.25">
      <c r="A174" t="s">
        <v>1028</v>
      </c>
      <c r="B174" t="s">
        <v>1029</v>
      </c>
      <c r="C174" t="s">
        <v>565</v>
      </c>
      <c r="E174" t="s">
        <v>1854</v>
      </c>
    </row>
    <row r="175" spans="1:5" x14ac:dyDescent="0.25">
      <c r="A175" t="s">
        <v>1032</v>
      </c>
      <c r="B175" t="s">
        <v>1033</v>
      </c>
      <c r="C175" t="s">
        <v>565</v>
      </c>
      <c r="E175" t="s">
        <v>1032</v>
      </c>
    </row>
    <row r="176" spans="1:5" x14ac:dyDescent="0.25">
      <c r="A176" t="s">
        <v>1082</v>
      </c>
      <c r="B176" t="s">
        <v>1083</v>
      </c>
      <c r="C176" t="s">
        <v>565</v>
      </c>
      <c r="E176" t="s">
        <v>1855</v>
      </c>
    </row>
    <row r="177" spans="1:5" x14ac:dyDescent="0.25">
      <c r="A177" t="s">
        <v>1034</v>
      </c>
      <c r="B177" t="s">
        <v>1035</v>
      </c>
      <c r="C177" t="s">
        <v>565</v>
      </c>
      <c r="E177" t="s">
        <v>1856</v>
      </c>
    </row>
    <row r="178" spans="1:5" x14ac:dyDescent="0.25">
      <c r="A178" t="s">
        <v>1036</v>
      </c>
      <c r="B178" t="s">
        <v>1037</v>
      </c>
      <c r="C178" t="s">
        <v>565</v>
      </c>
      <c r="E178" t="s">
        <v>1856</v>
      </c>
    </row>
    <row r="179" spans="1:5" x14ac:dyDescent="0.25">
      <c r="A179" t="s">
        <v>792</v>
      </c>
      <c r="B179" t="s">
        <v>793</v>
      </c>
      <c r="C179" t="s">
        <v>565</v>
      </c>
      <c r="E179" t="s">
        <v>1857</v>
      </c>
    </row>
    <row r="180" spans="1:5" x14ac:dyDescent="0.25">
      <c r="A180" t="s">
        <v>1056</v>
      </c>
      <c r="B180" t="s">
        <v>1057</v>
      </c>
      <c r="C180" t="s">
        <v>565</v>
      </c>
      <c r="E180" t="s">
        <v>1858</v>
      </c>
    </row>
    <row r="181" spans="1:5" x14ac:dyDescent="0.25">
      <c r="A181" t="s">
        <v>1058</v>
      </c>
      <c r="B181" t="s">
        <v>1059</v>
      </c>
      <c r="C181" t="s">
        <v>565</v>
      </c>
      <c r="E181" t="s">
        <v>1859</v>
      </c>
    </row>
    <row r="182" spans="1:5" x14ac:dyDescent="0.25">
      <c r="A182" t="s">
        <v>1060</v>
      </c>
      <c r="B182" t="s">
        <v>1061</v>
      </c>
      <c r="C182" t="s">
        <v>565</v>
      </c>
      <c r="E182" t="s">
        <v>1860</v>
      </c>
    </row>
    <row r="183" spans="1:5" x14ac:dyDescent="0.25">
      <c r="A183" t="s">
        <v>1062</v>
      </c>
      <c r="B183" t="s">
        <v>1063</v>
      </c>
      <c r="C183" t="s">
        <v>565</v>
      </c>
      <c r="E183" t="s">
        <v>1860</v>
      </c>
    </row>
    <row r="184" spans="1:5" x14ac:dyDescent="0.25">
      <c r="A184" t="s">
        <v>1064</v>
      </c>
      <c r="B184" t="s">
        <v>1065</v>
      </c>
      <c r="C184" t="s">
        <v>565</v>
      </c>
      <c r="E184" t="s">
        <v>1064</v>
      </c>
    </row>
    <row r="185" spans="1:5" x14ac:dyDescent="0.25">
      <c r="A185" t="s">
        <v>1066</v>
      </c>
      <c r="B185" t="s">
        <v>1067</v>
      </c>
      <c r="C185" t="s">
        <v>565</v>
      </c>
      <c r="E185" t="s">
        <v>1066</v>
      </c>
    </row>
    <row r="186" spans="1:5" x14ac:dyDescent="0.25">
      <c r="A186" t="s">
        <v>1068</v>
      </c>
      <c r="B186" t="s">
        <v>1069</v>
      </c>
      <c r="C186" t="s">
        <v>565</v>
      </c>
      <c r="E186" t="s">
        <v>1861</v>
      </c>
    </row>
    <row r="187" spans="1:5" x14ac:dyDescent="0.25">
      <c r="A187" t="s">
        <v>1070</v>
      </c>
      <c r="B187" t="s">
        <v>1071</v>
      </c>
      <c r="C187" t="s">
        <v>565</v>
      </c>
      <c r="E187" t="s">
        <v>1862</v>
      </c>
    </row>
    <row r="188" spans="1:5" x14ac:dyDescent="0.25">
      <c r="A188" t="s">
        <v>794</v>
      </c>
      <c r="B188" t="s">
        <v>795</v>
      </c>
      <c r="C188" t="s">
        <v>565</v>
      </c>
      <c r="E188" s="31" t="s">
        <v>1944</v>
      </c>
    </row>
    <row r="189" spans="1:5" x14ac:dyDescent="0.25">
      <c r="A189" t="s">
        <v>1072</v>
      </c>
      <c r="B189" t="s">
        <v>1073</v>
      </c>
      <c r="C189" t="s">
        <v>565</v>
      </c>
      <c r="E189" t="s">
        <v>1072</v>
      </c>
    </row>
    <row r="190" spans="1:5" x14ac:dyDescent="0.25">
      <c r="A190" t="s">
        <v>1076</v>
      </c>
      <c r="B190" t="s">
        <v>1077</v>
      </c>
      <c r="C190" t="s">
        <v>565</v>
      </c>
      <c r="E190" t="s">
        <v>1863</v>
      </c>
    </row>
    <row r="191" spans="1:5" x14ac:dyDescent="0.25">
      <c r="A191" t="s">
        <v>1078</v>
      </c>
      <c r="B191" t="s">
        <v>1079</v>
      </c>
      <c r="C191" t="s">
        <v>565</v>
      </c>
      <c r="E191" t="s">
        <v>1863</v>
      </c>
    </row>
    <row r="192" spans="1:5" x14ac:dyDescent="0.25">
      <c r="A192" t="s">
        <v>1086</v>
      </c>
      <c r="B192" t="s">
        <v>1087</v>
      </c>
      <c r="C192" t="s">
        <v>565</v>
      </c>
      <c r="E192" t="s">
        <v>1086</v>
      </c>
    </row>
    <row r="193" spans="1:5" x14ac:dyDescent="0.25">
      <c r="A193" t="s">
        <v>1084</v>
      </c>
      <c r="B193" t="s">
        <v>1085</v>
      </c>
      <c r="C193" t="s">
        <v>565</v>
      </c>
      <c r="E193" t="s">
        <v>1864</v>
      </c>
    </row>
    <row r="194" spans="1:5" x14ac:dyDescent="0.25">
      <c r="A194" t="s">
        <v>1088</v>
      </c>
      <c r="B194" t="s">
        <v>1089</v>
      </c>
      <c r="C194" t="s">
        <v>565</v>
      </c>
      <c r="E194" t="s">
        <v>1864</v>
      </c>
    </row>
    <row r="195" spans="1:5" x14ac:dyDescent="0.25">
      <c r="A195" t="s">
        <v>1094</v>
      </c>
      <c r="B195" t="s">
        <v>1095</v>
      </c>
      <c r="C195" t="s">
        <v>565</v>
      </c>
      <c r="E195" t="s">
        <v>1094</v>
      </c>
    </row>
    <row r="196" spans="1:5" x14ac:dyDescent="0.25">
      <c r="A196" t="s">
        <v>1096</v>
      </c>
      <c r="B196" t="s">
        <v>1097</v>
      </c>
      <c r="C196" t="s">
        <v>565</v>
      </c>
      <c r="E196" t="s">
        <v>1865</v>
      </c>
    </row>
    <row r="197" spans="1:5" x14ac:dyDescent="0.25">
      <c r="A197" t="s">
        <v>1112</v>
      </c>
      <c r="B197" t="s">
        <v>1113</v>
      </c>
      <c r="C197" t="s">
        <v>565</v>
      </c>
      <c r="E197" t="s">
        <v>1866</v>
      </c>
    </row>
    <row r="198" spans="1:5" x14ac:dyDescent="0.25">
      <c r="A198" t="s">
        <v>1098</v>
      </c>
      <c r="B198" t="s">
        <v>1099</v>
      </c>
      <c r="C198" t="s">
        <v>565</v>
      </c>
      <c r="E198" t="s">
        <v>1867</v>
      </c>
    </row>
    <row r="199" spans="1:5" x14ac:dyDescent="0.25">
      <c r="A199" t="s">
        <v>1100</v>
      </c>
      <c r="B199" t="s">
        <v>1101</v>
      </c>
      <c r="C199" t="s">
        <v>565</v>
      </c>
      <c r="E199" t="s">
        <v>1100</v>
      </c>
    </row>
    <row r="200" spans="1:5" x14ac:dyDescent="0.25">
      <c r="A200" t="s">
        <v>1102</v>
      </c>
      <c r="B200" t="s">
        <v>1103</v>
      </c>
      <c r="C200" t="s">
        <v>565</v>
      </c>
      <c r="E200" t="s">
        <v>1868</v>
      </c>
    </row>
    <row r="201" spans="1:5" x14ac:dyDescent="0.25">
      <c r="A201" t="s">
        <v>1104</v>
      </c>
      <c r="B201" t="s">
        <v>1105</v>
      </c>
      <c r="C201" t="s">
        <v>565</v>
      </c>
      <c r="E201" t="s">
        <v>1868</v>
      </c>
    </row>
    <row r="202" spans="1:5" x14ac:dyDescent="0.25">
      <c r="A202" t="s">
        <v>1106</v>
      </c>
      <c r="B202" t="s">
        <v>1107</v>
      </c>
      <c r="C202" t="s">
        <v>565</v>
      </c>
      <c r="E202" t="s">
        <v>1106</v>
      </c>
    </row>
    <row r="203" spans="1:5" x14ac:dyDescent="0.25">
      <c r="A203" t="s">
        <v>1108</v>
      </c>
      <c r="B203" t="s">
        <v>1109</v>
      </c>
      <c r="C203" t="s">
        <v>565</v>
      </c>
      <c r="E203" t="s">
        <v>1108</v>
      </c>
    </row>
    <row r="204" spans="1:5" x14ac:dyDescent="0.25">
      <c r="A204" t="s">
        <v>1110</v>
      </c>
      <c r="B204" t="s">
        <v>1111</v>
      </c>
      <c r="C204" t="s">
        <v>565</v>
      </c>
      <c r="E204" t="s">
        <v>1110</v>
      </c>
    </row>
    <row r="205" spans="1:5" x14ac:dyDescent="0.25">
      <c r="A205" t="s">
        <v>974</v>
      </c>
      <c r="B205" t="s">
        <v>975</v>
      </c>
      <c r="C205" t="s">
        <v>565</v>
      </c>
      <c r="E205" t="s">
        <v>1869</v>
      </c>
    </row>
    <row r="206" spans="1:5" x14ac:dyDescent="0.25">
      <c r="A206" t="s">
        <v>1114</v>
      </c>
      <c r="B206" t="s">
        <v>1115</v>
      </c>
      <c r="C206" t="s">
        <v>565</v>
      </c>
      <c r="E206" t="s">
        <v>1870</v>
      </c>
    </row>
    <row r="207" spans="1:5" x14ac:dyDescent="0.25">
      <c r="A207" t="s">
        <v>1116</v>
      </c>
      <c r="B207" t="s">
        <v>1117</v>
      </c>
      <c r="C207" t="s">
        <v>565</v>
      </c>
      <c r="E207" t="s">
        <v>1870</v>
      </c>
    </row>
    <row r="208" spans="1:5" x14ac:dyDescent="0.25">
      <c r="A208" t="s">
        <v>1118</v>
      </c>
      <c r="B208" t="s">
        <v>1119</v>
      </c>
      <c r="C208" t="s">
        <v>565</v>
      </c>
      <c r="E208" t="s">
        <v>1118</v>
      </c>
    </row>
    <row r="209" spans="1:5" x14ac:dyDescent="0.25">
      <c r="A209" t="s">
        <v>1120</v>
      </c>
      <c r="B209" t="s">
        <v>1121</v>
      </c>
      <c r="C209" t="s">
        <v>565</v>
      </c>
      <c r="E209" t="s">
        <v>1120</v>
      </c>
    </row>
    <row r="210" spans="1:5" x14ac:dyDescent="0.25">
      <c r="A210" t="s">
        <v>880</v>
      </c>
      <c r="B210" t="s">
        <v>881</v>
      </c>
      <c r="C210" t="s">
        <v>739</v>
      </c>
      <c r="E210" t="s">
        <v>1945</v>
      </c>
    </row>
    <row r="211" spans="1:5" x14ac:dyDescent="0.25">
      <c r="A211" t="s">
        <v>796</v>
      </c>
      <c r="B211" t="s">
        <v>797</v>
      </c>
      <c r="C211" t="s">
        <v>565</v>
      </c>
      <c r="E211" t="s">
        <v>796</v>
      </c>
    </row>
    <row r="212" spans="1:5" x14ac:dyDescent="0.25">
      <c r="A212" t="s">
        <v>798</v>
      </c>
      <c r="B212" t="s">
        <v>799</v>
      </c>
      <c r="C212" t="s">
        <v>565</v>
      </c>
      <c r="E212" s="31" t="s">
        <v>1944</v>
      </c>
    </row>
    <row r="213" spans="1:5" x14ac:dyDescent="0.25">
      <c r="A213" t="s">
        <v>1122</v>
      </c>
      <c r="B213" t="s">
        <v>1123</v>
      </c>
      <c r="C213" t="s">
        <v>565</v>
      </c>
      <c r="E213" t="s">
        <v>1871</v>
      </c>
    </row>
    <row r="214" spans="1:5" x14ac:dyDescent="0.25">
      <c r="A214" t="s">
        <v>1124</v>
      </c>
      <c r="B214" t="s">
        <v>1125</v>
      </c>
      <c r="C214" t="s">
        <v>565</v>
      </c>
      <c r="E214" t="s">
        <v>1124</v>
      </c>
    </row>
    <row r="215" spans="1:5" x14ac:dyDescent="0.25">
      <c r="A215" t="s">
        <v>882</v>
      </c>
      <c r="B215" t="s">
        <v>883</v>
      </c>
      <c r="C215" t="s">
        <v>739</v>
      </c>
      <c r="E215" t="s">
        <v>1945</v>
      </c>
    </row>
    <row r="216" spans="1:5" x14ac:dyDescent="0.25">
      <c r="A216" t="s">
        <v>1126</v>
      </c>
      <c r="B216" t="s">
        <v>1127</v>
      </c>
      <c r="C216" t="s">
        <v>565</v>
      </c>
      <c r="E216" t="s">
        <v>1126</v>
      </c>
    </row>
    <row r="217" spans="1:5" x14ac:dyDescent="0.25">
      <c r="A217" t="s">
        <v>1128</v>
      </c>
      <c r="B217" t="s">
        <v>1129</v>
      </c>
      <c r="C217" t="s">
        <v>565</v>
      </c>
      <c r="E217" t="s">
        <v>1128</v>
      </c>
    </row>
    <row r="218" spans="1:5" x14ac:dyDescent="0.25">
      <c r="A218" t="s">
        <v>1130</v>
      </c>
      <c r="B218" t="s">
        <v>1131</v>
      </c>
      <c r="C218" t="s">
        <v>565</v>
      </c>
      <c r="E218" t="s">
        <v>1872</v>
      </c>
    </row>
    <row r="219" spans="1:5" x14ac:dyDescent="0.25">
      <c r="A219" t="s">
        <v>1132</v>
      </c>
      <c r="B219" t="s">
        <v>1133</v>
      </c>
      <c r="C219" t="s">
        <v>565</v>
      </c>
      <c r="E219" t="s">
        <v>1132</v>
      </c>
    </row>
    <row r="220" spans="1:5" x14ac:dyDescent="0.25">
      <c r="A220" t="s">
        <v>1134</v>
      </c>
      <c r="B220" t="s">
        <v>1135</v>
      </c>
      <c r="C220" t="s">
        <v>565</v>
      </c>
      <c r="E220" t="s">
        <v>1873</v>
      </c>
    </row>
    <row r="221" spans="1:5" x14ac:dyDescent="0.25">
      <c r="A221" t="s">
        <v>1136</v>
      </c>
      <c r="B221" t="s">
        <v>1137</v>
      </c>
      <c r="C221" t="s">
        <v>565</v>
      </c>
      <c r="E221" t="s">
        <v>1136</v>
      </c>
    </row>
    <row r="222" spans="1:5" x14ac:dyDescent="0.25">
      <c r="A222" t="s">
        <v>800</v>
      </c>
      <c r="B222" t="s">
        <v>801</v>
      </c>
      <c r="C222" t="s">
        <v>565</v>
      </c>
      <c r="E222" t="s">
        <v>800</v>
      </c>
    </row>
    <row r="223" spans="1:5" x14ac:dyDescent="0.25">
      <c r="A223" t="s">
        <v>802</v>
      </c>
      <c r="B223" t="s">
        <v>803</v>
      </c>
      <c r="C223" t="s">
        <v>565</v>
      </c>
      <c r="E223" t="s">
        <v>800</v>
      </c>
    </row>
    <row r="224" spans="1:5" x14ac:dyDescent="0.25">
      <c r="A224" t="s">
        <v>1138</v>
      </c>
      <c r="B224" t="s">
        <v>1139</v>
      </c>
      <c r="C224" t="s">
        <v>565</v>
      </c>
      <c r="E224" t="s">
        <v>1138</v>
      </c>
    </row>
    <row r="225" spans="1:5" x14ac:dyDescent="0.25">
      <c r="A225" t="s">
        <v>1140</v>
      </c>
      <c r="B225" t="s">
        <v>1141</v>
      </c>
      <c r="C225" t="s">
        <v>565</v>
      </c>
      <c r="E225" t="s">
        <v>1140</v>
      </c>
    </row>
    <row r="226" spans="1:5" x14ac:dyDescent="0.25">
      <c r="A226" t="s">
        <v>1143</v>
      </c>
      <c r="B226" t="s">
        <v>1144</v>
      </c>
      <c r="C226" t="s">
        <v>565</v>
      </c>
      <c r="E226" t="s">
        <v>1143</v>
      </c>
    </row>
    <row r="227" spans="1:5" x14ac:dyDescent="0.25">
      <c r="A227" t="s">
        <v>1145</v>
      </c>
      <c r="B227" t="s">
        <v>1146</v>
      </c>
      <c r="C227" t="s">
        <v>565</v>
      </c>
      <c r="E227" t="s">
        <v>1145</v>
      </c>
    </row>
    <row r="228" spans="1:5" x14ac:dyDescent="0.25">
      <c r="A228" t="s">
        <v>1147</v>
      </c>
      <c r="B228" t="s">
        <v>1148</v>
      </c>
      <c r="C228" t="s">
        <v>565</v>
      </c>
      <c r="E228" t="s">
        <v>1145</v>
      </c>
    </row>
    <row r="229" spans="1:5" x14ac:dyDescent="0.25">
      <c r="A229" t="s">
        <v>1149</v>
      </c>
      <c r="B229" t="s">
        <v>1150</v>
      </c>
      <c r="C229" t="s">
        <v>565</v>
      </c>
      <c r="E229" t="s">
        <v>1149</v>
      </c>
    </row>
    <row r="230" spans="1:5" x14ac:dyDescent="0.25">
      <c r="A230" t="s">
        <v>1151</v>
      </c>
      <c r="B230" t="s">
        <v>1152</v>
      </c>
      <c r="C230" t="s">
        <v>565</v>
      </c>
      <c r="E230" t="s">
        <v>1151</v>
      </c>
    </row>
    <row r="231" spans="1:5" x14ac:dyDescent="0.25">
      <c r="A231" t="s">
        <v>1153</v>
      </c>
      <c r="B231" t="s">
        <v>1154</v>
      </c>
      <c r="C231" t="s">
        <v>565</v>
      </c>
      <c r="E231" t="s">
        <v>1153</v>
      </c>
    </row>
    <row r="232" spans="1:5" x14ac:dyDescent="0.25">
      <c r="A232" t="s">
        <v>1155</v>
      </c>
      <c r="B232" t="s">
        <v>1156</v>
      </c>
      <c r="C232" t="s">
        <v>565</v>
      </c>
      <c r="E232" t="s">
        <v>1874</v>
      </c>
    </row>
    <row r="233" spans="1:5" x14ac:dyDescent="0.25">
      <c r="A233" t="s">
        <v>1157</v>
      </c>
      <c r="B233" t="s">
        <v>1158</v>
      </c>
      <c r="C233" t="s">
        <v>565</v>
      </c>
      <c r="E233" t="s">
        <v>1874</v>
      </c>
    </row>
    <row r="234" spans="1:5" x14ac:dyDescent="0.25">
      <c r="A234" t="s">
        <v>1159</v>
      </c>
      <c r="B234" t="s">
        <v>1160</v>
      </c>
      <c r="C234" t="s">
        <v>565</v>
      </c>
      <c r="E234" t="s">
        <v>1875</v>
      </c>
    </row>
    <row r="235" spans="1:5" x14ac:dyDescent="0.25">
      <c r="A235" t="s">
        <v>1163</v>
      </c>
      <c r="B235" t="s">
        <v>1164</v>
      </c>
      <c r="C235" t="s">
        <v>565</v>
      </c>
      <c r="E235" t="s">
        <v>1875</v>
      </c>
    </row>
    <row r="236" spans="1:5" x14ac:dyDescent="0.25">
      <c r="A236" t="s">
        <v>1161</v>
      </c>
      <c r="B236" t="s">
        <v>1162</v>
      </c>
      <c r="C236" t="s">
        <v>565</v>
      </c>
      <c r="E236" t="s">
        <v>1875</v>
      </c>
    </row>
    <row r="237" spans="1:5" x14ac:dyDescent="0.25">
      <c r="A237" t="s">
        <v>1165</v>
      </c>
      <c r="B237" t="s">
        <v>1166</v>
      </c>
      <c r="C237" t="s">
        <v>565</v>
      </c>
      <c r="E237" t="s">
        <v>1876</v>
      </c>
    </row>
    <row r="238" spans="1:5" x14ac:dyDescent="0.25">
      <c r="A238" t="s">
        <v>1167</v>
      </c>
      <c r="B238" t="s">
        <v>1168</v>
      </c>
      <c r="C238" t="s">
        <v>565</v>
      </c>
      <c r="E238" t="s">
        <v>1167</v>
      </c>
    </row>
    <row r="239" spans="1:5" x14ac:dyDescent="0.25">
      <c r="A239" t="s">
        <v>1169</v>
      </c>
      <c r="B239" t="s">
        <v>1170</v>
      </c>
      <c r="C239" t="s">
        <v>565</v>
      </c>
      <c r="E239" t="s">
        <v>1169</v>
      </c>
    </row>
    <row r="240" spans="1:5" x14ac:dyDescent="0.25">
      <c r="A240" t="s">
        <v>1171</v>
      </c>
      <c r="B240" t="s">
        <v>1172</v>
      </c>
      <c r="C240" t="s">
        <v>565</v>
      </c>
      <c r="E240" t="s">
        <v>1877</v>
      </c>
    </row>
    <row r="241" spans="1:5" x14ac:dyDescent="0.25">
      <c r="A241" t="s">
        <v>1173</v>
      </c>
      <c r="B241" t="s">
        <v>1174</v>
      </c>
      <c r="C241" t="s">
        <v>565</v>
      </c>
      <c r="E241" t="s">
        <v>1173</v>
      </c>
    </row>
    <row r="242" spans="1:5" x14ac:dyDescent="0.25">
      <c r="A242" t="s">
        <v>1175</v>
      </c>
      <c r="B242" t="s">
        <v>1176</v>
      </c>
      <c r="C242" t="s">
        <v>565</v>
      </c>
      <c r="E242" t="s">
        <v>1175</v>
      </c>
    </row>
    <row r="243" spans="1:5" x14ac:dyDescent="0.25">
      <c r="A243" t="s">
        <v>1177</v>
      </c>
      <c r="B243" t="s">
        <v>1178</v>
      </c>
      <c r="C243" t="s">
        <v>565</v>
      </c>
      <c r="E243" t="s">
        <v>1177</v>
      </c>
    </row>
    <row r="244" spans="1:5" x14ac:dyDescent="0.25">
      <c r="A244" t="s">
        <v>1179</v>
      </c>
      <c r="B244" t="s">
        <v>1180</v>
      </c>
      <c r="C244" t="s">
        <v>565</v>
      </c>
      <c r="E244" t="s">
        <v>1179</v>
      </c>
    </row>
    <row r="245" spans="1:5" x14ac:dyDescent="0.25">
      <c r="A245" t="s">
        <v>1181</v>
      </c>
      <c r="B245" t="s">
        <v>1182</v>
      </c>
      <c r="C245" t="s">
        <v>565</v>
      </c>
      <c r="E245" t="s">
        <v>1181</v>
      </c>
    </row>
    <row r="246" spans="1:5" x14ac:dyDescent="0.25">
      <c r="A246" t="s">
        <v>1183</v>
      </c>
      <c r="B246" t="s">
        <v>1184</v>
      </c>
      <c r="C246" t="s">
        <v>565</v>
      </c>
      <c r="E246" t="s">
        <v>1183</v>
      </c>
    </row>
    <row r="247" spans="1:5" x14ac:dyDescent="0.25">
      <c r="A247" t="s">
        <v>1185</v>
      </c>
      <c r="B247" t="s">
        <v>1186</v>
      </c>
      <c r="C247" t="s">
        <v>565</v>
      </c>
      <c r="E247" t="s">
        <v>1185</v>
      </c>
    </row>
    <row r="248" spans="1:5" x14ac:dyDescent="0.25">
      <c r="A248" t="s">
        <v>1187</v>
      </c>
      <c r="B248" t="s">
        <v>1188</v>
      </c>
      <c r="C248" t="s">
        <v>565</v>
      </c>
      <c r="E248" t="s">
        <v>1187</v>
      </c>
    </row>
    <row r="249" spans="1:5" x14ac:dyDescent="0.25">
      <c r="A249" t="s">
        <v>1189</v>
      </c>
      <c r="B249" t="s">
        <v>1190</v>
      </c>
      <c r="C249" t="s">
        <v>565</v>
      </c>
      <c r="E249" t="s">
        <v>1189</v>
      </c>
    </row>
    <row r="250" spans="1:5" x14ac:dyDescent="0.25">
      <c r="A250" t="s">
        <v>1191</v>
      </c>
      <c r="B250" t="s">
        <v>1192</v>
      </c>
      <c r="C250" t="s">
        <v>565</v>
      </c>
      <c r="E250" t="s">
        <v>1191</v>
      </c>
    </row>
    <row r="251" spans="1:5" x14ac:dyDescent="0.25">
      <c r="A251" t="s">
        <v>1193</v>
      </c>
      <c r="B251" t="s">
        <v>1194</v>
      </c>
      <c r="C251" t="s">
        <v>565</v>
      </c>
      <c r="E251" t="s">
        <v>1193</v>
      </c>
    </row>
    <row r="252" spans="1:5" x14ac:dyDescent="0.25">
      <c r="A252" t="s">
        <v>1195</v>
      </c>
      <c r="B252" t="s">
        <v>1196</v>
      </c>
      <c r="C252" t="s">
        <v>565</v>
      </c>
      <c r="E252" t="s">
        <v>1195</v>
      </c>
    </row>
    <row r="253" spans="1:5" x14ac:dyDescent="0.25">
      <c r="A253" t="s">
        <v>1197</v>
      </c>
      <c r="B253" t="s">
        <v>1198</v>
      </c>
      <c r="C253" t="s">
        <v>565</v>
      </c>
      <c r="E253" t="s">
        <v>1197</v>
      </c>
    </row>
    <row r="254" spans="1:5" x14ac:dyDescent="0.25">
      <c r="A254" t="s">
        <v>1199</v>
      </c>
      <c r="B254" t="s">
        <v>1200</v>
      </c>
      <c r="C254" t="s">
        <v>565</v>
      </c>
      <c r="E254" t="s">
        <v>1199</v>
      </c>
    </row>
    <row r="255" spans="1:5" x14ac:dyDescent="0.25">
      <c r="A255" t="s">
        <v>1201</v>
      </c>
      <c r="B255" t="s">
        <v>1202</v>
      </c>
      <c r="C255" t="s">
        <v>565</v>
      </c>
      <c r="E255" t="s">
        <v>1201</v>
      </c>
    </row>
    <row r="256" spans="1:5" x14ac:dyDescent="0.25">
      <c r="A256" t="s">
        <v>1203</v>
      </c>
      <c r="B256" t="s">
        <v>1204</v>
      </c>
      <c r="C256" t="s">
        <v>565</v>
      </c>
      <c r="E256" t="s">
        <v>1203</v>
      </c>
    </row>
    <row r="257" spans="1:5" x14ac:dyDescent="0.25">
      <c r="A257" t="s">
        <v>1215</v>
      </c>
      <c r="B257" t="s">
        <v>1216</v>
      </c>
      <c r="C257" t="s">
        <v>565</v>
      </c>
      <c r="E257" t="s">
        <v>1878</v>
      </c>
    </row>
    <row r="258" spans="1:5" x14ac:dyDescent="0.25">
      <c r="A258" t="s">
        <v>1229</v>
      </c>
      <c r="B258" t="s">
        <v>1230</v>
      </c>
      <c r="C258" t="s">
        <v>565</v>
      </c>
      <c r="E258" t="s">
        <v>1879</v>
      </c>
    </row>
    <row r="259" spans="1:5" x14ac:dyDescent="0.25">
      <c r="A259" t="s">
        <v>1217</v>
      </c>
      <c r="B259" t="s">
        <v>1218</v>
      </c>
      <c r="C259" t="s">
        <v>565</v>
      </c>
      <c r="E259" t="s">
        <v>1217</v>
      </c>
    </row>
    <row r="260" spans="1:5" x14ac:dyDescent="0.25">
      <c r="A260" t="s">
        <v>918</v>
      </c>
      <c r="B260" t="s">
        <v>919</v>
      </c>
      <c r="C260" t="s">
        <v>565</v>
      </c>
      <c r="E260" t="s">
        <v>1880</v>
      </c>
    </row>
    <row r="261" spans="1:5" x14ac:dyDescent="0.25">
      <c r="A261" t="s">
        <v>1219</v>
      </c>
      <c r="B261" t="s">
        <v>1220</v>
      </c>
      <c r="C261" t="s">
        <v>565</v>
      </c>
      <c r="E261" t="s">
        <v>1219</v>
      </c>
    </row>
    <row r="262" spans="1:5" x14ac:dyDescent="0.25">
      <c r="A262" t="s">
        <v>804</v>
      </c>
      <c r="B262" t="s">
        <v>805</v>
      </c>
      <c r="C262" t="s">
        <v>565</v>
      </c>
      <c r="E262" s="31" t="s">
        <v>1944</v>
      </c>
    </row>
    <row r="263" spans="1:5" x14ac:dyDescent="0.25">
      <c r="A263" t="s">
        <v>806</v>
      </c>
      <c r="B263" t="s">
        <v>807</v>
      </c>
      <c r="C263" t="s">
        <v>565</v>
      </c>
      <c r="E263" t="s">
        <v>1881</v>
      </c>
    </row>
    <row r="264" spans="1:5" x14ac:dyDescent="0.25">
      <c r="A264" t="s">
        <v>1221</v>
      </c>
      <c r="B264" t="s">
        <v>1222</v>
      </c>
      <c r="C264" t="s">
        <v>565</v>
      </c>
      <c r="E264" t="s">
        <v>1221</v>
      </c>
    </row>
    <row r="265" spans="1:5" x14ac:dyDescent="0.25">
      <c r="A265" t="s">
        <v>1223</v>
      </c>
      <c r="B265" t="s">
        <v>1224</v>
      </c>
      <c r="C265" t="s">
        <v>565</v>
      </c>
      <c r="E265" t="s">
        <v>1223</v>
      </c>
    </row>
    <row r="266" spans="1:5" x14ac:dyDescent="0.25">
      <c r="A266" t="s">
        <v>884</v>
      </c>
      <c r="B266" t="s">
        <v>885</v>
      </c>
      <c r="C266" t="s">
        <v>739</v>
      </c>
      <c r="E266" t="s">
        <v>1945</v>
      </c>
    </row>
    <row r="267" spans="1:5" x14ac:dyDescent="0.25">
      <c r="A267" t="s">
        <v>808</v>
      </c>
      <c r="B267" t="s">
        <v>809</v>
      </c>
      <c r="C267" t="s">
        <v>565</v>
      </c>
      <c r="E267" t="s">
        <v>808</v>
      </c>
    </row>
    <row r="268" spans="1:5" x14ac:dyDescent="0.25">
      <c r="A268" t="s">
        <v>1225</v>
      </c>
      <c r="B268" t="s">
        <v>1226</v>
      </c>
      <c r="C268" t="s">
        <v>565</v>
      </c>
      <c r="E268" t="s">
        <v>1882</v>
      </c>
    </row>
    <row r="269" spans="1:5" x14ac:dyDescent="0.25">
      <c r="A269" t="s">
        <v>1227</v>
      </c>
      <c r="B269" t="s">
        <v>1228</v>
      </c>
      <c r="C269" t="s">
        <v>565</v>
      </c>
      <c r="E269" t="s">
        <v>1883</v>
      </c>
    </row>
    <row r="270" spans="1:5" x14ac:dyDescent="0.25">
      <c r="A270" t="s">
        <v>886</v>
      </c>
      <c r="B270" t="s">
        <v>887</v>
      </c>
      <c r="C270" t="s">
        <v>739</v>
      </c>
      <c r="E270" t="s">
        <v>1945</v>
      </c>
    </row>
    <row r="271" spans="1:5" x14ac:dyDescent="0.25">
      <c r="A271" t="s">
        <v>1008</v>
      </c>
      <c r="B271" t="s">
        <v>1009</v>
      </c>
      <c r="C271" t="s">
        <v>565</v>
      </c>
      <c r="E271" s="31" t="s">
        <v>1942</v>
      </c>
    </row>
    <row r="272" spans="1:5" x14ac:dyDescent="0.25">
      <c r="A272" t="s">
        <v>1008</v>
      </c>
      <c r="B272" t="s">
        <v>1009</v>
      </c>
      <c r="C272" t="s">
        <v>565</v>
      </c>
      <c r="E272" t="s">
        <v>1008</v>
      </c>
    </row>
    <row r="273" spans="1:5" x14ac:dyDescent="0.25">
      <c r="A273" t="s">
        <v>737</v>
      </c>
      <c r="B273" t="s">
        <v>738</v>
      </c>
      <c r="C273" t="s">
        <v>739</v>
      </c>
      <c r="E273" t="s">
        <v>1945</v>
      </c>
    </row>
    <row r="274" spans="1:5" x14ac:dyDescent="0.25">
      <c r="A274" t="s">
        <v>1249</v>
      </c>
      <c r="B274" t="s">
        <v>1250</v>
      </c>
      <c r="C274" t="s">
        <v>565</v>
      </c>
      <c r="E274" s="31" t="s">
        <v>1947</v>
      </c>
    </row>
    <row r="275" spans="1:5" x14ac:dyDescent="0.25">
      <c r="A275" t="s">
        <v>1231</v>
      </c>
      <c r="B275" t="s">
        <v>1232</v>
      </c>
      <c r="C275" t="s">
        <v>565</v>
      </c>
      <c r="E275" t="s">
        <v>1884</v>
      </c>
    </row>
    <row r="276" spans="1:5" x14ac:dyDescent="0.25">
      <c r="A276" t="s">
        <v>1233</v>
      </c>
      <c r="B276" t="s">
        <v>1234</v>
      </c>
      <c r="C276" t="s">
        <v>565</v>
      </c>
      <c r="E276" t="s">
        <v>1884</v>
      </c>
    </row>
    <row r="277" spans="1:5" x14ac:dyDescent="0.25">
      <c r="A277" t="s">
        <v>1030</v>
      </c>
      <c r="B277" t="s">
        <v>1031</v>
      </c>
      <c r="C277" t="s">
        <v>565</v>
      </c>
      <c r="E277" s="31" t="s">
        <v>1939</v>
      </c>
    </row>
    <row r="278" spans="1:5" x14ac:dyDescent="0.25">
      <c r="A278" t="s">
        <v>1253</v>
      </c>
      <c r="B278" t="s">
        <v>1254</v>
      </c>
      <c r="C278" t="s">
        <v>565</v>
      </c>
      <c r="E278" s="31" t="s">
        <v>1940</v>
      </c>
    </row>
    <row r="279" spans="1:5" x14ac:dyDescent="0.25">
      <c r="A279" t="s">
        <v>1040</v>
      </c>
      <c r="B279" t="s">
        <v>1041</v>
      </c>
      <c r="C279" t="s">
        <v>565</v>
      </c>
      <c r="E279" s="31" t="s">
        <v>1941</v>
      </c>
    </row>
    <row r="280" spans="1:5" x14ac:dyDescent="0.25">
      <c r="A280" t="s">
        <v>1235</v>
      </c>
      <c r="B280" t="s">
        <v>1236</v>
      </c>
      <c r="C280" t="s">
        <v>565</v>
      </c>
      <c r="E280" t="s">
        <v>1885</v>
      </c>
    </row>
    <row r="281" spans="1:5" x14ac:dyDescent="0.25">
      <c r="A281" t="s">
        <v>1142</v>
      </c>
      <c r="B281" t="s">
        <v>1141</v>
      </c>
      <c r="C281" t="s">
        <v>565</v>
      </c>
      <c r="E281" s="31" t="s">
        <v>1140</v>
      </c>
    </row>
    <row r="282" spans="1:5" x14ac:dyDescent="0.25">
      <c r="A282" t="s">
        <v>1237</v>
      </c>
      <c r="B282" t="s">
        <v>1238</v>
      </c>
      <c r="C282" t="s">
        <v>565</v>
      </c>
      <c r="E282" t="s">
        <v>1237</v>
      </c>
    </row>
    <row r="283" spans="1:5" x14ac:dyDescent="0.25">
      <c r="A283" t="s">
        <v>1239</v>
      </c>
      <c r="B283" t="s">
        <v>1240</v>
      </c>
      <c r="C283" t="s">
        <v>565</v>
      </c>
      <c r="E283" t="s">
        <v>1239</v>
      </c>
    </row>
    <row r="284" spans="1:5" x14ac:dyDescent="0.25">
      <c r="A284" t="s">
        <v>1241</v>
      </c>
      <c r="B284" t="s">
        <v>1242</v>
      </c>
      <c r="C284" t="s">
        <v>565</v>
      </c>
      <c r="E284" t="s">
        <v>1241</v>
      </c>
    </row>
    <row r="285" spans="1:5" x14ac:dyDescent="0.25">
      <c r="A285" t="s">
        <v>1243</v>
      </c>
      <c r="B285" t="s">
        <v>1244</v>
      </c>
      <c r="C285" t="s">
        <v>565</v>
      </c>
      <c r="E285" t="s">
        <v>1243</v>
      </c>
    </row>
    <row r="286" spans="1:5" x14ac:dyDescent="0.25">
      <c r="A286" t="s">
        <v>1245</v>
      </c>
      <c r="B286" t="s">
        <v>1246</v>
      </c>
      <c r="C286" t="s">
        <v>565</v>
      </c>
      <c r="E286" t="s">
        <v>1245</v>
      </c>
    </row>
    <row r="287" spans="1:5" x14ac:dyDescent="0.25">
      <c r="A287" t="s">
        <v>1247</v>
      </c>
      <c r="B287" t="s">
        <v>1248</v>
      </c>
      <c r="C287" t="s">
        <v>565</v>
      </c>
      <c r="E287" t="s">
        <v>1247</v>
      </c>
    </row>
    <row r="288" spans="1:5" x14ac:dyDescent="0.25">
      <c r="A288" t="s">
        <v>888</v>
      </c>
      <c r="B288" t="s">
        <v>889</v>
      </c>
      <c r="C288" t="s">
        <v>739</v>
      </c>
      <c r="E288" t="s">
        <v>1945</v>
      </c>
    </row>
    <row r="289" spans="1:5" x14ac:dyDescent="0.25">
      <c r="A289" t="s">
        <v>890</v>
      </c>
      <c r="B289" t="s">
        <v>891</v>
      </c>
      <c r="C289" t="s">
        <v>739</v>
      </c>
      <c r="E289" t="s">
        <v>1945</v>
      </c>
    </row>
    <row r="290" spans="1:5" x14ac:dyDescent="0.25">
      <c r="A290" t="s">
        <v>1251</v>
      </c>
      <c r="B290" t="s">
        <v>1252</v>
      </c>
      <c r="C290" t="s">
        <v>565</v>
      </c>
      <c r="E290" t="s">
        <v>1251</v>
      </c>
    </row>
    <row r="291" spans="1:5" x14ac:dyDescent="0.25">
      <c r="A291" t="s">
        <v>1255</v>
      </c>
      <c r="B291" t="s">
        <v>1256</v>
      </c>
      <c r="C291" t="s">
        <v>565</v>
      </c>
      <c r="E291" t="s">
        <v>1255</v>
      </c>
    </row>
    <row r="292" spans="1:5" x14ac:dyDescent="0.25">
      <c r="A292" t="s">
        <v>1257</v>
      </c>
      <c r="B292" t="s">
        <v>1258</v>
      </c>
      <c r="C292" t="s">
        <v>565</v>
      </c>
      <c r="E292" t="s">
        <v>1257</v>
      </c>
    </row>
    <row r="293" spans="1:5" x14ac:dyDescent="0.25">
      <c r="A293" t="s">
        <v>1259</v>
      </c>
      <c r="B293" t="s">
        <v>1260</v>
      </c>
      <c r="C293" t="s">
        <v>565</v>
      </c>
      <c r="E293" t="s">
        <v>1259</v>
      </c>
    </row>
    <row r="294" spans="1:5" x14ac:dyDescent="0.25">
      <c r="A294" t="s">
        <v>1261</v>
      </c>
      <c r="B294" t="s">
        <v>1262</v>
      </c>
      <c r="C294" t="s">
        <v>565</v>
      </c>
      <c r="E294" t="s">
        <v>1261</v>
      </c>
    </row>
    <row r="295" spans="1:5" x14ac:dyDescent="0.25">
      <c r="A295" t="s">
        <v>1263</v>
      </c>
      <c r="B295" t="s">
        <v>1264</v>
      </c>
      <c r="C295" t="s">
        <v>565</v>
      </c>
      <c r="E295" t="s">
        <v>1263</v>
      </c>
    </row>
    <row r="296" spans="1:5" x14ac:dyDescent="0.25">
      <c r="A296" t="s">
        <v>810</v>
      </c>
      <c r="B296" t="s">
        <v>811</v>
      </c>
      <c r="C296" t="s">
        <v>565</v>
      </c>
      <c r="E296" s="31" t="s">
        <v>1822</v>
      </c>
    </row>
    <row r="297" spans="1:5" x14ac:dyDescent="0.25">
      <c r="A297" t="s">
        <v>1265</v>
      </c>
      <c r="B297" t="s">
        <v>1266</v>
      </c>
      <c r="C297" t="s">
        <v>565</v>
      </c>
      <c r="E297" t="s">
        <v>1265</v>
      </c>
    </row>
    <row r="298" spans="1:5" x14ac:dyDescent="0.25">
      <c r="A298" t="s">
        <v>1267</v>
      </c>
      <c r="B298" t="s">
        <v>1268</v>
      </c>
      <c r="C298" t="s">
        <v>565</v>
      </c>
      <c r="E298" t="s">
        <v>1267</v>
      </c>
    </row>
    <row r="299" spans="1:5" x14ac:dyDescent="0.25">
      <c r="A299" t="s">
        <v>1269</v>
      </c>
      <c r="B299" t="s">
        <v>1270</v>
      </c>
      <c r="C299" t="s">
        <v>565</v>
      </c>
      <c r="E299" t="s">
        <v>1269</v>
      </c>
    </row>
    <row r="300" spans="1:5" x14ac:dyDescent="0.25">
      <c r="A300" t="s">
        <v>1271</v>
      </c>
      <c r="B300" t="s">
        <v>1272</v>
      </c>
      <c r="C300" t="s">
        <v>565</v>
      </c>
      <c r="E300" t="s">
        <v>1271</v>
      </c>
    </row>
    <row r="301" spans="1:5" x14ac:dyDescent="0.25">
      <c r="A301" t="s">
        <v>1273</v>
      </c>
      <c r="B301" t="s">
        <v>1274</v>
      </c>
      <c r="C301" t="s">
        <v>565</v>
      </c>
      <c r="E301" t="s">
        <v>1273</v>
      </c>
    </row>
    <row r="302" spans="1:5" x14ac:dyDescent="0.25">
      <c r="A302" t="s">
        <v>1275</v>
      </c>
      <c r="B302" t="s">
        <v>1276</v>
      </c>
      <c r="C302" t="s">
        <v>565</v>
      </c>
      <c r="E302" t="s">
        <v>1275</v>
      </c>
    </row>
    <row r="303" spans="1:5" x14ac:dyDescent="0.25">
      <c r="A303" t="s">
        <v>1277</v>
      </c>
      <c r="B303" t="s">
        <v>1278</v>
      </c>
      <c r="C303" t="s">
        <v>565</v>
      </c>
      <c r="E303" t="s">
        <v>1277</v>
      </c>
    </row>
    <row r="304" spans="1:5" x14ac:dyDescent="0.25">
      <c r="A304" t="s">
        <v>812</v>
      </c>
      <c r="B304" t="s">
        <v>813</v>
      </c>
      <c r="C304" t="s">
        <v>565</v>
      </c>
      <c r="E304" t="s">
        <v>1886</v>
      </c>
    </row>
    <row r="305" spans="1:5" x14ac:dyDescent="0.25">
      <c r="A305" t="s">
        <v>1279</v>
      </c>
      <c r="B305" t="s">
        <v>1280</v>
      </c>
      <c r="C305" t="s">
        <v>565</v>
      </c>
      <c r="E305" t="s">
        <v>1279</v>
      </c>
    </row>
    <row r="306" spans="1:5" x14ac:dyDescent="0.25">
      <c r="A306" t="s">
        <v>1281</v>
      </c>
      <c r="B306" t="s">
        <v>1282</v>
      </c>
      <c r="C306" t="s">
        <v>565</v>
      </c>
      <c r="E306" t="s">
        <v>1281</v>
      </c>
    </row>
    <row r="307" spans="1:5" x14ac:dyDescent="0.25">
      <c r="A307" t="s">
        <v>1283</v>
      </c>
      <c r="B307" t="s">
        <v>1284</v>
      </c>
      <c r="C307" t="s">
        <v>565</v>
      </c>
      <c r="E307" t="s">
        <v>1283</v>
      </c>
    </row>
    <row r="308" spans="1:5" x14ac:dyDescent="0.25">
      <c r="A308" t="s">
        <v>1287</v>
      </c>
      <c r="B308" t="s">
        <v>1288</v>
      </c>
      <c r="C308" t="s">
        <v>565</v>
      </c>
      <c r="E308" t="s">
        <v>1287</v>
      </c>
    </row>
    <row r="309" spans="1:5" x14ac:dyDescent="0.25">
      <c r="A309" t="s">
        <v>1289</v>
      </c>
      <c r="B309" t="s">
        <v>1290</v>
      </c>
      <c r="C309" t="s">
        <v>565</v>
      </c>
      <c r="E309" t="s">
        <v>1289</v>
      </c>
    </row>
    <row r="310" spans="1:5" x14ac:dyDescent="0.25">
      <c r="A310" t="s">
        <v>1291</v>
      </c>
      <c r="B310" t="s">
        <v>1292</v>
      </c>
      <c r="C310" t="s">
        <v>565</v>
      </c>
      <c r="E310" t="s">
        <v>1291</v>
      </c>
    </row>
    <row r="311" spans="1:5" x14ac:dyDescent="0.25">
      <c r="A311" t="s">
        <v>1293</v>
      </c>
      <c r="B311" t="s">
        <v>1294</v>
      </c>
      <c r="C311" t="s">
        <v>565</v>
      </c>
      <c r="E311" t="s">
        <v>1293</v>
      </c>
    </row>
    <row r="312" spans="1:5" x14ac:dyDescent="0.25">
      <c r="A312" t="s">
        <v>1295</v>
      </c>
      <c r="B312" t="s">
        <v>1296</v>
      </c>
      <c r="C312" t="s">
        <v>565</v>
      </c>
      <c r="E312" t="s">
        <v>1295</v>
      </c>
    </row>
    <row r="313" spans="1:5" x14ac:dyDescent="0.25">
      <c r="A313" t="s">
        <v>814</v>
      </c>
      <c r="B313" t="s">
        <v>815</v>
      </c>
      <c r="C313" t="s">
        <v>565</v>
      </c>
      <c r="E313" s="31" t="s">
        <v>1944</v>
      </c>
    </row>
    <row r="314" spans="1:5" x14ac:dyDescent="0.25">
      <c r="A314" t="s">
        <v>816</v>
      </c>
      <c r="B314" t="s">
        <v>817</v>
      </c>
      <c r="C314" t="s">
        <v>565</v>
      </c>
      <c r="E314" s="31" t="s">
        <v>1944</v>
      </c>
    </row>
    <row r="315" spans="1:5" x14ac:dyDescent="0.25">
      <c r="A315" t="s">
        <v>612</v>
      </c>
      <c r="B315" t="s">
        <v>613</v>
      </c>
      <c r="C315" t="s">
        <v>565</v>
      </c>
      <c r="E315" t="s">
        <v>612</v>
      </c>
    </row>
    <row r="316" spans="1:5" x14ac:dyDescent="0.25">
      <c r="A316" t="s">
        <v>920</v>
      </c>
      <c r="B316" t="s">
        <v>921</v>
      </c>
      <c r="C316" t="s">
        <v>565</v>
      </c>
      <c r="E316" t="s">
        <v>1887</v>
      </c>
    </row>
    <row r="317" spans="1:5" x14ac:dyDescent="0.25">
      <c r="A317" t="s">
        <v>1299</v>
      </c>
      <c r="B317" t="s">
        <v>1300</v>
      </c>
      <c r="C317" t="s">
        <v>565</v>
      </c>
      <c r="E317" t="s">
        <v>1299</v>
      </c>
    </row>
    <row r="318" spans="1:5" x14ac:dyDescent="0.25">
      <c r="A318" t="s">
        <v>1301</v>
      </c>
      <c r="B318" t="s">
        <v>1302</v>
      </c>
      <c r="C318" t="s">
        <v>565</v>
      </c>
      <c r="E318" t="s">
        <v>1301</v>
      </c>
    </row>
    <row r="319" spans="1:5" x14ac:dyDescent="0.25">
      <c r="A319" t="s">
        <v>1303</v>
      </c>
      <c r="B319" t="s">
        <v>1304</v>
      </c>
      <c r="C319" t="s">
        <v>565</v>
      </c>
      <c r="E319" t="s">
        <v>1888</v>
      </c>
    </row>
    <row r="320" spans="1:5" x14ac:dyDescent="0.25">
      <c r="A320" t="s">
        <v>1305</v>
      </c>
      <c r="B320" t="s">
        <v>1306</v>
      </c>
      <c r="C320" t="s">
        <v>565</v>
      </c>
      <c r="E320" t="s">
        <v>1888</v>
      </c>
    </row>
    <row r="321" spans="1:5" x14ac:dyDescent="0.25">
      <c r="A321" t="s">
        <v>1479</v>
      </c>
      <c r="B321" t="s">
        <v>1480</v>
      </c>
      <c r="C321" t="s">
        <v>565</v>
      </c>
      <c r="E321" s="31" t="s">
        <v>1951</v>
      </c>
    </row>
    <row r="322" spans="1:5" x14ac:dyDescent="0.25">
      <c r="A322" t="s">
        <v>1307</v>
      </c>
      <c r="B322" t="s">
        <v>1308</v>
      </c>
      <c r="C322" t="s">
        <v>565</v>
      </c>
      <c r="E322" t="s">
        <v>1889</v>
      </c>
    </row>
    <row r="323" spans="1:5" x14ac:dyDescent="0.25">
      <c r="A323" t="s">
        <v>1010</v>
      </c>
      <c r="B323" t="s">
        <v>1011</v>
      </c>
      <c r="C323" t="s">
        <v>565</v>
      </c>
      <c r="E323" s="31" t="s">
        <v>1942</v>
      </c>
    </row>
    <row r="324" spans="1:5" x14ac:dyDescent="0.25">
      <c r="A324" t="s">
        <v>818</v>
      </c>
      <c r="B324" t="s">
        <v>819</v>
      </c>
      <c r="C324" t="s">
        <v>565</v>
      </c>
      <c r="E324" s="31" t="s">
        <v>1944</v>
      </c>
    </row>
    <row r="325" spans="1:5" x14ac:dyDescent="0.25">
      <c r="A325" t="s">
        <v>820</v>
      </c>
      <c r="B325" t="s">
        <v>821</v>
      </c>
      <c r="C325" t="s">
        <v>565</v>
      </c>
      <c r="E325" s="31" t="s">
        <v>1944</v>
      </c>
    </row>
    <row r="326" spans="1:5" x14ac:dyDescent="0.25">
      <c r="A326" t="s">
        <v>822</v>
      </c>
      <c r="B326" t="s">
        <v>823</v>
      </c>
      <c r="C326" t="s">
        <v>565</v>
      </c>
      <c r="E326" s="31" t="s">
        <v>1944</v>
      </c>
    </row>
    <row r="327" spans="1:5" x14ac:dyDescent="0.25">
      <c r="A327" t="s">
        <v>824</v>
      </c>
      <c r="B327" t="s">
        <v>825</v>
      </c>
      <c r="C327" t="s">
        <v>565</v>
      </c>
      <c r="E327" s="31" t="s">
        <v>1944</v>
      </c>
    </row>
    <row r="328" spans="1:5" x14ac:dyDescent="0.25">
      <c r="A328" t="s">
        <v>1309</v>
      </c>
      <c r="B328" t="s">
        <v>1310</v>
      </c>
      <c r="C328" t="s">
        <v>565</v>
      </c>
      <c r="E328" t="s">
        <v>1309</v>
      </c>
    </row>
    <row r="329" spans="1:5" x14ac:dyDescent="0.25">
      <c r="A329" t="s">
        <v>1311</v>
      </c>
      <c r="B329" t="s">
        <v>1312</v>
      </c>
      <c r="C329" t="s">
        <v>565</v>
      </c>
      <c r="E329" t="s">
        <v>1311</v>
      </c>
    </row>
    <row r="330" spans="1:5" x14ac:dyDescent="0.25">
      <c r="A330" t="s">
        <v>1313</v>
      </c>
      <c r="B330" t="s">
        <v>1314</v>
      </c>
      <c r="C330" t="s">
        <v>565</v>
      </c>
      <c r="E330" t="s">
        <v>1313</v>
      </c>
    </row>
    <row r="331" spans="1:5" x14ac:dyDescent="0.25">
      <c r="A331" t="s">
        <v>908</v>
      </c>
      <c r="B331" t="s">
        <v>909</v>
      </c>
      <c r="C331" t="s">
        <v>565</v>
      </c>
      <c r="E331" t="s">
        <v>1890</v>
      </c>
    </row>
    <row r="332" spans="1:5" x14ac:dyDescent="0.25">
      <c r="A332" t="s">
        <v>826</v>
      </c>
      <c r="B332" t="s">
        <v>827</v>
      </c>
      <c r="C332" t="s">
        <v>565</v>
      </c>
      <c r="E332" t="s">
        <v>826</v>
      </c>
    </row>
    <row r="333" spans="1:5" x14ac:dyDescent="0.25">
      <c r="A333" t="s">
        <v>910</v>
      </c>
      <c r="B333" t="s">
        <v>911</v>
      </c>
      <c r="C333" t="s">
        <v>565</v>
      </c>
      <c r="E333" t="s">
        <v>826</v>
      </c>
    </row>
    <row r="334" spans="1:5" x14ac:dyDescent="0.25">
      <c r="A334" t="s">
        <v>1319</v>
      </c>
      <c r="B334" t="s">
        <v>1320</v>
      </c>
      <c r="C334" t="s">
        <v>565</v>
      </c>
      <c r="E334" t="s">
        <v>1891</v>
      </c>
    </row>
    <row r="335" spans="1:5" x14ac:dyDescent="0.25">
      <c r="A335" t="s">
        <v>1323</v>
      </c>
      <c r="B335" t="s">
        <v>1324</v>
      </c>
      <c r="C335" t="s">
        <v>565</v>
      </c>
      <c r="E335" t="s">
        <v>1323</v>
      </c>
    </row>
    <row r="336" spans="1:5" x14ac:dyDescent="0.25">
      <c r="A336" t="s">
        <v>1297</v>
      </c>
      <c r="B336" t="s">
        <v>1298</v>
      </c>
      <c r="C336" t="s">
        <v>565</v>
      </c>
      <c r="E336" t="s">
        <v>1892</v>
      </c>
    </row>
    <row r="337" spans="1:5" x14ac:dyDescent="0.25">
      <c r="A337" t="s">
        <v>1321</v>
      </c>
      <c r="B337" t="s">
        <v>1322</v>
      </c>
      <c r="C337" t="s">
        <v>565</v>
      </c>
      <c r="E337" t="s">
        <v>1892</v>
      </c>
    </row>
    <row r="338" spans="1:5" x14ac:dyDescent="0.25">
      <c r="A338" t="s">
        <v>1325</v>
      </c>
      <c r="B338" t="s">
        <v>1326</v>
      </c>
      <c r="C338" t="s">
        <v>565</v>
      </c>
      <c r="E338" t="s">
        <v>1325</v>
      </c>
    </row>
    <row r="339" spans="1:5" x14ac:dyDescent="0.25">
      <c r="A339" t="s">
        <v>828</v>
      </c>
      <c r="B339" t="s">
        <v>829</v>
      </c>
      <c r="C339" t="s">
        <v>565</v>
      </c>
      <c r="E339" t="s">
        <v>1893</v>
      </c>
    </row>
    <row r="340" spans="1:5" x14ac:dyDescent="0.25">
      <c r="A340" t="s">
        <v>1407</v>
      </c>
      <c r="B340" t="s">
        <v>1408</v>
      </c>
      <c r="C340" t="s">
        <v>565</v>
      </c>
      <c r="E340" s="31" t="s">
        <v>1950</v>
      </c>
    </row>
    <row r="341" spans="1:5" x14ac:dyDescent="0.25">
      <c r="A341" t="s">
        <v>1327</v>
      </c>
      <c r="B341" t="s">
        <v>1328</v>
      </c>
      <c r="C341" t="s">
        <v>565</v>
      </c>
      <c r="E341" t="s">
        <v>1327</v>
      </c>
    </row>
    <row r="342" spans="1:5" x14ac:dyDescent="0.25">
      <c r="A342" t="s">
        <v>1329</v>
      </c>
      <c r="B342" t="s">
        <v>1330</v>
      </c>
      <c r="C342" t="s">
        <v>565</v>
      </c>
      <c r="E342" t="s">
        <v>1329</v>
      </c>
    </row>
    <row r="343" spans="1:5" x14ac:dyDescent="0.25">
      <c r="A343" t="s">
        <v>1397</v>
      </c>
      <c r="B343" t="s">
        <v>1398</v>
      </c>
      <c r="C343" t="s">
        <v>565</v>
      </c>
      <c r="E343" s="31" t="s">
        <v>1949</v>
      </c>
    </row>
    <row r="344" spans="1:5" x14ac:dyDescent="0.25">
      <c r="A344" t="s">
        <v>922</v>
      </c>
      <c r="B344" t="s">
        <v>923</v>
      </c>
      <c r="C344" t="s">
        <v>565</v>
      </c>
      <c r="E344" t="s">
        <v>922</v>
      </c>
    </row>
    <row r="345" spans="1:5" x14ac:dyDescent="0.25">
      <c r="A345" t="s">
        <v>1331</v>
      </c>
      <c r="B345" t="s">
        <v>1332</v>
      </c>
      <c r="C345" t="s">
        <v>565</v>
      </c>
      <c r="E345" t="s">
        <v>1331</v>
      </c>
    </row>
    <row r="346" spans="1:5" x14ac:dyDescent="0.25">
      <c r="A346" t="s">
        <v>1333</v>
      </c>
      <c r="B346" t="s">
        <v>1334</v>
      </c>
      <c r="C346" t="s">
        <v>565</v>
      </c>
      <c r="E346" t="s">
        <v>1333</v>
      </c>
    </row>
    <row r="347" spans="1:5" x14ac:dyDescent="0.25">
      <c r="A347" t="s">
        <v>1335</v>
      </c>
      <c r="B347" t="s">
        <v>1336</v>
      </c>
      <c r="C347" t="s">
        <v>565</v>
      </c>
      <c r="E347" t="s">
        <v>1894</v>
      </c>
    </row>
    <row r="348" spans="1:5" x14ac:dyDescent="0.25">
      <c r="A348" t="s">
        <v>830</v>
      </c>
      <c r="B348" t="s">
        <v>831</v>
      </c>
      <c r="C348" t="s">
        <v>565</v>
      </c>
      <c r="E348" s="31" t="s">
        <v>1944</v>
      </c>
    </row>
    <row r="349" spans="1:5" x14ac:dyDescent="0.25">
      <c r="A349" t="s">
        <v>832</v>
      </c>
      <c r="B349" t="s">
        <v>833</v>
      </c>
      <c r="C349" t="s">
        <v>565</v>
      </c>
      <c r="E349" s="31" t="s">
        <v>1944</v>
      </c>
    </row>
    <row r="350" spans="1:5" x14ac:dyDescent="0.25">
      <c r="A350" t="s">
        <v>1042</v>
      </c>
      <c r="B350" t="s">
        <v>1043</v>
      </c>
      <c r="C350" t="s">
        <v>565</v>
      </c>
      <c r="E350" s="31" t="s">
        <v>1941</v>
      </c>
    </row>
    <row r="351" spans="1:5" x14ac:dyDescent="0.25">
      <c r="A351" t="s">
        <v>1337</v>
      </c>
      <c r="B351" t="s">
        <v>1338</v>
      </c>
      <c r="C351" t="s">
        <v>565</v>
      </c>
      <c r="E351" t="s">
        <v>1337</v>
      </c>
    </row>
    <row r="352" spans="1:5" x14ac:dyDescent="0.25">
      <c r="A352" t="s">
        <v>1339</v>
      </c>
      <c r="B352" t="s">
        <v>1340</v>
      </c>
      <c r="C352" t="s">
        <v>565</v>
      </c>
      <c r="E352" t="s">
        <v>1339</v>
      </c>
    </row>
    <row r="353" spans="1:5" x14ac:dyDescent="0.25">
      <c r="A353" t="s">
        <v>1341</v>
      </c>
      <c r="B353" t="s">
        <v>1342</v>
      </c>
      <c r="C353" t="s">
        <v>565</v>
      </c>
      <c r="E353" t="s">
        <v>1339</v>
      </c>
    </row>
    <row r="354" spans="1:5" x14ac:dyDescent="0.25">
      <c r="A354" t="s">
        <v>1343</v>
      </c>
      <c r="B354" t="s">
        <v>1344</v>
      </c>
      <c r="C354" t="s">
        <v>565</v>
      </c>
      <c r="E354" t="s">
        <v>1339</v>
      </c>
    </row>
    <row r="355" spans="1:5" x14ac:dyDescent="0.25">
      <c r="A355" t="s">
        <v>1345</v>
      </c>
      <c r="B355" t="s">
        <v>1346</v>
      </c>
      <c r="C355" t="s">
        <v>565</v>
      </c>
      <c r="E355" t="s">
        <v>1345</v>
      </c>
    </row>
    <row r="356" spans="1:5" x14ac:dyDescent="0.25">
      <c r="A356" t="s">
        <v>1347</v>
      </c>
      <c r="B356" t="s">
        <v>1348</v>
      </c>
      <c r="C356" t="s">
        <v>565</v>
      </c>
      <c r="E356" t="s">
        <v>1347</v>
      </c>
    </row>
    <row r="357" spans="1:5" x14ac:dyDescent="0.25">
      <c r="A357" t="s">
        <v>1349</v>
      </c>
      <c r="B357" t="s">
        <v>1350</v>
      </c>
      <c r="C357" t="s">
        <v>565</v>
      </c>
      <c r="E357" t="s">
        <v>1895</v>
      </c>
    </row>
    <row r="358" spans="1:5" x14ac:dyDescent="0.25">
      <c r="A358" t="s">
        <v>1351</v>
      </c>
      <c r="B358" t="s">
        <v>1352</v>
      </c>
      <c r="C358" t="s">
        <v>565</v>
      </c>
      <c r="E358" t="s">
        <v>1896</v>
      </c>
    </row>
    <row r="359" spans="1:5" x14ac:dyDescent="0.25">
      <c r="A359" t="s">
        <v>1489</v>
      </c>
      <c r="B359" t="s">
        <v>1490</v>
      </c>
      <c r="C359" t="s">
        <v>565</v>
      </c>
      <c r="E359" t="s">
        <v>1897</v>
      </c>
    </row>
    <row r="360" spans="1:5" x14ac:dyDescent="0.25">
      <c r="A360" t="s">
        <v>1353</v>
      </c>
      <c r="B360" t="s">
        <v>1354</v>
      </c>
      <c r="C360" t="s">
        <v>565</v>
      </c>
      <c r="E360" t="s">
        <v>1897</v>
      </c>
    </row>
    <row r="361" spans="1:5" x14ac:dyDescent="0.25">
      <c r="A361" t="s">
        <v>1357</v>
      </c>
      <c r="B361" t="s">
        <v>1358</v>
      </c>
      <c r="C361" t="s">
        <v>565</v>
      </c>
      <c r="E361" t="s">
        <v>1898</v>
      </c>
    </row>
    <row r="362" spans="1:5" x14ac:dyDescent="0.25">
      <c r="A362" t="s">
        <v>1359</v>
      </c>
      <c r="B362" t="s">
        <v>1360</v>
      </c>
      <c r="C362" t="s">
        <v>565</v>
      </c>
      <c r="E362" t="s">
        <v>1359</v>
      </c>
    </row>
    <row r="363" spans="1:5" x14ac:dyDescent="0.25">
      <c r="A363" t="s">
        <v>892</v>
      </c>
      <c r="B363" t="s">
        <v>893</v>
      </c>
      <c r="C363" t="s">
        <v>739</v>
      </c>
      <c r="E363" t="s">
        <v>1945</v>
      </c>
    </row>
    <row r="364" spans="1:5" x14ac:dyDescent="0.25">
      <c r="A364" t="s">
        <v>1379</v>
      </c>
      <c r="B364" t="s">
        <v>1380</v>
      </c>
      <c r="C364" t="s">
        <v>565</v>
      </c>
      <c r="E364" s="31" t="s">
        <v>1948</v>
      </c>
    </row>
    <row r="365" spans="1:5" x14ac:dyDescent="0.25">
      <c r="A365" t="s">
        <v>1355</v>
      </c>
      <c r="B365" t="s">
        <v>1356</v>
      </c>
      <c r="C365" t="s">
        <v>565</v>
      </c>
      <c r="E365" t="s">
        <v>1899</v>
      </c>
    </row>
    <row r="366" spans="1:5" x14ac:dyDescent="0.25">
      <c r="A366" t="s">
        <v>1361</v>
      </c>
      <c r="B366" t="s">
        <v>1362</v>
      </c>
      <c r="C366" t="s">
        <v>565</v>
      </c>
      <c r="E366" t="s">
        <v>1899</v>
      </c>
    </row>
    <row r="367" spans="1:5" x14ac:dyDescent="0.25">
      <c r="A367" t="s">
        <v>1363</v>
      </c>
      <c r="B367" t="s">
        <v>1364</v>
      </c>
      <c r="C367" t="s">
        <v>565</v>
      </c>
      <c r="E367" t="s">
        <v>1363</v>
      </c>
    </row>
    <row r="368" spans="1:5" x14ac:dyDescent="0.25">
      <c r="A368" t="s">
        <v>1365</v>
      </c>
      <c r="B368" t="s">
        <v>1366</v>
      </c>
      <c r="C368" t="s">
        <v>565</v>
      </c>
      <c r="E368" t="s">
        <v>1363</v>
      </c>
    </row>
    <row r="369" spans="1:5" x14ac:dyDescent="0.25">
      <c r="A369" t="s">
        <v>1367</v>
      </c>
      <c r="B369" t="s">
        <v>1366</v>
      </c>
      <c r="C369" t="s">
        <v>565</v>
      </c>
      <c r="E369" t="s">
        <v>1363</v>
      </c>
    </row>
    <row r="370" spans="1:5" x14ac:dyDescent="0.25">
      <c r="A370" t="s">
        <v>1368</v>
      </c>
      <c r="B370" t="s">
        <v>1366</v>
      </c>
      <c r="C370" t="s">
        <v>565</v>
      </c>
      <c r="E370" t="s">
        <v>1363</v>
      </c>
    </row>
    <row r="371" spans="1:5" x14ac:dyDescent="0.25">
      <c r="A371" t="s">
        <v>1369</v>
      </c>
      <c r="B371" t="s">
        <v>1370</v>
      </c>
      <c r="C371" t="s">
        <v>565</v>
      </c>
      <c r="E371" t="s">
        <v>1363</v>
      </c>
    </row>
    <row r="372" spans="1:5" x14ac:dyDescent="0.25">
      <c r="A372" t="s">
        <v>1381</v>
      </c>
      <c r="B372" t="s">
        <v>1382</v>
      </c>
      <c r="C372" t="s">
        <v>565</v>
      </c>
      <c r="E372" t="s">
        <v>1900</v>
      </c>
    </row>
    <row r="373" spans="1:5" x14ac:dyDescent="0.25">
      <c r="A373" t="s">
        <v>1383</v>
      </c>
      <c r="B373" t="s">
        <v>1384</v>
      </c>
      <c r="C373" t="s">
        <v>565</v>
      </c>
      <c r="E373" t="s">
        <v>1900</v>
      </c>
    </row>
    <row r="374" spans="1:5" x14ac:dyDescent="0.25">
      <c r="A374" t="s">
        <v>1371</v>
      </c>
      <c r="B374" t="s">
        <v>1372</v>
      </c>
      <c r="C374" t="s">
        <v>565</v>
      </c>
      <c r="E374" t="s">
        <v>1900</v>
      </c>
    </row>
    <row r="375" spans="1:5" x14ac:dyDescent="0.25">
      <c r="A375" t="s">
        <v>1385</v>
      </c>
      <c r="B375" t="s">
        <v>1386</v>
      </c>
      <c r="C375" t="s">
        <v>565</v>
      </c>
      <c r="E375" t="s">
        <v>1900</v>
      </c>
    </row>
    <row r="376" spans="1:5" x14ac:dyDescent="0.25">
      <c r="A376" t="s">
        <v>1373</v>
      </c>
      <c r="B376" t="s">
        <v>1374</v>
      </c>
      <c r="C376" t="s">
        <v>565</v>
      </c>
      <c r="E376" t="s">
        <v>1901</v>
      </c>
    </row>
    <row r="377" spans="1:5" x14ac:dyDescent="0.25">
      <c r="A377" t="s">
        <v>1377</v>
      </c>
      <c r="B377" t="s">
        <v>1378</v>
      </c>
      <c r="C377" t="s">
        <v>565</v>
      </c>
      <c r="E377" t="s">
        <v>1377</v>
      </c>
    </row>
    <row r="378" spans="1:5" x14ac:dyDescent="0.25">
      <c r="A378" t="s">
        <v>1387</v>
      </c>
      <c r="B378" t="s">
        <v>1388</v>
      </c>
      <c r="C378" t="s">
        <v>565</v>
      </c>
      <c r="E378" t="s">
        <v>1387</v>
      </c>
    </row>
    <row r="379" spans="1:5" x14ac:dyDescent="0.25">
      <c r="A379" t="s">
        <v>1389</v>
      </c>
      <c r="B379" t="s">
        <v>1390</v>
      </c>
      <c r="C379" t="s">
        <v>565</v>
      </c>
      <c r="E379" t="s">
        <v>1389</v>
      </c>
    </row>
    <row r="380" spans="1:5" x14ac:dyDescent="0.25">
      <c r="A380" t="s">
        <v>1391</v>
      </c>
      <c r="B380" t="s">
        <v>1392</v>
      </c>
      <c r="C380" t="s">
        <v>565</v>
      </c>
      <c r="E380" t="s">
        <v>1391</v>
      </c>
    </row>
    <row r="381" spans="1:5" x14ac:dyDescent="0.25">
      <c r="A381" t="s">
        <v>1393</v>
      </c>
      <c r="B381" t="s">
        <v>1394</v>
      </c>
      <c r="C381" t="s">
        <v>565</v>
      </c>
      <c r="E381" t="s">
        <v>1393</v>
      </c>
    </row>
    <row r="382" spans="1:5" x14ac:dyDescent="0.25">
      <c r="A382" t="s">
        <v>740</v>
      </c>
      <c r="B382" t="s">
        <v>741</v>
      </c>
      <c r="C382" t="s">
        <v>739</v>
      </c>
      <c r="E382" t="s">
        <v>1945</v>
      </c>
    </row>
    <row r="383" spans="1:5" x14ac:dyDescent="0.25">
      <c r="A383" t="s">
        <v>834</v>
      </c>
      <c r="B383" t="s">
        <v>835</v>
      </c>
      <c r="C383" t="s">
        <v>565</v>
      </c>
      <c r="E383" t="s">
        <v>1902</v>
      </c>
    </row>
    <row r="384" spans="1:5" x14ac:dyDescent="0.25">
      <c r="A384" t="s">
        <v>1399</v>
      </c>
      <c r="B384" t="s">
        <v>1400</v>
      </c>
      <c r="C384" t="s">
        <v>565</v>
      </c>
      <c r="E384" s="31" t="s">
        <v>1949</v>
      </c>
    </row>
    <row r="385" spans="1:5" x14ac:dyDescent="0.25">
      <c r="A385" t="s">
        <v>1401</v>
      </c>
      <c r="B385" t="s">
        <v>1402</v>
      </c>
      <c r="C385" t="s">
        <v>565</v>
      </c>
      <c r="E385" t="s">
        <v>1903</v>
      </c>
    </row>
    <row r="386" spans="1:5" x14ac:dyDescent="0.25">
      <c r="A386" t="s">
        <v>1403</v>
      </c>
      <c r="B386" t="s">
        <v>1404</v>
      </c>
      <c r="C386" t="s">
        <v>565</v>
      </c>
      <c r="E386" t="s">
        <v>1403</v>
      </c>
    </row>
    <row r="387" spans="1:5" x14ac:dyDescent="0.25">
      <c r="A387" t="s">
        <v>838</v>
      </c>
      <c r="B387" t="s">
        <v>839</v>
      </c>
      <c r="C387" t="s">
        <v>565</v>
      </c>
      <c r="E387" t="s">
        <v>1904</v>
      </c>
    </row>
    <row r="388" spans="1:5" x14ac:dyDescent="0.25">
      <c r="A388" t="s">
        <v>1405</v>
      </c>
      <c r="B388" t="s">
        <v>1406</v>
      </c>
      <c r="C388" t="s">
        <v>565</v>
      </c>
      <c r="E388" t="s">
        <v>1405</v>
      </c>
    </row>
    <row r="389" spans="1:5" x14ac:dyDescent="0.25">
      <c r="A389" t="s">
        <v>836</v>
      </c>
      <c r="B389" t="s">
        <v>837</v>
      </c>
      <c r="C389" t="s">
        <v>565</v>
      </c>
      <c r="E389" t="s">
        <v>1905</v>
      </c>
    </row>
    <row r="390" spans="1:5" x14ac:dyDescent="0.25">
      <c r="A390" t="s">
        <v>1413</v>
      </c>
      <c r="B390" t="s">
        <v>1414</v>
      </c>
      <c r="C390" t="s">
        <v>565</v>
      </c>
      <c r="E390" t="s">
        <v>1906</v>
      </c>
    </row>
    <row r="391" spans="1:5" x14ac:dyDescent="0.25">
      <c r="A391" t="s">
        <v>1415</v>
      </c>
      <c r="B391" t="s">
        <v>1416</v>
      </c>
      <c r="C391" t="s">
        <v>565</v>
      </c>
      <c r="E391" t="s">
        <v>1906</v>
      </c>
    </row>
    <row r="392" spans="1:5" x14ac:dyDescent="0.25">
      <c r="A392" t="s">
        <v>1417</v>
      </c>
      <c r="B392" t="s">
        <v>1418</v>
      </c>
      <c r="C392" t="s">
        <v>565</v>
      </c>
      <c r="E392" t="s">
        <v>1906</v>
      </c>
    </row>
    <row r="393" spans="1:5" x14ac:dyDescent="0.25">
      <c r="A393" t="s">
        <v>1409</v>
      </c>
      <c r="B393" t="s">
        <v>1410</v>
      </c>
      <c r="C393" t="s">
        <v>565</v>
      </c>
      <c r="E393" t="s">
        <v>1906</v>
      </c>
    </row>
    <row r="394" spans="1:5" x14ac:dyDescent="0.25">
      <c r="A394" t="s">
        <v>1419</v>
      </c>
      <c r="B394" t="s">
        <v>1420</v>
      </c>
      <c r="C394" t="s">
        <v>565</v>
      </c>
      <c r="E394" t="s">
        <v>1906</v>
      </c>
    </row>
    <row r="395" spans="1:5" x14ac:dyDescent="0.25">
      <c r="A395" t="s">
        <v>1411</v>
      </c>
      <c r="B395" t="s">
        <v>1412</v>
      </c>
      <c r="C395" t="s">
        <v>565</v>
      </c>
      <c r="E395" t="s">
        <v>1906</v>
      </c>
    </row>
    <row r="396" spans="1:5" x14ac:dyDescent="0.25">
      <c r="A396" t="s">
        <v>840</v>
      </c>
      <c r="B396" t="s">
        <v>841</v>
      </c>
      <c r="C396" t="s">
        <v>565</v>
      </c>
      <c r="E396" t="s">
        <v>1907</v>
      </c>
    </row>
    <row r="397" spans="1:5" x14ac:dyDescent="0.25">
      <c r="A397" t="s">
        <v>1421</v>
      </c>
      <c r="B397" t="s">
        <v>1422</v>
      </c>
      <c r="C397" t="s">
        <v>565</v>
      </c>
      <c r="E397" t="s">
        <v>1908</v>
      </c>
    </row>
    <row r="398" spans="1:5" x14ac:dyDescent="0.25">
      <c r="A398" t="s">
        <v>1423</v>
      </c>
      <c r="B398" t="s">
        <v>1424</v>
      </c>
      <c r="C398" t="s">
        <v>565</v>
      </c>
      <c r="E398" t="s">
        <v>1908</v>
      </c>
    </row>
    <row r="399" spans="1:5" x14ac:dyDescent="0.25">
      <c r="A399" t="s">
        <v>894</v>
      </c>
      <c r="B399" t="s">
        <v>895</v>
      </c>
      <c r="C399" t="s">
        <v>739</v>
      </c>
      <c r="E399" t="s">
        <v>1945</v>
      </c>
    </row>
    <row r="400" spans="1:5" x14ac:dyDescent="0.25">
      <c r="A400" t="s">
        <v>1425</v>
      </c>
      <c r="B400" t="s">
        <v>1426</v>
      </c>
      <c r="C400" t="s">
        <v>565</v>
      </c>
      <c r="E400" t="s">
        <v>1425</v>
      </c>
    </row>
    <row r="401" spans="1:5" x14ac:dyDescent="0.25">
      <c r="A401" t="s">
        <v>1012</v>
      </c>
      <c r="B401" t="s">
        <v>1013</v>
      </c>
      <c r="C401" t="s">
        <v>565</v>
      </c>
      <c r="E401" s="31" t="s">
        <v>1942</v>
      </c>
    </row>
    <row r="402" spans="1:5" x14ac:dyDescent="0.25">
      <c r="A402" t="s">
        <v>1024</v>
      </c>
      <c r="B402" t="s">
        <v>1025</v>
      </c>
      <c r="C402" t="s">
        <v>739</v>
      </c>
      <c r="E402" t="s">
        <v>1945</v>
      </c>
    </row>
    <row r="403" spans="1:5" x14ac:dyDescent="0.25">
      <c r="A403" t="s">
        <v>896</v>
      </c>
      <c r="B403" t="s">
        <v>897</v>
      </c>
      <c r="C403" t="s">
        <v>739</v>
      </c>
      <c r="E403" t="s">
        <v>1945</v>
      </c>
    </row>
    <row r="404" spans="1:5" x14ac:dyDescent="0.25">
      <c r="A404" t="s">
        <v>984</v>
      </c>
      <c r="B404" t="s">
        <v>985</v>
      </c>
      <c r="C404" t="s">
        <v>565</v>
      </c>
      <c r="E404" s="31" t="s">
        <v>1943</v>
      </c>
    </row>
    <row r="405" spans="1:5" x14ac:dyDescent="0.25">
      <c r="A405" t="s">
        <v>1427</v>
      </c>
      <c r="B405" t="s">
        <v>1428</v>
      </c>
      <c r="C405" t="s">
        <v>565</v>
      </c>
      <c r="E405" t="s">
        <v>1909</v>
      </c>
    </row>
    <row r="406" spans="1:5" x14ac:dyDescent="0.25">
      <c r="A406" t="s">
        <v>1429</v>
      </c>
      <c r="B406" t="s">
        <v>1430</v>
      </c>
      <c r="C406" t="s">
        <v>565</v>
      </c>
      <c r="E406" t="s">
        <v>1429</v>
      </c>
    </row>
    <row r="407" spans="1:5" x14ac:dyDescent="0.25">
      <c r="A407" t="s">
        <v>1439</v>
      </c>
      <c r="B407" t="s">
        <v>1440</v>
      </c>
      <c r="C407" t="s">
        <v>565</v>
      </c>
      <c r="E407" t="s">
        <v>1910</v>
      </c>
    </row>
    <row r="408" spans="1:5" x14ac:dyDescent="0.25">
      <c r="A408" t="s">
        <v>1431</v>
      </c>
      <c r="B408" t="s">
        <v>1432</v>
      </c>
      <c r="C408" t="s">
        <v>565</v>
      </c>
      <c r="E408" t="s">
        <v>1431</v>
      </c>
    </row>
    <row r="409" spans="1:5" x14ac:dyDescent="0.25">
      <c r="A409" t="s">
        <v>1433</v>
      </c>
      <c r="B409" t="s">
        <v>1434</v>
      </c>
      <c r="C409" t="s">
        <v>565</v>
      </c>
      <c r="E409" t="s">
        <v>1433</v>
      </c>
    </row>
    <row r="410" spans="1:5" x14ac:dyDescent="0.25">
      <c r="A410" t="s">
        <v>1435</v>
      </c>
      <c r="B410" t="s">
        <v>1436</v>
      </c>
      <c r="C410" t="s">
        <v>565</v>
      </c>
      <c r="E410" t="s">
        <v>1911</v>
      </c>
    </row>
    <row r="411" spans="1:5" x14ac:dyDescent="0.25">
      <c r="A411" t="s">
        <v>1437</v>
      </c>
      <c r="B411" t="s">
        <v>1438</v>
      </c>
      <c r="C411" t="s">
        <v>565</v>
      </c>
      <c r="E411" t="s">
        <v>1912</v>
      </c>
    </row>
    <row r="412" spans="1:5" x14ac:dyDescent="0.25">
      <c r="A412" t="s">
        <v>1441</v>
      </c>
      <c r="B412" t="s">
        <v>1442</v>
      </c>
      <c r="C412" t="s">
        <v>565</v>
      </c>
      <c r="E412" t="s">
        <v>1913</v>
      </c>
    </row>
    <row r="413" spans="1:5" x14ac:dyDescent="0.25">
      <c r="A413" t="s">
        <v>1443</v>
      </c>
      <c r="B413" t="s">
        <v>1444</v>
      </c>
      <c r="C413" t="s">
        <v>565</v>
      </c>
      <c r="E413" t="s">
        <v>1443</v>
      </c>
    </row>
    <row r="414" spans="1:5" x14ac:dyDescent="0.25">
      <c r="A414" t="s">
        <v>1445</v>
      </c>
      <c r="B414" t="s">
        <v>1446</v>
      </c>
      <c r="C414" t="s">
        <v>565</v>
      </c>
      <c r="E414" t="s">
        <v>1445</v>
      </c>
    </row>
    <row r="415" spans="1:5" x14ac:dyDescent="0.25">
      <c r="A415" t="s">
        <v>1447</v>
      </c>
      <c r="B415" t="s">
        <v>1448</v>
      </c>
      <c r="C415" t="s">
        <v>565</v>
      </c>
      <c r="E415" t="s">
        <v>1445</v>
      </c>
    </row>
    <row r="416" spans="1:5" x14ac:dyDescent="0.25">
      <c r="A416" t="s">
        <v>1449</v>
      </c>
      <c r="B416" t="s">
        <v>1450</v>
      </c>
      <c r="C416" t="s">
        <v>565</v>
      </c>
      <c r="E416" t="s">
        <v>1449</v>
      </c>
    </row>
    <row r="417" spans="1:5" x14ac:dyDescent="0.25">
      <c r="A417" t="s">
        <v>1451</v>
      </c>
      <c r="B417" t="s">
        <v>1452</v>
      </c>
      <c r="C417" t="s">
        <v>565</v>
      </c>
      <c r="E417" t="s">
        <v>1451</v>
      </c>
    </row>
    <row r="418" spans="1:5" x14ac:dyDescent="0.25">
      <c r="A418" t="s">
        <v>1044</v>
      </c>
      <c r="B418" t="s">
        <v>1045</v>
      </c>
      <c r="C418" t="s">
        <v>565</v>
      </c>
      <c r="E418" s="31" t="s">
        <v>1941</v>
      </c>
    </row>
    <row r="419" spans="1:5" x14ac:dyDescent="0.25">
      <c r="A419" t="s">
        <v>1453</v>
      </c>
      <c r="B419" t="s">
        <v>1454</v>
      </c>
      <c r="C419" t="s">
        <v>565</v>
      </c>
      <c r="E419" t="s">
        <v>1914</v>
      </c>
    </row>
    <row r="420" spans="1:5" x14ac:dyDescent="0.25">
      <c r="A420" t="s">
        <v>1455</v>
      </c>
      <c r="B420" t="s">
        <v>1456</v>
      </c>
      <c r="C420" t="s">
        <v>565</v>
      </c>
      <c r="E420" t="s">
        <v>1914</v>
      </c>
    </row>
    <row r="421" spans="1:5" x14ac:dyDescent="0.25">
      <c r="A421" t="s">
        <v>924</v>
      </c>
      <c r="B421" t="s">
        <v>925</v>
      </c>
      <c r="C421" t="s">
        <v>565</v>
      </c>
      <c r="E421" t="s">
        <v>1914</v>
      </c>
    </row>
    <row r="422" spans="1:5" x14ac:dyDescent="0.25">
      <c r="A422" t="s">
        <v>926</v>
      </c>
      <c r="B422" t="s">
        <v>927</v>
      </c>
      <c r="C422" t="s">
        <v>565</v>
      </c>
      <c r="E422" t="s">
        <v>1914</v>
      </c>
    </row>
    <row r="423" spans="1:5" x14ac:dyDescent="0.25">
      <c r="A423" t="s">
        <v>928</v>
      </c>
      <c r="B423" t="s">
        <v>929</v>
      </c>
      <c r="C423" t="s">
        <v>565</v>
      </c>
      <c r="E423" t="s">
        <v>1914</v>
      </c>
    </row>
    <row r="424" spans="1:5" x14ac:dyDescent="0.25">
      <c r="A424" t="s">
        <v>930</v>
      </c>
      <c r="B424" t="s">
        <v>931</v>
      </c>
      <c r="C424" t="s">
        <v>565</v>
      </c>
      <c r="E424" t="s">
        <v>1914</v>
      </c>
    </row>
    <row r="425" spans="1:5" x14ac:dyDescent="0.25">
      <c r="A425" t="s">
        <v>932</v>
      </c>
      <c r="B425" t="s">
        <v>933</v>
      </c>
      <c r="C425" t="s">
        <v>565</v>
      </c>
      <c r="E425" t="s">
        <v>1914</v>
      </c>
    </row>
    <row r="426" spans="1:5" x14ac:dyDescent="0.25">
      <c r="A426" t="s">
        <v>934</v>
      </c>
      <c r="B426" t="s">
        <v>935</v>
      </c>
      <c r="C426" t="s">
        <v>565</v>
      </c>
      <c r="E426" t="s">
        <v>1914</v>
      </c>
    </row>
    <row r="427" spans="1:5" x14ac:dyDescent="0.25">
      <c r="A427" t="s">
        <v>1046</v>
      </c>
      <c r="B427" t="s">
        <v>1047</v>
      </c>
      <c r="C427" t="s">
        <v>565</v>
      </c>
      <c r="E427" s="31" t="s">
        <v>1941</v>
      </c>
    </row>
    <row r="428" spans="1:5" x14ac:dyDescent="0.25">
      <c r="A428" t="s">
        <v>842</v>
      </c>
      <c r="B428" t="s">
        <v>843</v>
      </c>
      <c r="C428" t="s">
        <v>565</v>
      </c>
      <c r="E428" s="31" t="s">
        <v>1944</v>
      </c>
    </row>
    <row r="429" spans="1:5" x14ac:dyDescent="0.25">
      <c r="A429" t="s">
        <v>1457</v>
      </c>
      <c r="B429" t="s">
        <v>1458</v>
      </c>
      <c r="C429" t="s">
        <v>565</v>
      </c>
      <c r="E429" t="s">
        <v>1457</v>
      </c>
    </row>
    <row r="430" spans="1:5" x14ac:dyDescent="0.25">
      <c r="A430" t="s">
        <v>1048</v>
      </c>
      <c r="B430" t="s">
        <v>1049</v>
      </c>
      <c r="C430" t="s">
        <v>565</v>
      </c>
      <c r="E430" s="31" t="s">
        <v>1941</v>
      </c>
    </row>
    <row r="431" spans="1:5" x14ac:dyDescent="0.25">
      <c r="A431" t="s">
        <v>1459</v>
      </c>
      <c r="B431" t="s">
        <v>1460</v>
      </c>
      <c r="C431" t="s">
        <v>565</v>
      </c>
      <c r="E431" t="s">
        <v>1459</v>
      </c>
    </row>
    <row r="432" spans="1:5" x14ac:dyDescent="0.25">
      <c r="A432" t="s">
        <v>898</v>
      </c>
      <c r="B432" t="s">
        <v>899</v>
      </c>
      <c r="C432" t="s">
        <v>739</v>
      </c>
      <c r="E432" t="s">
        <v>1945</v>
      </c>
    </row>
    <row r="433" spans="1:5" x14ac:dyDescent="0.25">
      <c r="A433" t="s">
        <v>1050</v>
      </c>
      <c r="B433" t="s">
        <v>1051</v>
      </c>
      <c r="C433" t="s">
        <v>565</v>
      </c>
      <c r="E433" s="31" t="s">
        <v>1941</v>
      </c>
    </row>
    <row r="434" spans="1:5" x14ac:dyDescent="0.25">
      <c r="A434" t="s">
        <v>1463</v>
      </c>
      <c r="B434" t="s">
        <v>1464</v>
      </c>
      <c r="C434" t="s">
        <v>565</v>
      </c>
      <c r="E434" t="s">
        <v>1463</v>
      </c>
    </row>
    <row r="435" spans="1:5" x14ac:dyDescent="0.25">
      <c r="A435" t="s">
        <v>1465</v>
      </c>
      <c r="B435" t="s">
        <v>1466</v>
      </c>
      <c r="C435" t="s">
        <v>565</v>
      </c>
      <c r="E435" t="s">
        <v>1465</v>
      </c>
    </row>
    <row r="436" spans="1:5" x14ac:dyDescent="0.25">
      <c r="A436" t="s">
        <v>1467</v>
      </c>
      <c r="B436" t="s">
        <v>1468</v>
      </c>
      <c r="C436" t="s">
        <v>565</v>
      </c>
      <c r="E436" t="s">
        <v>1467</v>
      </c>
    </row>
    <row r="437" spans="1:5" x14ac:dyDescent="0.25">
      <c r="A437" t="s">
        <v>1469</v>
      </c>
      <c r="B437" t="s">
        <v>1470</v>
      </c>
      <c r="C437" t="s">
        <v>565</v>
      </c>
      <c r="E437" t="s">
        <v>1469</v>
      </c>
    </row>
    <row r="438" spans="1:5" x14ac:dyDescent="0.25">
      <c r="A438" t="s">
        <v>1471</v>
      </c>
      <c r="B438" t="s">
        <v>1472</v>
      </c>
      <c r="C438" t="s">
        <v>565</v>
      </c>
      <c r="E438" t="s">
        <v>1471</v>
      </c>
    </row>
    <row r="439" spans="1:5" x14ac:dyDescent="0.25">
      <c r="A439" t="s">
        <v>1481</v>
      </c>
      <c r="B439" t="s">
        <v>1482</v>
      </c>
      <c r="C439" t="s">
        <v>565</v>
      </c>
      <c r="E439" t="s">
        <v>1915</v>
      </c>
    </row>
    <row r="440" spans="1:5" x14ac:dyDescent="0.25">
      <c r="A440" t="s">
        <v>1483</v>
      </c>
      <c r="B440" t="s">
        <v>1484</v>
      </c>
      <c r="C440" t="s">
        <v>565</v>
      </c>
      <c r="E440" t="s">
        <v>1915</v>
      </c>
    </row>
    <row r="441" spans="1:5" x14ac:dyDescent="0.25">
      <c r="A441" t="s">
        <v>1473</v>
      </c>
      <c r="B441" t="s">
        <v>1474</v>
      </c>
      <c r="C441" t="s">
        <v>565</v>
      </c>
      <c r="E441" t="s">
        <v>1916</v>
      </c>
    </row>
    <row r="442" spans="1:5" x14ac:dyDescent="0.25">
      <c r="A442" t="s">
        <v>1475</v>
      </c>
      <c r="B442" t="s">
        <v>1476</v>
      </c>
      <c r="C442" t="s">
        <v>565</v>
      </c>
      <c r="E442" t="s">
        <v>1916</v>
      </c>
    </row>
    <row r="443" spans="1:5" x14ac:dyDescent="0.25">
      <c r="A443" t="s">
        <v>1477</v>
      </c>
      <c r="B443" t="s">
        <v>1478</v>
      </c>
      <c r="C443" t="s">
        <v>565</v>
      </c>
      <c r="E443" t="s">
        <v>1916</v>
      </c>
    </row>
    <row r="444" spans="1:5" x14ac:dyDescent="0.25">
      <c r="A444" t="s">
        <v>1485</v>
      </c>
      <c r="B444" t="s">
        <v>1486</v>
      </c>
      <c r="C444" t="s">
        <v>565</v>
      </c>
      <c r="E444" s="31" t="s">
        <v>1951</v>
      </c>
    </row>
    <row r="445" spans="1:5" x14ac:dyDescent="0.25">
      <c r="A445" t="s">
        <v>1487</v>
      </c>
      <c r="B445" t="s">
        <v>1488</v>
      </c>
      <c r="C445" t="s">
        <v>565</v>
      </c>
      <c r="E445" t="s">
        <v>1487</v>
      </c>
    </row>
    <row r="446" spans="1:5" x14ac:dyDescent="0.25">
      <c r="A446" t="s">
        <v>1515</v>
      </c>
      <c r="B446" t="s">
        <v>1516</v>
      </c>
      <c r="C446" t="s">
        <v>565</v>
      </c>
      <c r="E446" s="31" t="s">
        <v>1952</v>
      </c>
    </row>
    <row r="447" spans="1:5" x14ac:dyDescent="0.25">
      <c r="A447" t="s">
        <v>1517</v>
      </c>
      <c r="B447" t="s">
        <v>1518</v>
      </c>
      <c r="C447" t="s">
        <v>565</v>
      </c>
      <c r="E447" s="31" t="s">
        <v>1952</v>
      </c>
    </row>
    <row r="448" spans="1:5" x14ac:dyDescent="0.25">
      <c r="A448" t="s">
        <v>1491</v>
      </c>
      <c r="B448" t="s">
        <v>1492</v>
      </c>
      <c r="C448" t="s">
        <v>565</v>
      </c>
      <c r="E448" t="s">
        <v>1917</v>
      </c>
    </row>
    <row r="449" spans="1:5" x14ac:dyDescent="0.25">
      <c r="A449" t="s">
        <v>1493</v>
      </c>
      <c r="B449" t="s">
        <v>1494</v>
      </c>
      <c r="C449" t="s">
        <v>565</v>
      </c>
      <c r="E449" t="s">
        <v>1493</v>
      </c>
    </row>
    <row r="450" spans="1:5" x14ac:dyDescent="0.25">
      <c r="A450" t="s">
        <v>1495</v>
      </c>
      <c r="B450" t="s">
        <v>1496</v>
      </c>
      <c r="C450" t="s">
        <v>565</v>
      </c>
      <c r="E450" t="s">
        <v>1495</v>
      </c>
    </row>
    <row r="451" spans="1:5" x14ac:dyDescent="0.25">
      <c r="A451" t="s">
        <v>1497</v>
      </c>
      <c r="B451" t="s">
        <v>1498</v>
      </c>
      <c r="C451" t="s">
        <v>565</v>
      </c>
      <c r="E451" t="s">
        <v>1495</v>
      </c>
    </row>
    <row r="452" spans="1:5" x14ac:dyDescent="0.25">
      <c r="A452" t="s">
        <v>1499</v>
      </c>
      <c r="B452" t="s">
        <v>1500</v>
      </c>
      <c r="C452" t="s">
        <v>565</v>
      </c>
      <c r="E452" t="s">
        <v>1499</v>
      </c>
    </row>
    <row r="453" spans="1:5" x14ac:dyDescent="0.25">
      <c r="A453" t="s">
        <v>900</v>
      </c>
      <c r="B453" t="s">
        <v>901</v>
      </c>
      <c r="C453" t="s">
        <v>739</v>
      </c>
      <c r="E453" t="s">
        <v>1945</v>
      </c>
    </row>
    <row r="454" spans="1:5" x14ac:dyDescent="0.25">
      <c r="A454" t="s">
        <v>1501</v>
      </c>
      <c r="B454" t="s">
        <v>1502</v>
      </c>
      <c r="C454" t="s">
        <v>565</v>
      </c>
      <c r="E454" t="s">
        <v>1918</v>
      </c>
    </row>
    <row r="455" spans="1:5" x14ac:dyDescent="0.25">
      <c r="A455" t="s">
        <v>902</v>
      </c>
      <c r="B455" t="s">
        <v>903</v>
      </c>
      <c r="C455" t="s">
        <v>739</v>
      </c>
      <c r="E455" t="s">
        <v>1945</v>
      </c>
    </row>
    <row r="456" spans="1:5" x14ac:dyDescent="0.25">
      <c r="A456" t="s">
        <v>1503</v>
      </c>
      <c r="B456" t="s">
        <v>1504</v>
      </c>
      <c r="C456" t="s">
        <v>565</v>
      </c>
      <c r="E456" t="s">
        <v>1503</v>
      </c>
    </row>
    <row r="457" spans="1:5" x14ac:dyDescent="0.25">
      <c r="A457" t="s">
        <v>1505</v>
      </c>
      <c r="B457" t="s">
        <v>1506</v>
      </c>
      <c r="C457" t="s">
        <v>565</v>
      </c>
      <c r="E457" t="s">
        <v>1919</v>
      </c>
    </row>
    <row r="458" spans="1:5" x14ac:dyDescent="0.25">
      <c r="A458" t="s">
        <v>1507</v>
      </c>
      <c r="B458" t="s">
        <v>1508</v>
      </c>
      <c r="C458" t="s">
        <v>565</v>
      </c>
      <c r="E458" t="s">
        <v>1919</v>
      </c>
    </row>
    <row r="459" spans="1:5" x14ac:dyDescent="0.25">
      <c r="A459" t="s">
        <v>1509</v>
      </c>
      <c r="B459" t="s">
        <v>1510</v>
      </c>
      <c r="C459" t="s">
        <v>565</v>
      </c>
      <c r="E459" t="s">
        <v>1509</v>
      </c>
    </row>
    <row r="460" spans="1:5" x14ac:dyDescent="0.25">
      <c r="A460" t="s">
        <v>1511</v>
      </c>
      <c r="B460" t="s">
        <v>1512</v>
      </c>
      <c r="C460" t="s">
        <v>565</v>
      </c>
      <c r="E460" t="s">
        <v>1920</v>
      </c>
    </row>
    <row r="461" spans="1:5" x14ac:dyDescent="0.25">
      <c r="A461" t="s">
        <v>1014</v>
      </c>
      <c r="B461" t="s">
        <v>1015</v>
      </c>
      <c r="C461" t="s">
        <v>565</v>
      </c>
      <c r="E461" s="31" t="s">
        <v>1942</v>
      </c>
    </row>
    <row r="462" spans="1:5" x14ac:dyDescent="0.25">
      <c r="A462" t="s">
        <v>1052</v>
      </c>
      <c r="B462" t="s">
        <v>1053</v>
      </c>
      <c r="C462" t="s">
        <v>565</v>
      </c>
      <c r="E462" s="31" t="s">
        <v>1941</v>
      </c>
    </row>
    <row r="463" spans="1:5" x14ac:dyDescent="0.25">
      <c r="A463" t="s">
        <v>1513</v>
      </c>
      <c r="B463" t="s">
        <v>1514</v>
      </c>
      <c r="C463" t="s">
        <v>565</v>
      </c>
      <c r="E463" t="s">
        <v>1513</v>
      </c>
    </row>
    <row r="464" spans="1:5" x14ac:dyDescent="0.25">
      <c r="A464" t="s">
        <v>1016</v>
      </c>
      <c r="B464" t="s">
        <v>1017</v>
      </c>
      <c r="C464" t="s">
        <v>565</v>
      </c>
      <c r="E464" s="31" t="s">
        <v>1942</v>
      </c>
    </row>
    <row r="465" spans="1:5" x14ac:dyDescent="0.25">
      <c r="A465" t="s">
        <v>1519</v>
      </c>
      <c r="B465" t="s">
        <v>1520</v>
      </c>
      <c r="C465" t="s">
        <v>565</v>
      </c>
      <c r="E465" t="s">
        <v>1519</v>
      </c>
    </row>
    <row r="466" spans="1:5" x14ac:dyDescent="0.25">
      <c r="A466" t="s">
        <v>1521</v>
      </c>
      <c r="B466" t="s">
        <v>1522</v>
      </c>
      <c r="C466" t="s">
        <v>565</v>
      </c>
      <c r="E466" t="s">
        <v>1521</v>
      </c>
    </row>
    <row r="467" spans="1:5" x14ac:dyDescent="0.25">
      <c r="A467" t="s">
        <v>1523</v>
      </c>
      <c r="B467" t="s">
        <v>1524</v>
      </c>
      <c r="C467" t="s">
        <v>565</v>
      </c>
      <c r="E467" t="s">
        <v>1523</v>
      </c>
    </row>
    <row r="468" spans="1:5" x14ac:dyDescent="0.25">
      <c r="A468" t="s">
        <v>1018</v>
      </c>
      <c r="B468" t="s">
        <v>1019</v>
      </c>
      <c r="C468" t="s">
        <v>565</v>
      </c>
      <c r="E468" s="31" t="s">
        <v>1942</v>
      </c>
    </row>
    <row r="469" spans="1:5" x14ac:dyDescent="0.25">
      <c r="A469" t="s">
        <v>1525</v>
      </c>
      <c r="B469" t="s">
        <v>1526</v>
      </c>
      <c r="C469" t="s">
        <v>565</v>
      </c>
      <c r="E469" t="s">
        <v>1525</v>
      </c>
    </row>
    <row r="470" spans="1:5" x14ac:dyDescent="0.25">
      <c r="A470" t="s">
        <v>1527</v>
      </c>
      <c r="B470" t="s">
        <v>1528</v>
      </c>
      <c r="C470" t="s">
        <v>565</v>
      </c>
      <c r="E470" t="s">
        <v>1527</v>
      </c>
    </row>
    <row r="471" spans="1:5" x14ac:dyDescent="0.25">
      <c r="A471" t="s">
        <v>1529</v>
      </c>
      <c r="B471" t="s">
        <v>1530</v>
      </c>
      <c r="C471" t="s">
        <v>565</v>
      </c>
      <c r="E471" t="s">
        <v>1529</v>
      </c>
    </row>
    <row r="472" spans="1:5" x14ac:dyDescent="0.25">
      <c r="A472" t="s">
        <v>1020</v>
      </c>
      <c r="B472" t="s">
        <v>1021</v>
      </c>
      <c r="C472" t="s">
        <v>565</v>
      </c>
      <c r="E472" s="31" t="s">
        <v>1942</v>
      </c>
    </row>
    <row r="473" spans="1:5" x14ac:dyDescent="0.25">
      <c r="A473" t="s">
        <v>904</v>
      </c>
      <c r="B473" t="s">
        <v>905</v>
      </c>
      <c r="C473" t="s">
        <v>739</v>
      </c>
      <c r="E473" t="s">
        <v>1945</v>
      </c>
    </row>
    <row r="474" spans="1:5" x14ac:dyDescent="0.25">
      <c r="A474" t="s">
        <v>1531</v>
      </c>
      <c r="B474" t="s">
        <v>1532</v>
      </c>
      <c r="C474" t="s">
        <v>565</v>
      </c>
      <c r="E474" t="s">
        <v>1921</v>
      </c>
    </row>
    <row r="475" spans="1:5" x14ac:dyDescent="0.25">
      <c r="A475" t="s">
        <v>1533</v>
      </c>
      <c r="B475" t="s">
        <v>1534</v>
      </c>
      <c r="C475" t="s">
        <v>565</v>
      </c>
      <c r="E475" t="s">
        <v>1533</v>
      </c>
    </row>
    <row r="476" spans="1:5" x14ac:dyDescent="0.25">
      <c r="A476" t="s">
        <v>1535</v>
      </c>
      <c r="B476" t="s">
        <v>1536</v>
      </c>
      <c r="C476" t="s">
        <v>565</v>
      </c>
      <c r="E476" t="s">
        <v>1922</v>
      </c>
    </row>
    <row r="477" spans="1:5" x14ac:dyDescent="0.25">
      <c r="A477" t="s">
        <v>1537</v>
      </c>
      <c r="B477" t="s">
        <v>1538</v>
      </c>
      <c r="C477" t="s">
        <v>565</v>
      </c>
      <c r="E477" t="s">
        <v>1922</v>
      </c>
    </row>
    <row r="478" spans="1:5" x14ac:dyDescent="0.25">
      <c r="A478" t="s">
        <v>1539</v>
      </c>
      <c r="B478" t="s">
        <v>1540</v>
      </c>
      <c r="C478" t="s">
        <v>565</v>
      </c>
      <c r="E478" t="s">
        <v>1539</v>
      </c>
    </row>
    <row r="479" spans="1:5" x14ac:dyDescent="0.25">
      <c r="A479" t="s">
        <v>1541</v>
      </c>
      <c r="B479" t="s">
        <v>1542</v>
      </c>
      <c r="C479" t="s">
        <v>565</v>
      </c>
      <c r="E479" t="s">
        <v>1923</v>
      </c>
    </row>
    <row r="480" spans="1:5" x14ac:dyDescent="0.25">
      <c r="A480" t="s">
        <v>846</v>
      </c>
      <c r="B480" t="s">
        <v>847</v>
      </c>
      <c r="C480" t="s">
        <v>565</v>
      </c>
      <c r="E480" t="s">
        <v>1924</v>
      </c>
    </row>
    <row r="481" spans="1:5" x14ac:dyDescent="0.25">
      <c r="A481" t="s">
        <v>1543</v>
      </c>
      <c r="B481" t="s">
        <v>1544</v>
      </c>
      <c r="C481" t="s">
        <v>565</v>
      </c>
      <c r="E481" t="s">
        <v>1543</v>
      </c>
    </row>
    <row r="482" spans="1:5" x14ac:dyDescent="0.25">
      <c r="A482" t="s">
        <v>1545</v>
      </c>
      <c r="B482" t="s">
        <v>1546</v>
      </c>
      <c r="C482" t="s">
        <v>565</v>
      </c>
      <c r="E482" t="s">
        <v>1925</v>
      </c>
    </row>
    <row r="483" spans="1:5" x14ac:dyDescent="0.25">
      <c r="A483" t="s">
        <v>1547</v>
      </c>
      <c r="B483" t="s">
        <v>1548</v>
      </c>
      <c r="C483" t="s">
        <v>565</v>
      </c>
      <c r="E483" t="s">
        <v>1925</v>
      </c>
    </row>
    <row r="484" spans="1:5" x14ac:dyDescent="0.25">
      <c r="A484" t="s">
        <v>1549</v>
      </c>
      <c r="B484" t="s">
        <v>1550</v>
      </c>
      <c r="C484" t="s">
        <v>565</v>
      </c>
      <c r="E484" t="s">
        <v>1925</v>
      </c>
    </row>
    <row r="485" spans="1:5" x14ac:dyDescent="0.25">
      <c r="A485" t="s">
        <v>848</v>
      </c>
      <c r="B485" t="s">
        <v>849</v>
      </c>
      <c r="C485" t="s">
        <v>565</v>
      </c>
      <c r="E485" t="s">
        <v>1926</v>
      </c>
    </row>
    <row r="486" spans="1:5" x14ac:dyDescent="0.25">
      <c r="A486" t="s">
        <v>1551</v>
      </c>
      <c r="B486" t="s">
        <v>1552</v>
      </c>
      <c r="C486" t="s">
        <v>565</v>
      </c>
      <c r="E486" t="s">
        <v>1927</v>
      </c>
    </row>
    <row r="487" spans="1:5" x14ac:dyDescent="0.25">
      <c r="A487" t="s">
        <v>1553</v>
      </c>
      <c r="B487" t="s">
        <v>1554</v>
      </c>
      <c r="C487" t="s">
        <v>565</v>
      </c>
      <c r="E487" t="s">
        <v>1927</v>
      </c>
    </row>
    <row r="488" spans="1:5" x14ac:dyDescent="0.25">
      <c r="A488" t="s">
        <v>1375</v>
      </c>
      <c r="B488" t="s">
        <v>1376</v>
      </c>
      <c r="C488" t="s">
        <v>565</v>
      </c>
      <c r="E488" t="s">
        <v>1375</v>
      </c>
    </row>
    <row r="489" spans="1:5" x14ac:dyDescent="0.25">
      <c r="A489" t="s">
        <v>750</v>
      </c>
      <c r="B489" t="s">
        <v>751</v>
      </c>
      <c r="C489" t="s">
        <v>565</v>
      </c>
      <c r="E489" t="s">
        <v>1928</v>
      </c>
    </row>
    <row r="490" spans="1:5" x14ac:dyDescent="0.25">
      <c r="A490" t="s">
        <v>1555</v>
      </c>
      <c r="B490" t="s">
        <v>1556</v>
      </c>
      <c r="C490" t="s">
        <v>565</v>
      </c>
      <c r="E490" t="s">
        <v>1929</v>
      </c>
    </row>
    <row r="491" spans="1:5" x14ac:dyDescent="0.25">
      <c r="A491" t="s">
        <v>1557</v>
      </c>
      <c r="B491" t="s">
        <v>1558</v>
      </c>
      <c r="C491" t="s">
        <v>565</v>
      </c>
      <c r="E491" t="s">
        <v>1557</v>
      </c>
    </row>
    <row r="492" spans="1:5" x14ac:dyDescent="0.25">
      <c r="A492" t="s">
        <v>1559</v>
      </c>
      <c r="B492" t="s">
        <v>1560</v>
      </c>
      <c r="C492" t="s">
        <v>565</v>
      </c>
      <c r="E492" t="s">
        <v>1559</v>
      </c>
    </row>
    <row r="493" spans="1:5" x14ac:dyDescent="0.25">
      <c r="A493" t="s">
        <v>1026</v>
      </c>
      <c r="B493" t="s">
        <v>1027</v>
      </c>
      <c r="C493" t="s">
        <v>739</v>
      </c>
      <c r="E493" t="s">
        <v>1945</v>
      </c>
    </row>
    <row r="494" spans="1:5" x14ac:dyDescent="0.25">
      <c r="A494" t="s">
        <v>1561</v>
      </c>
      <c r="B494" t="s">
        <v>1562</v>
      </c>
      <c r="C494" t="s">
        <v>565</v>
      </c>
      <c r="E494" t="s">
        <v>1930</v>
      </c>
    </row>
    <row r="495" spans="1:5" x14ac:dyDescent="0.25">
      <c r="A495" t="s">
        <v>1563</v>
      </c>
      <c r="B495" t="s">
        <v>1564</v>
      </c>
      <c r="C495" t="s">
        <v>565</v>
      </c>
      <c r="E495" t="s">
        <v>1930</v>
      </c>
    </row>
    <row r="496" spans="1:5" x14ac:dyDescent="0.25">
      <c r="A496" t="s">
        <v>1565</v>
      </c>
      <c r="B496" t="s">
        <v>1566</v>
      </c>
      <c r="C496" t="s">
        <v>565</v>
      </c>
      <c r="E496" t="s">
        <v>1930</v>
      </c>
    </row>
    <row r="497" spans="1:5" x14ac:dyDescent="0.25">
      <c r="A497" t="s">
        <v>1567</v>
      </c>
      <c r="B497" t="s">
        <v>1568</v>
      </c>
      <c r="C497" t="s">
        <v>565</v>
      </c>
      <c r="E497" t="s">
        <v>1567</v>
      </c>
    </row>
    <row r="498" spans="1:5" x14ac:dyDescent="0.25">
      <c r="A498" t="s">
        <v>1209</v>
      </c>
      <c r="B498" t="s">
        <v>1210</v>
      </c>
      <c r="C498" t="s">
        <v>565</v>
      </c>
      <c r="E498" s="31" t="s">
        <v>1946</v>
      </c>
    </row>
    <row r="499" spans="1:5" x14ac:dyDescent="0.25">
      <c r="A499" t="s">
        <v>1211</v>
      </c>
      <c r="B499" t="s">
        <v>1212</v>
      </c>
      <c r="C499" t="s">
        <v>565</v>
      </c>
      <c r="E499" s="31" t="s">
        <v>1946</v>
      </c>
    </row>
    <row r="500" spans="1:5" x14ac:dyDescent="0.25">
      <c r="A500" t="s">
        <v>1207</v>
      </c>
      <c r="B500" t="s">
        <v>1208</v>
      </c>
      <c r="C500" t="s">
        <v>565</v>
      </c>
      <c r="E500" s="31" t="s">
        <v>1946</v>
      </c>
    </row>
    <row r="501" spans="1:5" x14ac:dyDescent="0.25">
      <c r="A501" t="s">
        <v>1205</v>
      </c>
      <c r="B501" t="s">
        <v>1206</v>
      </c>
      <c r="C501" t="s">
        <v>565</v>
      </c>
      <c r="E501" s="31" t="s">
        <v>1946</v>
      </c>
    </row>
    <row r="502" spans="1:5" x14ac:dyDescent="0.25">
      <c r="A502" t="s">
        <v>1213</v>
      </c>
      <c r="B502" t="s">
        <v>1214</v>
      </c>
      <c r="C502" t="s">
        <v>565</v>
      </c>
      <c r="E502" s="31" t="s">
        <v>1946</v>
      </c>
    </row>
    <row r="503" spans="1:5" x14ac:dyDescent="0.25">
      <c r="A503" t="s">
        <v>1569</v>
      </c>
      <c r="B503" t="s">
        <v>1570</v>
      </c>
      <c r="C503" t="s">
        <v>565</v>
      </c>
      <c r="E503" t="s">
        <v>1569</v>
      </c>
    </row>
    <row r="504" spans="1:5" x14ac:dyDescent="0.25">
      <c r="A504" t="s">
        <v>850</v>
      </c>
      <c r="B504" t="s">
        <v>851</v>
      </c>
      <c r="C504" t="s">
        <v>565</v>
      </c>
      <c r="E504" s="31" t="s">
        <v>1944</v>
      </c>
    </row>
    <row r="505" spans="1:5" x14ac:dyDescent="0.25">
      <c r="A505" t="s">
        <v>852</v>
      </c>
      <c r="B505" t="s">
        <v>853</v>
      </c>
      <c r="C505" t="s">
        <v>565</v>
      </c>
      <c r="E505" s="31" t="s">
        <v>1944</v>
      </c>
    </row>
    <row r="506" spans="1:5" x14ac:dyDescent="0.25">
      <c r="A506" t="s">
        <v>854</v>
      </c>
      <c r="B506" t="s">
        <v>855</v>
      </c>
      <c r="C506" t="s">
        <v>565</v>
      </c>
      <c r="E506" s="31" t="s">
        <v>1944</v>
      </c>
    </row>
    <row r="507" spans="1:5" x14ac:dyDescent="0.25">
      <c r="A507" t="s">
        <v>856</v>
      </c>
      <c r="B507" t="s">
        <v>857</v>
      </c>
      <c r="C507" t="s">
        <v>565</v>
      </c>
      <c r="E507" t="s">
        <v>1931</v>
      </c>
    </row>
    <row r="508" spans="1:5" x14ac:dyDescent="0.25">
      <c r="A508" t="s">
        <v>1571</v>
      </c>
      <c r="B508" t="s">
        <v>1572</v>
      </c>
      <c r="C508" t="s">
        <v>565</v>
      </c>
      <c r="E508" t="s">
        <v>1571</v>
      </c>
    </row>
    <row r="509" spans="1:5" x14ac:dyDescent="0.25">
      <c r="A509" t="s">
        <v>1573</v>
      </c>
      <c r="B509" t="s">
        <v>1574</v>
      </c>
      <c r="C509" t="s">
        <v>565</v>
      </c>
      <c r="E509" t="s">
        <v>1571</v>
      </c>
    </row>
    <row r="510" spans="1:5" x14ac:dyDescent="0.25">
      <c r="A510" t="s">
        <v>1575</v>
      </c>
      <c r="B510" t="s">
        <v>1576</v>
      </c>
      <c r="C510" t="s">
        <v>565</v>
      </c>
      <c r="E510" t="s">
        <v>1575</v>
      </c>
    </row>
    <row r="511" spans="1:5" x14ac:dyDescent="0.25">
      <c r="A511" t="s">
        <v>906</v>
      </c>
      <c r="B511" t="s">
        <v>907</v>
      </c>
      <c r="C511" t="s">
        <v>739</v>
      </c>
      <c r="E511" t="s">
        <v>1945</v>
      </c>
    </row>
    <row r="512" spans="1:5" x14ac:dyDescent="0.25">
      <c r="A512" t="s">
        <v>858</v>
      </c>
      <c r="B512" t="s">
        <v>859</v>
      </c>
      <c r="C512" t="s">
        <v>565</v>
      </c>
      <c r="E512" t="s">
        <v>1932</v>
      </c>
    </row>
    <row r="513" spans="1:5" x14ac:dyDescent="0.25">
      <c r="A513" t="s">
        <v>1022</v>
      </c>
      <c r="B513" t="s">
        <v>1023</v>
      </c>
      <c r="C513" t="s">
        <v>565</v>
      </c>
      <c r="E513" s="31" t="s">
        <v>1942</v>
      </c>
    </row>
    <row r="514" spans="1:5" x14ac:dyDescent="0.25">
      <c r="A514" t="s">
        <v>1577</v>
      </c>
      <c r="B514" t="s">
        <v>1578</v>
      </c>
      <c r="C514" t="s">
        <v>565</v>
      </c>
      <c r="E514" t="s">
        <v>1577</v>
      </c>
    </row>
    <row r="515" spans="1:5" x14ac:dyDescent="0.25">
      <c r="A515" t="s">
        <v>1054</v>
      </c>
      <c r="B515" t="s">
        <v>1055</v>
      </c>
      <c r="C515" t="s">
        <v>565</v>
      </c>
      <c r="E515" s="31" t="s">
        <v>1941</v>
      </c>
    </row>
    <row r="516" spans="1:5" x14ac:dyDescent="0.25">
      <c r="A516" t="s">
        <v>1579</v>
      </c>
      <c r="B516" t="s">
        <v>1580</v>
      </c>
      <c r="C516" t="s">
        <v>565</v>
      </c>
      <c r="E516" t="s">
        <v>1579</v>
      </c>
    </row>
    <row r="517" spans="1:5" x14ac:dyDescent="0.25">
      <c r="A517" t="s">
        <v>1581</v>
      </c>
      <c r="B517" t="s">
        <v>1582</v>
      </c>
      <c r="C517" t="s">
        <v>565</v>
      </c>
      <c r="E517" t="s">
        <v>1581</v>
      </c>
    </row>
    <row r="518" spans="1:5" x14ac:dyDescent="0.25">
      <c r="A518" t="s">
        <v>860</v>
      </c>
      <c r="B518" t="s">
        <v>861</v>
      </c>
      <c r="C518" t="s">
        <v>565</v>
      </c>
      <c r="E518" s="31" t="s">
        <v>1944</v>
      </c>
    </row>
    <row r="519" spans="1:5" x14ac:dyDescent="0.25">
      <c r="A519" t="s">
        <v>1583</v>
      </c>
      <c r="B519" t="s">
        <v>1584</v>
      </c>
      <c r="C519" t="s">
        <v>565</v>
      </c>
      <c r="E519" t="s">
        <v>1583</v>
      </c>
    </row>
    <row r="520" spans="1:5" x14ac:dyDescent="0.25">
      <c r="A520" t="s">
        <v>1585</v>
      </c>
      <c r="B520" t="s">
        <v>1586</v>
      </c>
      <c r="C520" t="s">
        <v>565</v>
      </c>
      <c r="E520" t="s">
        <v>1585</v>
      </c>
    </row>
    <row r="521" spans="1:5" x14ac:dyDescent="0.25">
      <c r="A521" t="s">
        <v>1587</v>
      </c>
      <c r="B521" t="s">
        <v>1588</v>
      </c>
      <c r="C521" t="s">
        <v>565</v>
      </c>
      <c r="E521" t="s">
        <v>1587</v>
      </c>
    </row>
    <row r="522" spans="1:5" x14ac:dyDescent="0.25">
      <c r="A522" t="s">
        <v>996</v>
      </c>
      <c r="B522" t="s">
        <v>997</v>
      </c>
      <c r="C522" t="s">
        <v>565</v>
      </c>
      <c r="E522" t="s">
        <v>1933</v>
      </c>
    </row>
    <row r="523" spans="1:5" x14ac:dyDescent="0.25">
      <c r="A523" t="s">
        <v>1589</v>
      </c>
      <c r="B523" t="s">
        <v>1590</v>
      </c>
      <c r="C523" t="s">
        <v>565</v>
      </c>
      <c r="E523" t="s">
        <v>1589</v>
      </c>
    </row>
    <row r="524" spans="1:5" x14ac:dyDescent="0.25">
      <c r="A524" t="s">
        <v>912</v>
      </c>
      <c r="B524" t="s">
        <v>913</v>
      </c>
      <c r="C524" t="s">
        <v>565</v>
      </c>
      <c r="E524" t="s">
        <v>1934</v>
      </c>
    </row>
    <row r="525" spans="1:5" x14ac:dyDescent="0.25">
      <c r="A525" t="s">
        <v>1591</v>
      </c>
      <c r="B525" t="s">
        <v>1592</v>
      </c>
      <c r="C525" t="s">
        <v>565</v>
      </c>
      <c r="E525" t="s">
        <v>1935</v>
      </c>
    </row>
    <row r="526" spans="1:5" x14ac:dyDescent="0.25">
      <c r="A526" t="s">
        <v>1593</v>
      </c>
      <c r="B526" t="s">
        <v>1594</v>
      </c>
      <c r="C526" t="s">
        <v>565</v>
      </c>
      <c r="E526" t="s">
        <v>1935</v>
      </c>
    </row>
    <row r="527" spans="1:5" x14ac:dyDescent="0.25">
      <c r="A527" t="s">
        <v>1595</v>
      </c>
      <c r="B527" t="s">
        <v>1596</v>
      </c>
      <c r="C527" t="s">
        <v>565</v>
      </c>
      <c r="E527" t="s">
        <v>1595</v>
      </c>
    </row>
    <row r="528" spans="1:5" x14ac:dyDescent="0.25">
      <c r="A528" t="s">
        <v>1597</v>
      </c>
      <c r="B528" t="s">
        <v>1598</v>
      </c>
      <c r="C528" t="s">
        <v>565</v>
      </c>
      <c r="E528" t="s">
        <v>1597</v>
      </c>
    </row>
    <row r="529" spans="1:5" x14ac:dyDescent="0.25">
      <c r="A529" t="s">
        <v>1599</v>
      </c>
      <c r="B529" t="s">
        <v>1600</v>
      </c>
      <c r="C529" t="s">
        <v>565</v>
      </c>
      <c r="E529" t="s">
        <v>1599</v>
      </c>
    </row>
    <row r="530" spans="1:5" x14ac:dyDescent="0.25">
      <c r="A530" t="s">
        <v>1601</v>
      </c>
      <c r="B530" t="s">
        <v>1602</v>
      </c>
      <c r="C530" t="s">
        <v>565</v>
      </c>
      <c r="E530" t="s">
        <v>1601</v>
      </c>
    </row>
    <row r="531" spans="1:5" x14ac:dyDescent="0.25">
      <c r="A531" t="s">
        <v>862</v>
      </c>
      <c r="B531" t="s">
        <v>863</v>
      </c>
      <c r="C531" t="s">
        <v>565</v>
      </c>
      <c r="E531" s="31" t="s">
        <v>1944</v>
      </c>
    </row>
    <row r="532" spans="1:5" x14ac:dyDescent="0.25">
      <c r="A532" t="s">
        <v>1603</v>
      </c>
      <c r="B532" t="s">
        <v>1604</v>
      </c>
      <c r="C532" t="s">
        <v>565</v>
      </c>
      <c r="E532" t="s">
        <v>1603</v>
      </c>
    </row>
    <row r="533" spans="1:5" x14ac:dyDescent="0.25">
      <c r="A533" t="s">
        <v>1605</v>
      </c>
      <c r="B533" t="s">
        <v>1606</v>
      </c>
      <c r="C533" t="s">
        <v>565</v>
      </c>
      <c r="E533" t="s">
        <v>1936</v>
      </c>
    </row>
    <row r="534" spans="1:5" x14ac:dyDescent="0.25">
      <c r="A534" t="s">
        <v>1607</v>
      </c>
      <c r="B534" t="s">
        <v>1608</v>
      </c>
      <c r="C534" t="s">
        <v>565</v>
      </c>
      <c r="E534" t="s">
        <v>1607</v>
      </c>
    </row>
    <row r="535" spans="1:5" x14ac:dyDescent="0.25">
      <c r="A535" t="s">
        <v>1609</v>
      </c>
      <c r="B535" t="s">
        <v>1610</v>
      </c>
      <c r="C535" t="s">
        <v>565</v>
      </c>
      <c r="E535" t="s">
        <v>1937</v>
      </c>
    </row>
    <row r="536" spans="1:5" x14ac:dyDescent="0.25">
      <c r="A536" t="s">
        <v>1611</v>
      </c>
      <c r="B536" t="s">
        <v>1612</v>
      </c>
      <c r="C536" t="s">
        <v>565</v>
      </c>
      <c r="E536" t="s">
        <v>1611</v>
      </c>
    </row>
    <row r="537" spans="1:5" x14ac:dyDescent="0.25">
      <c r="A537" t="s">
        <v>1613</v>
      </c>
      <c r="B537" t="s">
        <v>1614</v>
      </c>
      <c r="C537" t="s">
        <v>565</v>
      </c>
      <c r="E537" t="s">
        <v>1938</v>
      </c>
    </row>
    <row r="538" spans="1:5" x14ac:dyDescent="0.25">
      <c r="A538" t="s">
        <v>1615</v>
      </c>
      <c r="B538" t="s">
        <v>1616</v>
      </c>
      <c r="C538" t="s">
        <v>565</v>
      </c>
      <c r="E538" t="s">
        <v>1938</v>
      </c>
    </row>
    <row r="539" spans="1:5" x14ac:dyDescent="0.25">
      <c r="A539" t="s">
        <v>1617</v>
      </c>
      <c r="B539" t="s">
        <v>1618</v>
      </c>
      <c r="C539" t="s">
        <v>565</v>
      </c>
      <c r="E539" t="s">
        <v>1617</v>
      </c>
    </row>
    <row r="540" spans="1:5" x14ac:dyDescent="0.25">
      <c r="A540" t="s">
        <v>1619</v>
      </c>
      <c r="B540" t="s">
        <v>1620</v>
      </c>
      <c r="C540" t="s">
        <v>565</v>
      </c>
      <c r="E540" t="s">
        <v>1619</v>
      </c>
    </row>
    <row r="541" spans="1:5" x14ac:dyDescent="0.25">
      <c r="A541" t="s">
        <v>1621</v>
      </c>
      <c r="B541" t="s">
        <v>1622</v>
      </c>
      <c r="C541" t="s">
        <v>565</v>
      </c>
      <c r="E541" t="s">
        <v>1621</v>
      </c>
    </row>
    <row r="542" spans="1:5" x14ac:dyDescent="0.25">
      <c r="A542" t="s">
        <v>1637</v>
      </c>
      <c r="B542" t="s">
        <v>1638</v>
      </c>
      <c r="C542" t="s">
        <v>565</v>
      </c>
      <c r="E542" t="s">
        <v>1637</v>
      </c>
    </row>
  </sheetData>
  <autoFilter ref="A1:E1" xr:uid="{917B53C5-8A78-4E07-8897-1E59E5CC43E4}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208EF-A43F-4C5C-84A2-A524C3570089}">
  <sheetPr codeName="Sheet2"/>
  <dimension ref="A1:G64"/>
  <sheetViews>
    <sheetView workbookViewId="0">
      <pane xSplit="1" ySplit="1" topLeftCell="B29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5" x14ac:dyDescent="0.25"/>
  <cols>
    <col min="1" max="1" width="12.7109375" style="18" bestFit="1" customWidth="1"/>
    <col min="2" max="2" width="12.7109375" style="18" customWidth="1"/>
    <col min="3" max="3" width="28.140625" style="18" bestFit="1" customWidth="1"/>
    <col min="4" max="4" width="12.7109375" style="18" customWidth="1"/>
    <col min="5" max="5" width="181.85546875" style="20" bestFit="1" customWidth="1"/>
    <col min="6" max="6" width="3.7109375" customWidth="1"/>
    <col min="7" max="7" width="47.7109375" customWidth="1"/>
  </cols>
  <sheetData>
    <row r="1" spans="1:7" s="17" customFormat="1" x14ac:dyDescent="0.25">
      <c r="A1" s="14" t="s">
        <v>1646</v>
      </c>
      <c r="B1" s="14" t="s">
        <v>1647</v>
      </c>
      <c r="C1" s="15" t="s">
        <v>1648</v>
      </c>
      <c r="D1" s="14" t="s">
        <v>1649</v>
      </c>
      <c r="E1" s="16" t="s">
        <v>1650</v>
      </c>
      <c r="G1" s="17" t="s">
        <v>1651</v>
      </c>
    </row>
    <row r="2" spans="1:7" x14ac:dyDescent="0.25">
      <c r="A2" s="18" t="s">
        <v>1652</v>
      </c>
      <c r="B2" s="19"/>
      <c r="C2" s="19" t="s">
        <v>1653</v>
      </c>
      <c r="E2" s="20" t="s">
        <v>1654</v>
      </c>
      <c r="G2" s="41" t="s">
        <v>1655</v>
      </c>
    </row>
    <row r="3" spans="1:7" x14ac:dyDescent="0.25">
      <c r="A3" s="18" t="s">
        <v>1656</v>
      </c>
      <c r="B3" s="19" t="s">
        <v>1657</v>
      </c>
      <c r="C3" s="19" t="s">
        <v>1653</v>
      </c>
      <c r="E3" s="20" t="s">
        <v>1658</v>
      </c>
      <c r="G3" s="41"/>
    </row>
    <row r="4" spans="1:7" x14ac:dyDescent="0.25">
      <c r="A4" s="18" t="s">
        <v>1659</v>
      </c>
      <c r="B4" s="19" t="s">
        <v>1660</v>
      </c>
      <c r="C4" s="19" t="s">
        <v>1661</v>
      </c>
      <c r="E4" s="20" t="s">
        <v>1654</v>
      </c>
      <c r="G4" s="41"/>
    </row>
    <row r="5" spans="1:7" x14ac:dyDescent="0.25">
      <c r="A5" s="18" t="s">
        <v>1662</v>
      </c>
      <c r="B5" s="19" t="s">
        <v>1663</v>
      </c>
      <c r="C5" s="19" t="s">
        <v>1653</v>
      </c>
      <c r="E5" s="20" t="s">
        <v>1664</v>
      </c>
      <c r="G5" s="41"/>
    </row>
    <row r="6" spans="1:7" x14ac:dyDescent="0.25">
      <c r="A6" s="18" t="s">
        <v>1665</v>
      </c>
      <c r="B6" s="19" t="s">
        <v>1666</v>
      </c>
      <c r="C6" s="19" t="s">
        <v>1667</v>
      </c>
      <c r="E6" s="20" t="s">
        <v>1654</v>
      </c>
      <c r="G6" s="41"/>
    </row>
    <row r="7" spans="1:7" x14ac:dyDescent="0.25">
      <c r="A7" s="18" t="s">
        <v>1668</v>
      </c>
      <c r="B7" s="19" t="s">
        <v>1669</v>
      </c>
      <c r="C7" s="19" t="s">
        <v>1653</v>
      </c>
      <c r="E7" s="20" t="s">
        <v>1670</v>
      </c>
      <c r="G7" s="41"/>
    </row>
    <row r="8" spans="1:7" x14ac:dyDescent="0.25">
      <c r="A8" s="18" t="s">
        <v>1671</v>
      </c>
      <c r="B8" s="19" t="s">
        <v>1672</v>
      </c>
      <c r="C8" s="19" t="s">
        <v>1653</v>
      </c>
      <c r="E8" s="20" t="s">
        <v>1670</v>
      </c>
      <c r="G8" s="41"/>
    </row>
    <row r="9" spans="1:7" x14ac:dyDescent="0.25">
      <c r="A9" s="18" t="s">
        <v>1673</v>
      </c>
      <c r="B9" s="19" t="s">
        <v>1674</v>
      </c>
      <c r="C9" s="19" t="s">
        <v>1653</v>
      </c>
      <c r="D9" s="18" t="s">
        <v>219</v>
      </c>
      <c r="E9" s="20" t="s">
        <v>1675</v>
      </c>
      <c r="G9" s="41"/>
    </row>
    <row r="10" spans="1:7" x14ac:dyDescent="0.25">
      <c r="A10" s="18" t="s">
        <v>1676</v>
      </c>
      <c r="C10" s="19" t="s">
        <v>1653</v>
      </c>
      <c r="D10" s="18" t="s">
        <v>219</v>
      </c>
      <c r="E10" s="20" t="s">
        <v>1677</v>
      </c>
      <c r="G10" s="41"/>
    </row>
    <row r="11" spans="1:7" x14ac:dyDescent="0.25">
      <c r="A11" s="18" t="s">
        <v>1678</v>
      </c>
      <c r="B11" s="18" t="s">
        <v>1678</v>
      </c>
      <c r="C11" s="19" t="s">
        <v>1653</v>
      </c>
      <c r="E11" s="20" t="s">
        <v>1679</v>
      </c>
      <c r="G11" s="41"/>
    </row>
    <row r="12" spans="1:7" x14ac:dyDescent="0.25">
      <c r="A12" s="18" t="s">
        <v>1680</v>
      </c>
      <c r="B12" s="19" t="s">
        <v>1681</v>
      </c>
      <c r="C12" s="19" t="s">
        <v>1653</v>
      </c>
      <c r="E12" s="20" t="s">
        <v>1654</v>
      </c>
      <c r="G12" s="41"/>
    </row>
    <row r="13" spans="1:7" x14ac:dyDescent="0.25">
      <c r="A13" s="18" t="s">
        <v>1682</v>
      </c>
      <c r="C13" s="19" t="s">
        <v>1653</v>
      </c>
      <c r="E13" s="20" t="s">
        <v>1654</v>
      </c>
      <c r="G13" s="41"/>
    </row>
    <row r="14" spans="1:7" x14ac:dyDescent="0.25">
      <c r="A14" s="18" t="s">
        <v>1683</v>
      </c>
      <c r="C14" s="19" t="s">
        <v>1653</v>
      </c>
      <c r="E14" s="20" t="s">
        <v>1654</v>
      </c>
      <c r="G14" s="41"/>
    </row>
    <row r="15" spans="1:7" x14ac:dyDescent="0.25">
      <c r="A15" s="18" t="s">
        <v>1684</v>
      </c>
      <c r="B15" s="19" t="s">
        <v>1685</v>
      </c>
      <c r="C15" s="19" t="s">
        <v>1653</v>
      </c>
      <c r="D15" s="18" t="s">
        <v>800</v>
      </c>
      <c r="E15" s="20" t="s">
        <v>1654</v>
      </c>
      <c r="G15" s="41"/>
    </row>
    <row r="16" spans="1:7" x14ac:dyDescent="0.25">
      <c r="A16" s="18" t="s">
        <v>1686</v>
      </c>
      <c r="C16" s="19" t="s">
        <v>1653</v>
      </c>
      <c r="D16" s="18" t="s">
        <v>219</v>
      </c>
      <c r="E16" s="20" t="s">
        <v>1687</v>
      </c>
      <c r="G16" s="41"/>
    </row>
    <row r="17" spans="1:7" x14ac:dyDescent="0.25">
      <c r="A17" s="18" t="s">
        <v>1688</v>
      </c>
      <c r="B17" s="19" t="s">
        <v>1689</v>
      </c>
      <c r="C17" s="19" t="s">
        <v>1690</v>
      </c>
      <c r="E17" s="20" t="s">
        <v>1654</v>
      </c>
      <c r="G17" s="41"/>
    </row>
    <row r="18" spans="1:7" x14ac:dyDescent="0.25">
      <c r="A18" s="18" t="s">
        <v>1691</v>
      </c>
      <c r="B18" s="19" t="s">
        <v>1692</v>
      </c>
      <c r="C18" s="19" t="s">
        <v>1653</v>
      </c>
      <c r="E18" s="20" t="s">
        <v>1693</v>
      </c>
      <c r="G18" s="41"/>
    </row>
    <row r="19" spans="1:7" x14ac:dyDescent="0.25">
      <c r="A19" s="18" t="s">
        <v>1694</v>
      </c>
      <c r="B19" s="19" t="s">
        <v>1695</v>
      </c>
      <c r="C19" s="19" t="s">
        <v>1653</v>
      </c>
      <c r="E19" s="20" t="s">
        <v>1679</v>
      </c>
      <c r="G19" s="41"/>
    </row>
    <row r="20" spans="1:7" x14ac:dyDescent="0.25">
      <c r="A20" s="18" t="s">
        <v>1696</v>
      </c>
      <c r="B20" s="19" t="s">
        <v>1697</v>
      </c>
      <c r="C20" s="19" t="s">
        <v>1698</v>
      </c>
      <c r="E20" s="20" t="s">
        <v>1654</v>
      </c>
      <c r="G20" s="41"/>
    </row>
    <row r="21" spans="1:7" x14ac:dyDescent="0.25">
      <c r="A21" s="18" t="s">
        <v>1699</v>
      </c>
      <c r="B21" s="19" t="s">
        <v>1700</v>
      </c>
      <c r="C21" s="19" t="s">
        <v>1653</v>
      </c>
      <c r="E21" s="20" t="s">
        <v>1654</v>
      </c>
      <c r="G21" s="41"/>
    </row>
    <row r="22" spans="1:7" x14ac:dyDescent="0.25">
      <c r="A22" s="18" t="s">
        <v>1701</v>
      </c>
      <c r="B22" s="19" t="s">
        <v>1702</v>
      </c>
      <c r="C22" s="19" t="s">
        <v>1703</v>
      </c>
      <c r="E22" s="20" t="s">
        <v>1654</v>
      </c>
    </row>
    <row r="23" spans="1:7" x14ac:dyDescent="0.25">
      <c r="A23" s="18" t="s">
        <v>1704</v>
      </c>
      <c r="B23" s="19" t="s">
        <v>1705</v>
      </c>
      <c r="C23" s="19" t="s">
        <v>1653</v>
      </c>
      <c r="E23" s="20" t="s">
        <v>1706</v>
      </c>
    </row>
    <row r="24" spans="1:7" x14ac:dyDescent="0.25">
      <c r="A24" s="18" t="s">
        <v>1707</v>
      </c>
      <c r="B24" s="19" t="s">
        <v>1708</v>
      </c>
      <c r="C24" s="19" t="s">
        <v>1653</v>
      </c>
      <c r="E24" s="20" t="s">
        <v>1709</v>
      </c>
    </row>
    <row r="25" spans="1:7" x14ac:dyDescent="0.25">
      <c r="A25" s="18" t="s">
        <v>1710</v>
      </c>
      <c r="B25" s="19" t="s">
        <v>1711</v>
      </c>
      <c r="C25" s="19" t="s">
        <v>1653</v>
      </c>
      <c r="E25" s="20" t="s">
        <v>1712</v>
      </c>
    </row>
    <row r="26" spans="1:7" x14ac:dyDescent="0.25">
      <c r="A26" s="18" t="s">
        <v>1713</v>
      </c>
      <c r="B26" s="19" t="s">
        <v>1714</v>
      </c>
      <c r="C26" s="19" t="s">
        <v>1653</v>
      </c>
      <c r="E26" s="20" t="s">
        <v>1715</v>
      </c>
    </row>
    <row r="27" spans="1:7" x14ac:dyDescent="0.25">
      <c r="A27" s="18" t="s">
        <v>1716</v>
      </c>
      <c r="B27" s="19" t="s">
        <v>1717</v>
      </c>
      <c r="C27" s="19" t="s">
        <v>1653</v>
      </c>
      <c r="E27" s="20" t="s">
        <v>1718</v>
      </c>
    </row>
    <row r="28" spans="1:7" x14ac:dyDescent="0.25">
      <c r="A28" s="18" t="s">
        <v>1719</v>
      </c>
      <c r="B28" s="19" t="s">
        <v>1720</v>
      </c>
      <c r="C28" s="19" t="s">
        <v>1653</v>
      </c>
      <c r="E28" s="20" t="s">
        <v>1721</v>
      </c>
    </row>
    <row r="29" spans="1:7" x14ac:dyDescent="0.25">
      <c r="A29" s="18" t="s">
        <v>1722</v>
      </c>
      <c r="B29" s="19" t="s">
        <v>1723</v>
      </c>
      <c r="C29" s="19" t="s">
        <v>1653</v>
      </c>
      <c r="D29" s="18" t="s">
        <v>800</v>
      </c>
      <c r="E29" s="20" t="s">
        <v>1654</v>
      </c>
    </row>
    <row r="30" spans="1:7" x14ac:dyDescent="0.25">
      <c r="A30" s="18" t="s">
        <v>1724</v>
      </c>
      <c r="B30" s="19"/>
      <c r="C30" s="19" t="s">
        <v>1653</v>
      </c>
      <c r="E30" s="20" t="s">
        <v>1679</v>
      </c>
    </row>
    <row r="31" spans="1:7" x14ac:dyDescent="0.25">
      <c r="A31" s="18" t="s">
        <v>1725</v>
      </c>
      <c r="B31" s="19" t="s">
        <v>1726</v>
      </c>
      <c r="C31" s="19" t="s">
        <v>1653</v>
      </c>
      <c r="E31" s="20" t="s">
        <v>1727</v>
      </c>
    </row>
    <row r="32" spans="1:7" x14ac:dyDescent="0.25">
      <c r="A32" s="18" t="s">
        <v>1728</v>
      </c>
      <c r="B32" s="19" t="s">
        <v>1729</v>
      </c>
      <c r="C32" s="19" t="s">
        <v>1653</v>
      </c>
      <c r="E32" s="20" t="s">
        <v>1730</v>
      </c>
    </row>
    <row r="33" spans="1:5" x14ac:dyDescent="0.25">
      <c r="A33" s="18" t="s">
        <v>1731</v>
      </c>
      <c r="B33" s="19"/>
      <c r="C33" s="19" t="s">
        <v>1653</v>
      </c>
      <c r="E33" s="20" t="s">
        <v>1732</v>
      </c>
    </row>
    <row r="34" spans="1:5" x14ac:dyDescent="0.25">
      <c r="A34" s="18" t="s">
        <v>1733</v>
      </c>
      <c r="B34" s="19" t="s">
        <v>1734</v>
      </c>
      <c r="C34" s="19" t="s">
        <v>1653</v>
      </c>
      <c r="E34" s="20" t="s">
        <v>1654</v>
      </c>
    </row>
    <row r="35" spans="1:5" x14ac:dyDescent="0.25">
      <c r="A35" s="18" t="s">
        <v>1735</v>
      </c>
      <c r="B35" s="19" t="s">
        <v>1736</v>
      </c>
      <c r="C35" s="19" t="s">
        <v>1653</v>
      </c>
      <c r="D35" s="18" t="s">
        <v>1737</v>
      </c>
      <c r="E35" s="20" t="s">
        <v>1738</v>
      </c>
    </row>
    <row r="36" spans="1:5" ht="30" x14ac:dyDescent="0.25">
      <c r="A36" s="18" t="s">
        <v>1739</v>
      </c>
      <c r="B36" s="19" t="s">
        <v>1740</v>
      </c>
      <c r="C36" s="19" t="s">
        <v>1653</v>
      </c>
      <c r="E36" s="20" t="s">
        <v>1741</v>
      </c>
    </row>
    <row r="37" spans="1:5" x14ac:dyDescent="0.25">
      <c r="A37" s="18" t="s">
        <v>1742</v>
      </c>
      <c r="B37" s="19" t="s">
        <v>1743</v>
      </c>
      <c r="C37" s="19" t="s">
        <v>1653</v>
      </c>
      <c r="E37" s="20" t="s">
        <v>1654</v>
      </c>
    </row>
    <row r="38" spans="1:5" x14ac:dyDescent="0.25">
      <c r="A38" s="18" t="s">
        <v>1744</v>
      </c>
      <c r="B38" s="19"/>
      <c r="C38" s="19" t="s">
        <v>1745</v>
      </c>
      <c r="E38" s="20" t="s">
        <v>1746</v>
      </c>
    </row>
    <row r="39" spans="1:5" x14ac:dyDescent="0.25">
      <c r="A39" s="18" t="s">
        <v>1747</v>
      </c>
      <c r="B39" s="19" t="s">
        <v>1748</v>
      </c>
      <c r="C39" s="19" t="s">
        <v>1653</v>
      </c>
      <c r="E39" s="20" t="s">
        <v>1654</v>
      </c>
    </row>
    <row r="40" spans="1:5" x14ac:dyDescent="0.25">
      <c r="A40" s="18" t="s">
        <v>1749</v>
      </c>
      <c r="B40" s="19" t="s">
        <v>1750</v>
      </c>
      <c r="C40" s="19" t="s">
        <v>1653</v>
      </c>
      <c r="E40" s="20" t="s">
        <v>1751</v>
      </c>
    </row>
    <row r="41" spans="1:5" x14ac:dyDescent="0.25">
      <c r="A41" s="18" t="s">
        <v>1752</v>
      </c>
      <c r="B41" s="19"/>
      <c r="C41" s="19" t="s">
        <v>1653</v>
      </c>
      <c r="E41" s="20" t="s">
        <v>1753</v>
      </c>
    </row>
    <row r="42" spans="1:5" x14ac:dyDescent="0.25">
      <c r="A42" s="18" t="s">
        <v>1754</v>
      </c>
      <c r="B42" s="19" t="s">
        <v>1755</v>
      </c>
      <c r="C42" s="19" t="s">
        <v>1653</v>
      </c>
      <c r="E42" s="20" t="s">
        <v>1654</v>
      </c>
    </row>
    <row r="43" spans="1:5" x14ac:dyDescent="0.25">
      <c r="A43" s="18" t="s">
        <v>1756</v>
      </c>
      <c r="B43" s="19" t="s">
        <v>1757</v>
      </c>
      <c r="C43" s="19" t="s">
        <v>1758</v>
      </c>
      <c r="E43" s="20" t="s">
        <v>1654</v>
      </c>
    </row>
    <row r="44" spans="1:5" x14ac:dyDescent="0.25">
      <c r="A44" s="18" t="s">
        <v>1759</v>
      </c>
      <c r="B44" s="19" t="s">
        <v>1760</v>
      </c>
      <c r="C44" s="19"/>
      <c r="E44" s="20" t="s">
        <v>1761</v>
      </c>
    </row>
    <row r="45" spans="1:5" x14ac:dyDescent="0.25">
      <c r="A45" s="18" t="s">
        <v>1762</v>
      </c>
      <c r="C45" s="19" t="s">
        <v>1653</v>
      </c>
      <c r="D45" s="18" t="s">
        <v>1763</v>
      </c>
      <c r="E45" s="20" t="s">
        <v>1764</v>
      </c>
    </row>
    <row r="46" spans="1:5" x14ac:dyDescent="0.25">
      <c r="A46" s="18" t="s">
        <v>1765</v>
      </c>
      <c r="B46" s="19"/>
      <c r="C46" s="19" t="s">
        <v>1653</v>
      </c>
      <c r="D46" s="18" t="s">
        <v>1763</v>
      </c>
      <c r="E46" s="20" t="s">
        <v>1764</v>
      </c>
    </row>
    <row r="47" spans="1:5" x14ac:dyDescent="0.25">
      <c r="A47" s="18" t="s">
        <v>1766</v>
      </c>
      <c r="B47" s="19"/>
      <c r="C47" s="19" t="s">
        <v>1653</v>
      </c>
      <c r="D47" s="18" t="s">
        <v>1763</v>
      </c>
      <c r="E47" s="20" t="s">
        <v>1764</v>
      </c>
    </row>
    <row r="48" spans="1:5" x14ac:dyDescent="0.25">
      <c r="A48" s="18" t="s">
        <v>1767</v>
      </c>
      <c r="B48" s="19"/>
      <c r="C48" s="19"/>
      <c r="D48" s="18" t="s">
        <v>1763</v>
      </c>
      <c r="E48" s="20" t="s">
        <v>1764</v>
      </c>
    </row>
    <row r="49" spans="1:5" x14ac:dyDescent="0.25">
      <c r="A49" s="18" t="s">
        <v>1768</v>
      </c>
      <c r="B49" s="19" t="s">
        <v>1769</v>
      </c>
      <c r="C49" s="19" t="s">
        <v>1653</v>
      </c>
      <c r="E49" s="20" t="s">
        <v>1654</v>
      </c>
    </row>
    <row r="50" spans="1:5" x14ac:dyDescent="0.25">
      <c r="A50" s="18" t="s">
        <v>1770</v>
      </c>
      <c r="B50" s="19" t="s">
        <v>1771</v>
      </c>
      <c r="C50" s="19" t="s">
        <v>1653</v>
      </c>
      <c r="E50" s="20" t="s">
        <v>1654</v>
      </c>
    </row>
    <row r="51" spans="1:5" ht="30" x14ac:dyDescent="0.25">
      <c r="A51" s="18" t="s">
        <v>1772</v>
      </c>
      <c r="B51" s="19" t="s">
        <v>1773</v>
      </c>
      <c r="C51" s="19" t="s">
        <v>1653</v>
      </c>
      <c r="E51" s="20" t="s">
        <v>1774</v>
      </c>
    </row>
    <row r="52" spans="1:5" x14ac:dyDescent="0.25">
      <c r="A52" s="18" t="s">
        <v>1775</v>
      </c>
      <c r="B52" s="19" t="s">
        <v>1773</v>
      </c>
      <c r="C52" s="19" t="s">
        <v>1653</v>
      </c>
      <c r="E52" s="20" t="s">
        <v>1776</v>
      </c>
    </row>
    <row r="53" spans="1:5" ht="30" x14ac:dyDescent="0.25">
      <c r="A53" s="18" t="s">
        <v>1777</v>
      </c>
      <c r="B53" s="19" t="s">
        <v>1778</v>
      </c>
      <c r="C53" s="19" t="s">
        <v>1653</v>
      </c>
      <c r="E53" s="20" t="s">
        <v>1779</v>
      </c>
    </row>
    <row r="54" spans="1:5" ht="30" x14ac:dyDescent="0.25">
      <c r="A54" s="18" t="s">
        <v>1780</v>
      </c>
      <c r="B54" s="19" t="s">
        <v>1781</v>
      </c>
      <c r="C54" s="19"/>
      <c r="E54" s="20" t="s">
        <v>1779</v>
      </c>
    </row>
    <row r="55" spans="1:5" ht="30" x14ac:dyDescent="0.25">
      <c r="A55" s="18" t="s">
        <v>1782</v>
      </c>
      <c r="B55" s="19" t="s">
        <v>1783</v>
      </c>
      <c r="C55" s="19"/>
      <c r="D55" s="18" t="s">
        <v>1737</v>
      </c>
      <c r="E55" s="20" t="s">
        <v>1784</v>
      </c>
    </row>
    <row r="56" spans="1:5" x14ac:dyDescent="0.25">
      <c r="A56" s="18" t="s">
        <v>1785</v>
      </c>
      <c r="B56" s="19" t="s">
        <v>1786</v>
      </c>
      <c r="C56" s="19"/>
      <c r="D56" s="18" t="s">
        <v>800</v>
      </c>
      <c r="E56" s="20" t="s">
        <v>1654</v>
      </c>
    </row>
    <row r="57" spans="1:5" x14ac:dyDescent="0.25">
      <c r="A57" s="18" t="s">
        <v>1787</v>
      </c>
      <c r="B57" s="19" t="s">
        <v>1788</v>
      </c>
      <c r="C57" s="19"/>
      <c r="D57" s="18" t="s">
        <v>800</v>
      </c>
      <c r="E57" s="20" t="s">
        <v>1654</v>
      </c>
    </row>
    <row r="58" spans="1:5" x14ac:dyDescent="0.25">
      <c r="A58" s="18" t="s">
        <v>1789</v>
      </c>
      <c r="B58" s="19" t="s">
        <v>1790</v>
      </c>
      <c r="C58" s="19"/>
      <c r="E58" s="20" t="s">
        <v>1654</v>
      </c>
    </row>
    <row r="59" spans="1:5" x14ac:dyDescent="0.25">
      <c r="A59" s="18" t="s">
        <v>1791</v>
      </c>
      <c r="B59" s="19" t="s">
        <v>1792</v>
      </c>
      <c r="C59" s="19"/>
      <c r="D59" s="18" t="s">
        <v>800</v>
      </c>
      <c r="E59" s="20" t="s">
        <v>1793</v>
      </c>
    </row>
    <row r="60" spans="1:5" x14ac:dyDescent="0.25">
      <c r="A60" s="18" t="s">
        <v>1794</v>
      </c>
      <c r="B60" s="19" t="s">
        <v>1795</v>
      </c>
      <c r="C60" s="19"/>
      <c r="E60" s="20" t="s">
        <v>1796</v>
      </c>
    </row>
    <row r="61" spans="1:5" x14ac:dyDescent="0.25">
      <c r="A61" s="18" t="s">
        <v>1797</v>
      </c>
      <c r="B61" s="19" t="s">
        <v>1798</v>
      </c>
      <c r="C61" s="19"/>
      <c r="E61" s="20" t="s">
        <v>1654</v>
      </c>
    </row>
    <row r="62" spans="1:5" x14ac:dyDescent="0.25">
      <c r="A62" s="18" t="s">
        <v>1799</v>
      </c>
      <c r="B62" s="19" t="s">
        <v>1800</v>
      </c>
      <c r="C62" s="19"/>
      <c r="E62" s="20" t="s">
        <v>1801</v>
      </c>
    </row>
    <row r="63" spans="1:5" x14ac:dyDescent="0.25">
      <c r="A63" s="18" t="s">
        <v>1802</v>
      </c>
      <c r="B63" s="19" t="s">
        <v>1803</v>
      </c>
      <c r="C63" s="19" t="s">
        <v>1804</v>
      </c>
      <c r="E63" s="20" t="s">
        <v>1805</v>
      </c>
    </row>
    <row r="64" spans="1:5" x14ac:dyDescent="0.25">
      <c r="A64" s="18" t="s">
        <v>1806</v>
      </c>
      <c r="B64" s="19" t="s">
        <v>1807</v>
      </c>
      <c r="C64" s="19"/>
      <c r="E64" s="20" t="s">
        <v>1808</v>
      </c>
    </row>
  </sheetData>
  <autoFilter ref="A1:G64" xr:uid="{00000000-0009-0000-0000-000000000000}"/>
  <mergeCells count="1">
    <mergeCell ref="G2:G21"/>
  </mergeCell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BA772-0250-49F6-BD49-9735ACA47B99}">
  <sheetPr codeName="Sheet3"/>
  <dimension ref="A1:S121"/>
  <sheetViews>
    <sheetView tabSelected="1" workbookViewId="0">
      <pane xSplit="1" ySplit="1" topLeftCell="F2" activePane="bottomRight" state="frozen"/>
      <selection pane="topRight" activeCell="B1" sqref="B1"/>
      <selection pane="bottomLeft" activeCell="A2" sqref="A2"/>
      <selection pane="bottomRight" activeCell="F2" sqref="F2"/>
    </sheetView>
  </sheetViews>
  <sheetFormatPr defaultRowHeight="15" x14ac:dyDescent="0.25"/>
  <cols>
    <col min="1" max="1" width="81" customWidth="1"/>
    <col min="2" max="2" width="14" bestFit="1" customWidth="1"/>
    <col min="3" max="3" width="68.28515625" bestFit="1" customWidth="1"/>
    <col min="4" max="4" width="11.140625" bestFit="1" customWidth="1"/>
    <col min="5" max="5" width="76" bestFit="1" customWidth="1"/>
    <col min="6" max="6" width="15.7109375" bestFit="1" customWidth="1"/>
    <col min="7" max="7" width="16.7109375" bestFit="1" customWidth="1"/>
    <col min="8" max="8" width="29.7109375" bestFit="1" customWidth="1"/>
    <col min="9" max="9" width="18.28515625" bestFit="1" customWidth="1"/>
    <col min="10" max="10" width="8.28515625" bestFit="1" customWidth="1"/>
    <col min="11" max="11" width="7.28515625" bestFit="1" customWidth="1"/>
    <col min="12" max="12" width="18" bestFit="1" customWidth="1"/>
    <col min="13" max="13" width="10.42578125" bestFit="1" customWidth="1"/>
    <col min="14" max="14" width="68.42578125" bestFit="1" customWidth="1"/>
    <col min="16" max="16" width="61.7109375" bestFit="1" customWidth="1"/>
    <col min="17" max="17" width="16" bestFit="1" customWidth="1"/>
    <col min="18" max="18" width="10.5703125" bestFit="1" customWidth="1"/>
    <col min="19" max="19" width="16.5703125" bestFit="1" customWidth="1"/>
  </cols>
  <sheetData>
    <row r="1" spans="1:19" s="2" customFormat="1" x14ac:dyDescent="0.25">
      <c r="A1" s="2" t="s">
        <v>551</v>
      </c>
      <c r="B1" s="2" t="s">
        <v>552</v>
      </c>
      <c r="C1" s="2" t="s">
        <v>553</v>
      </c>
      <c r="D1" s="2" t="s">
        <v>554</v>
      </c>
      <c r="E1" s="2" t="s">
        <v>555</v>
      </c>
      <c r="F1" s="2" t="s">
        <v>9449</v>
      </c>
      <c r="G1" s="2" t="s">
        <v>556</v>
      </c>
      <c r="H1" s="2" t="s">
        <v>557</v>
      </c>
      <c r="I1" s="2" t="s">
        <v>558</v>
      </c>
      <c r="J1" s="2" t="s">
        <v>559</v>
      </c>
      <c r="K1" s="2" t="s">
        <v>560</v>
      </c>
      <c r="L1" s="2" t="s">
        <v>561</v>
      </c>
      <c r="M1" s="2" t="s">
        <v>562</v>
      </c>
      <c r="N1" s="2" t="s">
        <v>9442</v>
      </c>
      <c r="P1" s="29" t="s">
        <v>1955</v>
      </c>
      <c r="Q1" s="29" t="s">
        <v>1816</v>
      </c>
      <c r="R1" s="29" t="s">
        <v>1651</v>
      </c>
      <c r="S1" s="29" t="s">
        <v>1957</v>
      </c>
    </row>
    <row r="2" spans="1:19" x14ac:dyDescent="0.25">
      <c r="A2" t="s">
        <v>44</v>
      </c>
      <c r="B2" t="b">
        <v>0</v>
      </c>
      <c r="C2" t="s">
        <v>45</v>
      </c>
      <c r="D2" t="b">
        <v>0</v>
      </c>
      <c r="E2" s="32" t="s">
        <v>46</v>
      </c>
      <c r="F2" s="39" t="s">
        <v>9450</v>
      </c>
      <c r="G2" t="s">
        <v>47</v>
      </c>
      <c r="H2" t="s">
        <v>48</v>
      </c>
      <c r="I2" t="s">
        <v>49</v>
      </c>
      <c r="J2" t="b">
        <v>1</v>
      </c>
      <c r="K2" t="s">
        <v>6</v>
      </c>
      <c r="L2" t="s">
        <v>50</v>
      </c>
      <c r="M2">
        <v>1</v>
      </c>
      <c r="N2" t="s">
        <v>9443</v>
      </c>
      <c r="P2" s="32" t="str">
        <f t="shared" ref="P2:P33" si="0">"https://app.thedigitalbiblelibrary.org/entry?id=" &amp; L2</f>
        <v>https://app.thedigitalbiblelibrary.org/entry?id=0c2ff0a5c8b9069c</v>
      </c>
      <c r="Q2" t="str">
        <f>IF(ISERROR(VLOOKUP(G2, STEP!E:E, 1, FALSE)), "N", "")</f>
        <v>N</v>
      </c>
      <c r="R2" s="33"/>
      <c r="S2" s="34">
        <v>44260</v>
      </c>
    </row>
    <row r="3" spans="1:19" x14ac:dyDescent="0.25">
      <c r="A3" t="s">
        <v>402</v>
      </c>
      <c r="B3" t="b">
        <v>0</v>
      </c>
      <c r="C3" t="s">
        <v>24</v>
      </c>
      <c r="D3" t="b">
        <v>0</v>
      </c>
      <c r="E3" s="32" t="s">
        <v>406</v>
      </c>
      <c r="F3" s="39" t="s">
        <v>9451</v>
      </c>
      <c r="G3" t="s">
        <v>403</v>
      </c>
      <c r="H3" t="s">
        <v>11</v>
      </c>
      <c r="I3" t="s">
        <v>404</v>
      </c>
      <c r="J3" t="b">
        <v>0</v>
      </c>
      <c r="K3" t="s">
        <v>6</v>
      </c>
      <c r="L3" t="s">
        <v>405</v>
      </c>
      <c r="M3">
        <v>2</v>
      </c>
      <c r="N3" t="s">
        <v>9444</v>
      </c>
      <c r="P3" s="32" t="str">
        <f t="shared" si="0"/>
        <v>https://app.thedigitalbiblelibrary.org/entry?id=b7ad344da9c39262</v>
      </c>
      <c r="Q3" t="str">
        <f>IF(ISERROR(VLOOKUP(G3, STEP!E:E, 1, FALSE)), "N", "")</f>
        <v>N</v>
      </c>
      <c r="R3" s="33"/>
      <c r="S3" s="34">
        <v>44260</v>
      </c>
    </row>
    <row r="4" spans="1:19" x14ac:dyDescent="0.25">
      <c r="A4" t="s">
        <v>456</v>
      </c>
      <c r="B4" t="b">
        <v>0</v>
      </c>
      <c r="C4" t="s">
        <v>17</v>
      </c>
      <c r="D4" t="b">
        <v>0</v>
      </c>
      <c r="E4" s="32" t="s">
        <v>460</v>
      </c>
      <c r="F4" s="39" t="s">
        <v>1653</v>
      </c>
      <c r="G4" t="s">
        <v>457</v>
      </c>
      <c r="H4" t="s">
        <v>20</v>
      </c>
      <c r="I4" t="s">
        <v>458</v>
      </c>
      <c r="J4" t="b">
        <v>0</v>
      </c>
      <c r="K4" t="s">
        <v>6</v>
      </c>
      <c r="L4" t="s">
        <v>459</v>
      </c>
      <c r="M4">
        <v>2</v>
      </c>
      <c r="N4" t="s">
        <v>9445</v>
      </c>
      <c r="P4" s="32" t="str">
        <f t="shared" si="0"/>
        <v>https://app.thedigitalbiblelibrary.org/entry?id=d199679f805f5b29</v>
      </c>
      <c r="Q4" t="str">
        <f>IF(ISERROR(VLOOKUP(G4, STEP!E:E, 1, FALSE)), "N", "")</f>
        <v/>
      </c>
      <c r="R4" s="33"/>
    </row>
    <row r="5" spans="1:19" x14ac:dyDescent="0.25">
      <c r="A5" t="s">
        <v>67</v>
      </c>
      <c r="B5" t="b">
        <v>0</v>
      </c>
      <c r="C5" t="s">
        <v>68</v>
      </c>
      <c r="D5" t="b">
        <v>0</v>
      </c>
      <c r="E5" s="32" t="s">
        <v>73</v>
      </c>
      <c r="F5" s="39" t="s">
        <v>9452</v>
      </c>
      <c r="G5" t="s">
        <v>69</v>
      </c>
      <c r="H5" t="s">
        <v>70</v>
      </c>
      <c r="I5" t="s">
        <v>71</v>
      </c>
      <c r="J5" t="b">
        <v>0</v>
      </c>
      <c r="K5" t="s">
        <v>6</v>
      </c>
      <c r="L5" t="s">
        <v>72</v>
      </c>
      <c r="M5">
        <v>7</v>
      </c>
      <c r="N5" t="s">
        <v>9446</v>
      </c>
      <c r="P5" s="32" t="str">
        <f t="shared" si="0"/>
        <v>https://app.thedigitalbiblelibrary.org/entry?id=17c44f6c89de00db</v>
      </c>
      <c r="Q5" t="str">
        <f>IF(ISERROR(VLOOKUP(G5, STEP!E:E, 1, FALSE)), "N", "")</f>
        <v>N</v>
      </c>
      <c r="R5" s="33"/>
      <c r="S5" s="34">
        <v>44260</v>
      </c>
    </row>
    <row r="6" spans="1:19" x14ac:dyDescent="0.25">
      <c r="A6" t="s">
        <v>399</v>
      </c>
      <c r="B6" t="b">
        <v>0</v>
      </c>
      <c r="C6" t="s">
        <v>68</v>
      </c>
      <c r="D6" t="b">
        <v>0</v>
      </c>
      <c r="E6" s="32" t="s">
        <v>401</v>
      </c>
      <c r="F6" s="39" t="s">
        <v>9453</v>
      </c>
      <c r="G6" t="s">
        <v>69</v>
      </c>
      <c r="H6" t="s">
        <v>70</v>
      </c>
      <c r="I6" t="s">
        <v>71</v>
      </c>
      <c r="J6" t="b">
        <v>0</v>
      </c>
      <c r="K6" t="s">
        <v>6</v>
      </c>
      <c r="L6" t="s">
        <v>400</v>
      </c>
      <c r="M6">
        <v>7</v>
      </c>
      <c r="N6" t="s">
        <v>9446</v>
      </c>
      <c r="P6" s="32" t="str">
        <f t="shared" si="0"/>
        <v>https://app.thedigitalbiblelibrary.org/entry?id=b52bc8b7af3bdc6f</v>
      </c>
      <c r="Q6" t="str">
        <f>IF(ISERROR(VLOOKUP(G6, STEP!E:E, 1, FALSE)), "N", "")</f>
        <v>N</v>
      </c>
      <c r="R6" s="33"/>
      <c r="S6" s="34">
        <v>44260</v>
      </c>
    </row>
    <row r="7" spans="1:19" x14ac:dyDescent="0.25">
      <c r="A7" t="s">
        <v>202</v>
      </c>
      <c r="B7" t="b">
        <v>0</v>
      </c>
      <c r="C7" t="s">
        <v>17</v>
      </c>
      <c r="D7" t="b">
        <v>0</v>
      </c>
      <c r="E7" s="32" t="s">
        <v>203</v>
      </c>
      <c r="F7" s="39" t="s">
        <v>1653</v>
      </c>
      <c r="G7" t="s">
        <v>204</v>
      </c>
      <c r="H7" t="s">
        <v>20</v>
      </c>
      <c r="I7" t="s">
        <v>205</v>
      </c>
      <c r="J7" t="b">
        <v>1</v>
      </c>
      <c r="K7" t="s">
        <v>6</v>
      </c>
      <c r="L7" t="s">
        <v>206</v>
      </c>
      <c r="M7">
        <v>2</v>
      </c>
      <c r="N7" t="s">
        <v>9445</v>
      </c>
      <c r="P7" s="32" t="str">
        <f t="shared" si="0"/>
        <v>https://app.thedigitalbiblelibrary.org/entry?id=4c3eda00cd317568</v>
      </c>
      <c r="Q7" t="str">
        <f>IF(ISERROR(VLOOKUP(G7, STEP!E:E, 1, FALSE)), "N", "")</f>
        <v/>
      </c>
      <c r="R7" s="33"/>
    </row>
    <row r="8" spans="1:19" x14ac:dyDescent="0.25">
      <c r="A8" t="s">
        <v>229</v>
      </c>
      <c r="B8" t="b">
        <v>0</v>
      </c>
      <c r="C8" t="s">
        <v>24</v>
      </c>
      <c r="D8" t="b">
        <v>0</v>
      </c>
      <c r="E8" s="32" t="s">
        <v>230</v>
      </c>
      <c r="F8" s="39" t="s">
        <v>9454</v>
      </c>
      <c r="G8" t="s">
        <v>231</v>
      </c>
      <c r="H8" t="s">
        <v>48</v>
      </c>
      <c r="I8" t="s">
        <v>232</v>
      </c>
      <c r="J8" t="b">
        <v>1</v>
      </c>
      <c r="K8" t="s">
        <v>6</v>
      </c>
      <c r="L8" t="s">
        <v>233</v>
      </c>
      <c r="M8">
        <v>1</v>
      </c>
      <c r="N8" t="s">
        <v>9445</v>
      </c>
      <c r="P8" s="32" t="str">
        <f t="shared" si="0"/>
        <v>https://app.thedigitalbiblelibrary.org/entry?id=55bab459b716348c</v>
      </c>
      <c r="Q8" t="str">
        <f>IF(ISERROR(VLOOKUP(G8, STEP!E:E, 1, FALSE)), "N", "")</f>
        <v>N</v>
      </c>
      <c r="R8" s="33"/>
      <c r="S8" s="34">
        <v>44260</v>
      </c>
    </row>
    <row r="9" spans="1:19" x14ac:dyDescent="0.25">
      <c r="A9" t="s">
        <v>265</v>
      </c>
      <c r="B9" t="b">
        <v>0</v>
      </c>
      <c r="C9" t="s">
        <v>24</v>
      </c>
      <c r="D9" t="b">
        <v>0</v>
      </c>
      <c r="E9" s="32" t="s">
        <v>266</v>
      </c>
      <c r="F9" s="39" t="s">
        <v>9455</v>
      </c>
      <c r="G9" t="s">
        <v>267</v>
      </c>
      <c r="H9" t="s">
        <v>268</v>
      </c>
      <c r="I9" t="s">
        <v>269</v>
      </c>
      <c r="J9" t="b">
        <v>1</v>
      </c>
      <c r="K9" t="s">
        <v>6</v>
      </c>
      <c r="L9" t="s">
        <v>270</v>
      </c>
      <c r="M9">
        <v>1</v>
      </c>
      <c r="N9" t="s">
        <v>9444</v>
      </c>
      <c r="P9" s="32" t="str">
        <f t="shared" si="0"/>
        <v>https://app.thedigitalbiblelibrary.org/entry?id=6855dabfcb711cc2</v>
      </c>
      <c r="Q9" t="str">
        <f>IF(ISERROR(VLOOKUP(G9, STEP!E:E, 1, FALSE)), "N", "")</f>
        <v>N</v>
      </c>
      <c r="R9" s="33"/>
      <c r="S9" s="34">
        <v>44260</v>
      </c>
    </row>
    <row r="10" spans="1:19" x14ac:dyDescent="0.25">
      <c r="A10" t="s">
        <v>297</v>
      </c>
      <c r="B10" t="b">
        <v>0</v>
      </c>
      <c r="C10" t="s">
        <v>45</v>
      </c>
      <c r="D10" t="b">
        <v>0</v>
      </c>
      <c r="E10" s="32" t="s">
        <v>298</v>
      </c>
      <c r="F10" s="39" t="s">
        <v>9456</v>
      </c>
      <c r="G10" t="s">
        <v>299</v>
      </c>
      <c r="H10" t="s">
        <v>102</v>
      </c>
      <c r="I10" t="s">
        <v>300</v>
      </c>
      <c r="J10" t="b">
        <v>1</v>
      </c>
      <c r="K10" t="s">
        <v>6</v>
      </c>
      <c r="L10" t="s">
        <v>301</v>
      </c>
      <c r="M10">
        <v>4</v>
      </c>
      <c r="N10" t="s">
        <v>9443</v>
      </c>
      <c r="P10" s="32" t="str">
        <f t="shared" si="0"/>
        <v>https://app.thedigitalbiblelibrary.org/entry?id=71d2075d284c4eae</v>
      </c>
      <c r="Q10" t="str">
        <f>IF(ISERROR(VLOOKUP(G10, STEP!E:E, 1, FALSE)), "N", "")</f>
        <v>N</v>
      </c>
      <c r="R10" s="33"/>
      <c r="S10" s="34">
        <v>44260</v>
      </c>
    </row>
    <row r="11" spans="1:19" x14ac:dyDescent="0.25">
      <c r="A11" t="s">
        <v>440</v>
      </c>
      <c r="B11" t="b">
        <v>0</v>
      </c>
      <c r="C11" t="s">
        <v>24</v>
      </c>
      <c r="D11" t="b">
        <v>0</v>
      </c>
      <c r="E11" s="32" t="s">
        <v>441</v>
      </c>
      <c r="F11" s="39" t="s">
        <v>1653</v>
      </c>
      <c r="G11" t="s">
        <v>442</v>
      </c>
      <c r="H11" t="s">
        <v>443</v>
      </c>
      <c r="I11" t="s">
        <v>444</v>
      </c>
      <c r="J11" t="b">
        <v>1</v>
      </c>
      <c r="K11" t="s">
        <v>6</v>
      </c>
      <c r="L11" t="s">
        <v>445</v>
      </c>
      <c r="M11">
        <v>2</v>
      </c>
      <c r="N11" t="s">
        <v>9444</v>
      </c>
      <c r="P11" s="32" t="str">
        <f t="shared" si="0"/>
        <v>https://app.thedigitalbiblelibrary.org/entry?id=c61908161b077c4c</v>
      </c>
      <c r="Q11" t="str">
        <f>IF(ISERROR(VLOOKUP(G11, STEP!E:E, 1, FALSE)), "N", "")</f>
        <v/>
      </c>
      <c r="R11" s="33"/>
    </row>
    <row r="12" spans="1:19" x14ac:dyDescent="0.25">
      <c r="A12" t="s">
        <v>469</v>
      </c>
      <c r="B12" t="b">
        <v>0</v>
      </c>
      <c r="C12" t="s">
        <v>137</v>
      </c>
      <c r="D12" t="b">
        <v>0</v>
      </c>
      <c r="E12" s="32" t="s">
        <v>473</v>
      </c>
      <c r="F12" s="39" t="s">
        <v>9457</v>
      </c>
      <c r="G12" t="s">
        <v>470</v>
      </c>
      <c r="H12" t="s">
        <v>139</v>
      </c>
      <c r="I12" t="s">
        <v>471</v>
      </c>
      <c r="J12" t="b">
        <v>0</v>
      </c>
      <c r="K12" t="s">
        <v>6</v>
      </c>
      <c r="L12" t="s">
        <v>472</v>
      </c>
      <c r="M12">
        <v>4</v>
      </c>
      <c r="N12" t="s">
        <v>9443</v>
      </c>
      <c r="P12" s="32" t="str">
        <f t="shared" si="0"/>
        <v>https://app.thedigitalbiblelibrary.org/entry?id=dca01eb41e39d25d</v>
      </c>
      <c r="Q12" t="str">
        <f>IF(ISERROR(VLOOKUP(G12, STEP!E:E, 1, FALSE)), "N", "")</f>
        <v>N</v>
      </c>
      <c r="R12" s="33"/>
      <c r="S12" s="34">
        <v>44260</v>
      </c>
    </row>
    <row r="13" spans="1:19" x14ac:dyDescent="0.25">
      <c r="A13" t="s">
        <v>215</v>
      </c>
      <c r="B13" t="b">
        <v>0</v>
      </c>
      <c r="C13" t="s">
        <v>24</v>
      </c>
      <c r="D13" t="b">
        <v>0</v>
      </c>
      <c r="E13" s="32" t="s">
        <v>216</v>
      </c>
      <c r="F13" s="39" t="s">
        <v>9458</v>
      </c>
      <c r="G13" t="s">
        <v>217</v>
      </c>
      <c r="H13" t="s">
        <v>218</v>
      </c>
      <c r="I13" t="s">
        <v>219</v>
      </c>
      <c r="J13" t="b">
        <v>1</v>
      </c>
      <c r="K13" t="s">
        <v>6</v>
      </c>
      <c r="L13" t="s">
        <v>220</v>
      </c>
      <c r="M13">
        <v>1</v>
      </c>
      <c r="N13" t="s">
        <v>9444</v>
      </c>
      <c r="P13" s="32" t="str">
        <f t="shared" si="0"/>
        <v>https://app.thedigitalbiblelibrary.org/entry?id=542b32484b6e38c2</v>
      </c>
      <c r="Q13" t="str">
        <f>IF(ISERROR(VLOOKUP(G13, STEP!E:E, 1, FALSE)), "N", "")</f>
        <v>N</v>
      </c>
      <c r="R13" s="33"/>
      <c r="S13" s="34">
        <v>44260</v>
      </c>
    </row>
    <row r="14" spans="1:19" x14ac:dyDescent="0.25">
      <c r="A14" t="s">
        <v>339</v>
      </c>
      <c r="B14" t="b">
        <v>0</v>
      </c>
      <c r="C14" t="s">
        <v>24</v>
      </c>
      <c r="D14" t="b">
        <v>0</v>
      </c>
      <c r="E14" s="32" t="s">
        <v>340</v>
      </c>
      <c r="F14" s="39" t="s">
        <v>9459</v>
      </c>
      <c r="G14" t="s">
        <v>217</v>
      </c>
      <c r="H14" t="s">
        <v>218</v>
      </c>
      <c r="I14" t="s">
        <v>341</v>
      </c>
      <c r="J14" t="b">
        <v>1</v>
      </c>
      <c r="K14" t="s">
        <v>6</v>
      </c>
      <c r="L14" t="s">
        <v>342</v>
      </c>
      <c r="M14">
        <v>2</v>
      </c>
      <c r="N14" t="s">
        <v>9444</v>
      </c>
      <c r="P14" s="32" t="str">
        <f t="shared" si="0"/>
        <v>https://app.thedigitalbiblelibrary.org/entry?id=95410db44ef800c1</v>
      </c>
      <c r="Q14" t="str">
        <f>IF(ISERROR(VLOOKUP(G14, STEP!E:E, 1, FALSE)), "N", "")</f>
        <v>N</v>
      </c>
      <c r="R14" s="33"/>
      <c r="S14" s="34">
        <v>44260</v>
      </c>
    </row>
    <row r="15" spans="1:19" x14ac:dyDescent="0.25">
      <c r="A15" t="s">
        <v>497</v>
      </c>
      <c r="B15" t="b">
        <v>0</v>
      </c>
      <c r="C15" t="s">
        <v>168</v>
      </c>
      <c r="D15" t="b">
        <v>0</v>
      </c>
      <c r="E15" s="32" t="s">
        <v>501</v>
      </c>
      <c r="F15" s="39" t="s">
        <v>9460</v>
      </c>
      <c r="G15" t="s">
        <v>498</v>
      </c>
      <c r="H15" t="s">
        <v>171</v>
      </c>
      <c r="I15" t="s">
        <v>499</v>
      </c>
      <c r="J15" t="b">
        <v>0</v>
      </c>
      <c r="K15" t="s">
        <v>6</v>
      </c>
      <c r="L15" t="s">
        <v>500</v>
      </c>
      <c r="M15">
        <v>4</v>
      </c>
      <c r="N15" t="s">
        <v>9447</v>
      </c>
      <c r="P15" s="32" t="str">
        <f t="shared" si="0"/>
        <v>https://app.thedigitalbiblelibrary.org/entry?id=e578524a0893c6b7</v>
      </c>
      <c r="Q15" t="str">
        <f>IF(ISERROR(VLOOKUP(G15, STEP!E:E, 1, FALSE)), "N", "")</f>
        <v>N</v>
      </c>
      <c r="R15" s="33"/>
      <c r="S15" s="34">
        <v>44260</v>
      </c>
    </row>
    <row r="16" spans="1:19" x14ac:dyDescent="0.25">
      <c r="A16" t="s">
        <v>51</v>
      </c>
      <c r="B16" t="b">
        <v>0</v>
      </c>
      <c r="C16" t="s">
        <v>52</v>
      </c>
      <c r="D16" t="b">
        <v>0</v>
      </c>
      <c r="E16" s="32" t="s">
        <v>57</v>
      </c>
      <c r="F16" s="39" t="s">
        <v>1653</v>
      </c>
      <c r="G16" t="s">
        <v>53</v>
      </c>
      <c r="H16" t="s">
        <v>54</v>
      </c>
      <c r="I16" t="s">
        <v>12</v>
      </c>
      <c r="J16" t="b">
        <v>0</v>
      </c>
      <c r="K16" t="s">
        <v>55</v>
      </c>
      <c r="L16" t="s">
        <v>56</v>
      </c>
      <c r="M16">
        <v>2</v>
      </c>
      <c r="N16" t="s">
        <v>9448</v>
      </c>
      <c r="P16" s="32" t="str">
        <f t="shared" si="0"/>
        <v>https://app.thedigitalbiblelibrary.org/entry?id=105a06b6146d11e7</v>
      </c>
      <c r="Q16" t="str">
        <f>IF(ISERROR(VLOOKUP(G16, STEP!E:E, 1, FALSE)), "N", "")</f>
        <v>N</v>
      </c>
      <c r="R16" s="33" t="s">
        <v>1956</v>
      </c>
      <c r="S16" s="34">
        <v>44260</v>
      </c>
    </row>
    <row r="17" spans="1:18" x14ac:dyDescent="0.25">
      <c r="A17" t="s">
        <v>271</v>
      </c>
      <c r="B17" t="b">
        <v>0</v>
      </c>
      <c r="C17" t="s">
        <v>24</v>
      </c>
      <c r="D17" t="b">
        <v>0</v>
      </c>
      <c r="E17" s="32" t="s">
        <v>272</v>
      </c>
      <c r="F17" s="39" t="s">
        <v>1653</v>
      </c>
      <c r="G17" t="s">
        <v>10</v>
      </c>
      <c r="H17" t="s">
        <v>14</v>
      </c>
      <c r="I17" t="s">
        <v>12</v>
      </c>
      <c r="J17" t="b">
        <v>1</v>
      </c>
      <c r="K17" t="s">
        <v>6</v>
      </c>
      <c r="L17" t="s">
        <v>273</v>
      </c>
      <c r="M17">
        <v>1</v>
      </c>
      <c r="N17" t="s">
        <v>9444</v>
      </c>
      <c r="P17" s="32" t="str">
        <f t="shared" si="0"/>
        <v>https://app.thedigitalbiblelibrary.org/entry?id=685d1470fe4d5c3b</v>
      </c>
      <c r="Q17" t="str">
        <f>IF(ISERROR(VLOOKUP(G17, STEP!E:E, 1, FALSE)), "N", "")</f>
        <v/>
      </c>
      <c r="R17" s="33"/>
    </row>
    <row r="18" spans="1:18" x14ac:dyDescent="0.25">
      <c r="A18" t="s">
        <v>29</v>
      </c>
      <c r="B18" t="b">
        <v>0</v>
      </c>
      <c r="C18" t="s">
        <v>24</v>
      </c>
      <c r="D18" t="b">
        <v>0</v>
      </c>
      <c r="E18" s="32" t="s">
        <v>31</v>
      </c>
      <c r="F18" s="39" t="s">
        <v>1653</v>
      </c>
      <c r="G18" t="s">
        <v>10</v>
      </c>
      <c r="H18" t="s">
        <v>11</v>
      </c>
      <c r="I18" t="s">
        <v>12</v>
      </c>
      <c r="J18" t="b">
        <v>0</v>
      </c>
      <c r="K18" t="s">
        <v>6</v>
      </c>
      <c r="L18" t="s">
        <v>30</v>
      </c>
      <c r="M18">
        <v>12</v>
      </c>
      <c r="N18" t="s">
        <v>9444</v>
      </c>
      <c r="P18" s="32" t="str">
        <f t="shared" si="0"/>
        <v>https://app.thedigitalbiblelibrary.org/entry?id=06125adad2d5898a</v>
      </c>
      <c r="Q18" t="str">
        <f>IF(ISERROR(VLOOKUP(G18, STEP!E:E, 1, FALSE)), "N", "")</f>
        <v/>
      </c>
      <c r="R18" s="33"/>
    </row>
    <row r="19" spans="1:18" x14ac:dyDescent="0.25">
      <c r="A19" t="s">
        <v>256</v>
      </c>
      <c r="B19" t="b">
        <v>0</v>
      </c>
      <c r="C19" t="s">
        <v>24</v>
      </c>
      <c r="D19" t="b">
        <v>0</v>
      </c>
      <c r="E19" s="32" t="s">
        <v>257</v>
      </c>
      <c r="F19" s="39" t="s">
        <v>1653</v>
      </c>
      <c r="G19" t="s">
        <v>10</v>
      </c>
      <c r="H19" t="s">
        <v>27</v>
      </c>
      <c r="I19" t="s">
        <v>12</v>
      </c>
      <c r="J19" t="b">
        <v>1</v>
      </c>
      <c r="K19" t="s">
        <v>6</v>
      </c>
      <c r="L19" t="s">
        <v>258</v>
      </c>
      <c r="M19">
        <v>1</v>
      </c>
      <c r="N19" t="s">
        <v>9444</v>
      </c>
      <c r="P19" s="32" t="str">
        <f t="shared" si="0"/>
        <v>https://app.thedigitalbiblelibrary.org/entry?id=65bfdebd704a8324</v>
      </c>
      <c r="Q19" t="str">
        <f>IF(ISERROR(VLOOKUP(G19, STEP!E:E, 1, FALSE)), "N", "")</f>
        <v/>
      </c>
      <c r="R19" s="33"/>
    </row>
    <row r="20" spans="1:18" x14ac:dyDescent="0.25">
      <c r="A20" t="s">
        <v>279</v>
      </c>
      <c r="B20" t="b">
        <v>0</v>
      </c>
      <c r="C20" t="s">
        <v>24</v>
      </c>
      <c r="D20" t="b">
        <v>0</v>
      </c>
      <c r="E20" s="32" t="s">
        <v>281</v>
      </c>
      <c r="F20" s="39" t="s">
        <v>1653</v>
      </c>
      <c r="G20" t="s">
        <v>10</v>
      </c>
      <c r="H20" t="s">
        <v>121</v>
      </c>
      <c r="I20" t="s">
        <v>12</v>
      </c>
      <c r="J20" t="b">
        <v>0</v>
      </c>
      <c r="K20" t="s">
        <v>6</v>
      </c>
      <c r="L20" t="s">
        <v>280</v>
      </c>
      <c r="M20">
        <v>3</v>
      </c>
      <c r="N20" t="s">
        <v>9444</v>
      </c>
      <c r="P20" s="32" t="str">
        <f t="shared" si="0"/>
        <v>https://app.thedigitalbiblelibrary.org/entry?id=6bab4d6c61b31b80</v>
      </c>
      <c r="Q20" t="str">
        <f>IF(ISERROR(VLOOKUP(G20, STEP!E:E, 1, FALSE)), "N", "")</f>
        <v/>
      </c>
      <c r="R20" s="33"/>
    </row>
    <row r="21" spans="1:18" x14ac:dyDescent="0.25">
      <c r="A21" t="s">
        <v>64</v>
      </c>
      <c r="B21" t="b">
        <v>0</v>
      </c>
      <c r="C21" t="s">
        <v>24</v>
      </c>
      <c r="D21" t="b">
        <v>0</v>
      </c>
      <c r="E21" s="32" t="s">
        <v>65</v>
      </c>
      <c r="F21" s="39" t="s">
        <v>1653</v>
      </c>
      <c r="G21" t="s">
        <v>10</v>
      </c>
      <c r="H21" t="s">
        <v>11</v>
      </c>
      <c r="I21" t="s">
        <v>12</v>
      </c>
      <c r="J21" t="b">
        <v>1</v>
      </c>
      <c r="K21" t="s">
        <v>6</v>
      </c>
      <c r="L21" t="s">
        <v>66</v>
      </c>
      <c r="M21">
        <v>2</v>
      </c>
      <c r="N21" t="s">
        <v>9444</v>
      </c>
      <c r="P21" s="32" t="str">
        <f t="shared" si="0"/>
        <v>https://app.thedigitalbiblelibrary.org/entry?id=179568874c45066f</v>
      </c>
      <c r="Q21" t="str">
        <f>IF(ISERROR(VLOOKUP(G21, STEP!E:E, 1, FALSE)), "N", "")</f>
        <v/>
      </c>
      <c r="R21" s="33"/>
    </row>
    <row r="22" spans="1:18" x14ac:dyDescent="0.25">
      <c r="A22" t="s">
        <v>234</v>
      </c>
      <c r="B22" t="b">
        <v>0</v>
      </c>
      <c r="C22" t="s">
        <v>24</v>
      </c>
      <c r="D22" t="b">
        <v>0</v>
      </c>
      <c r="E22" s="32" t="s">
        <v>235</v>
      </c>
      <c r="F22" s="39" t="s">
        <v>1653</v>
      </c>
      <c r="G22" t="s">
        <v>10</v>
      </c>
      <c r="H22" t="s">
        <v>11</v>
      </c>
      <c r="I22" t="s">
        <v>12</v>
      </c>
      <c r="J22" t="b">
        <v>1</v>
      </c>
      <c r="K22" t="s">
        <v>6</v>
      </c>
      <c r="L22" t="s">
        <v>236</v>
      </c>
      <c r="M22">
        <v>1</v>
      </c>
      <c r="N22" t="s">
        <v>9443</v>
      </c>
      <c r="P22" s="32" t="str">
        <f t="shared" si="0"/>
        <v>https://app.thedigitalbiblelibrary.org/entry?id=55ec700d9e0d77ea</v>
      </c>
      <c r="Q22" t="str">
        <f>IF(ISERROR(VLOOKUP(G22, STEP!E:E, 1, FALSE)), "N", "")</f>
        <v/>
      </c>
      <c r="R22" s="33"/>
    </row>
    <row r="23" spans="1:18" x14ac:dyDescent="0.25">
      <c r="A23" t="s">
        <v>259</v>
      </c>
      <c r="B23" t="b">
        <v>0</v>
      </c>
      <c r="C23" t="s">
        <v>196</v>
      </c>
      <c r="D23" t="b">
        <v>0</v>
      </c>
      <c r="E23" s="32" t="s">
        <v>261</v>
      </c>
      <c r="F23" s="39" t="s">
        <v>1653</v>
      </c>
      <c r="G23" t="s">
        <v>10</v>
      </c>
      <c r="H23" t="s">
        <v>11</v>
      </c>
      <c r="I23" t="s">
        <v>12</v>
      </c>
      <c r="J23" t="b">
        <v>0</v>
      </c>
      <c r="K23" t="s">
        <v>6</v>
      </c>
      <c r="L23" t="s">
        <v>260</v>
      </c>
      <c r="M23">
        <v>7</v>
      </c>
      <c r="N23" t="s">
        <v>9447</v>
      </c>
      <c r="P23" s="32" t="str">
        <f t="shared" si="0"/>
        <v>https://app.thedigitalbiblelibrary.org/entry?id=65eec8e0b60e656b</v>
      </c>
      <c r="Q23" t="str">
        <f>IF(ISERROR(VLOOKUP(G23, STEP!E:E, 1, FALSE)), "N", "")</f>
        <v/>
      </c>
      <c r="R23" s="33"/>
    </row>
    <row r="24" spans="1:18" x14ac:dyDescent="0.25">
      <c r="A24" t="s">
        <v>437</v>
      </c>
      <c r="B24" t="b">
        <v>0</v>
      </c>
      <c r="C24" t="s">
        <v>24</v>
      </c>
      <c r="D24" t="b">
        <v>0</v>
      </c>
      <c r="E24" s="32" t="s">
        <v>438</v>
      </c>
      <c r="F24" s="39" t="s">
        <v>1653</v>
      </c>
      <c r="G24" t="s">
        <v>10</v>
      </c>
      <c r="H24" t="s">
        <v>27</v>
      </c>
      <c r="I24" t="s">
        <v>12</v>
      </c>
      <c r="J24" t="b">
        <v>1</v>
      </c>
      <c r="K24" t="s">
        <v>6</v>
      </c>
      <c r="L24" t="s">
        <v>439</v>
      </c>
      <c r="M24">
        <v>1</v>
      </c>
      <c r="N24" t="s">
        <v>9444</v>
      </c>
      <c r="P24" s="32" t="str">
        <f t="shared" si="0"/>
        <v>https://app.thedigitalbiblelibrary.org/entry?id=c315fa9f71d4af3a</v>
      </c>
      <c r="Q24" t="str">
        <f>IF(ISERROR(VLOOKUP(G24, STEP!E:E, 1, FALSE)), "N", "")</f>
        <v/>
      </c>
      <c r="R24" s="33"/>
    </row>
    <row r="25" spans="1:18" x14ac:dyDescent="0.25">
      <c r="A25" t="s">
        <v>479</v>
      </c>
      <c r="B25" t="b">
        <v>0</v>
      </c>
      <c r="C25" t="s">
        <v>24</v>
      </c>
      <c r="D25" t="b">
        <v>0</v>
      </c>
      <c r="E25" s="32" t="s">
        <v>481</v>
      </c>
      <c r="F25" s="39" t="s">
        <v>1653</v>
      </c>
      <c r="G25" t="s">
        <v>10</v>
      </c>
      <c r="H25" t="s">
        <v>27</v>
      </c>
      <c r="I25" t="s">
        <v>12</v>
      </c>
      <c r="J25" t="b">
        <v>0</v>
      </c>
      <c r="K25" t="s">
        <v>6</v>
      </c>
      <c r="L25" t="s">
        <v>480</v>
      </c>
      <c r="M25">
        <v>3</v>
      </c>
      <c r="N25" t="s">
        <v>9444</v>
      </c>
      <c r="P25" s="32" t="str">
        <f t="shared" si="0"/>
        <v>https://app.thedigitalbiblelibrary.org/entry?id=de4e12af7f28f599</v>
      </c>
      <c r="Q25" t="str">
        <f>IF(ISERROR(VLOOKUP(G25, STEP!E:E, 1, FALSE)), "N", "")</f>
        <v/>
      </c>
      <c r="R25" s="33"/>
    </row>
    <row r="26" spans="1:18" x14ac:dyDescent="0.25">
      <c r="A26" t="s">
        <v>8</v>
      </c>
      <c r="B26" t="b">
        <v>0</v>
      </c>
      <c r="C26" t="s">
        <v>9</v>
      </c>
      <c r="D26" t="b">
        <v>0</v>
      </c>
      <c r="E26" s="32" t="s">
        <v>15</v>
      </c>
      <c r="F26" s="39" t="s">
        <v>1653</v>
      </c>
      <c r="G26" t="s">
        <v>10</v>
      </c>
      <c r="H26" t="s">
        <v>11</v>
      </c>
      <c r="I26" t="s">
        <v>12</v>
      </c>
      <c r="J26" t="b">
        <v>0</v>
      </c>
      <c r="K26" t="s">
        <v>6</v>
      </c>
      <c r="L26" t="s">
        <v>13</v>
      </c>
      <c r="M26">
        <v>21</v>
      </c>
      <c r="N26" t="s">
        <v>9446</v>
      </c>
      <c r="P26" s="32" t="str">
        <f t="shared" si="0"/>
        <v>https://app.thedigitalbiblelibrary.org/entry?id=01b29f4b342acc35</v>
      </c>
      <c r="Q26" t="str">
        <f>IF(ISERROR(VLOOKUP(G26, STEP!E:E, 1, FALSE)), "N", "")</f>
        <v/>
      </c>
      <c r="R26" s="33"/>
    </row>
    <row r="27" spans="1:18" x14ac:dyDescent="0.25">
      <c r="A27" t="s">
        <v>417</v>
      </c>
      <c r="B27" t="b">
        <v>0</v>
      </c>
      <c r="C27" t="s">
        <v>24</v>
      </c>
      <c r="D27" t="b">
        <v>0</v>
      </c>
      <c r="E27" s="32" t="s">
        <v>418</v>
      </c>
      <c r="F27" s="39" t="s">
        <v>1653</v>
      </c>
      <c r="G27" t="s">
        <v>10</v>
      </c>
      <c r="H27" t="s">
        <v>11</v>
      </c>
      <c r="I27" t="s">
        <v>12</v>
      </c>
      <c r="J27" t="b">
        <v>1</v>
      </c>
      <c r="K27" t="s">
        <v>6</v>
      </c>
      <c r="L27" t="s">
        <v>419</v>
      </c>
      <c r="M27">
        <v>1</v>
      </c>
      <c r="N27" t="s">
        <v>9444</v>
      </c>
      <c r="P27" s="32" t="str">
        <f t="shared" si="0"/>
        <v>https://app.thedigitalbiblelibrary.org/entry?id=bf8f1c7f3f9045a5</v>
      </c>
      <c r="Q27" t="str">
        <f>IF(ISERROR(VLOOKUP(G27, STEP!E:E, 1, FALSE)), "N", "")</f>
        <v/>
      </c>
      <c r="R27" s="33"/>
    </row>
    <row r="28" spans="1:18" x14ac:dyDescent="0.25">
      <c r="A28" t="s">
        <v>179</v>
      </c>
      <c r="B28" t="b">
        <v>0</v>
      </c>
      <c r="C28" t="s">
        <v>24</v>
      </c>
      <c r="D28" t="b">
        <v>0</v>
      </c>
      <c r="E28" s="32" t="s">
        <v>181</v>
      </c>
      <c r="F28" s="39" t="s">
        <v>1653</v>
      </c>
      <c r="G28" t="s">
        <v>10</v>
      </c>
      <c r="H28" t="s">
        <v>11</v>
      </c>
      <c r="I28" t="s">
        <v>12</v>
      </c>
      <c r="J28" t="b">
        <v>0</v>
      </c>
      <c r="K28" t="s">
        <v>6</v>
      </c>
      <c r="L28" t="s">
        <v>180</v>
      </c>
      <c r="M28">
        <v>6</v>
      </c>
      <c r="N28" t="s">
        <v>9444</v>
      </c>
      <c r="P28" s="32" t="str">
        <f t="shared" si="0"/>
        <v>https://app.thedigitalbiblelibrary.org/entry?id=40072c4a5aba4022</v>
      </c>
      <c r="Q28" t="str">
        <f>IF(ISERROR(VLOOKUP(G28, STEP!E:E, 1, FALSE)), "N", "")</f>
        <v/>
      </c>
      <c r="R28" s="33"/>
    </row>
    <row r="29" spans="1:18" x14ac:dyDescent="0.25">
      <c r="A29" t="s">
        <v>519</v>
      </c>
      <c r="B29" t="b">
        <v>0</v>
      </c>
      <c r="C29" t="s">
        <v>24</v>
      </c>
      <c r="D29" t="b">
        <v>0</v>
      </c>
      <c r="E29" s="32" t="s">
        <v>521</v>
      </c>
      <c r="F29" s="39" t="s">
        <v>1653</v>
      </c>
      <c r="G29" t="s">
        <v>10</v>
      </c>
      <c r="H29" t="s">
        <v>121</v>
      </c>
      <c r="I29" t="s">
        <v>12</v>
      </c>
      <c r="J29" t="b">
        <v>0</v>
      </c>
      <c r="K29" t="s">
        <v>6</v>
      </c>
      <c r="L29" t="s">
        <v>520</v>
      </c>
      <c r="M29">
        <v>2</v>
      </c>
      <c r="N29" t="s">
        <v>9444</v>
      </c>
      <c r="P29" s="32" t="str">
        <f t="shared" si="0"/>
        <v>https://app.thedigitalbiblelibrary.org/entry?id=ec290b5045ff54a5</v>
      </c>
      <c r="Q29" t="str">
        <f>IF(ISERROR(VLOOKUP(G29, STEP!E:E, 1, FALSE)), "N", "")</f>
        <v/>
      </c>
      <c r="R29" s="33"/>
    </row>
    <row r="30" spans="1:18" x14ac:dyDescent="0.25">
      <c r="A30" t="s">
        <v>221</v>
      </c>
      <c r="B30" t="b">
        <v>0</v>
      </c>
      <c r="C30" t="s">
        <v>24</v>
      </c>
      <c r="D30" t="b">
        <v>0</v>
      </c>
      <c r="E30" s="32" t="s">
        <v>222</v>
      </c>
      <c r="F30" s="39" t="s">
        <v>1653</v>
      </c>
      <c r="G30" t="s">
        <v>10</v>
      </c>
      <c r="H30" t="s">
        <v>11</v>
      </c>
      <c r="I30" t="s">
        <v>12</v>
      </c>
      <c r="J30" t="b">
        <v>1</v>
      </c>
      <c r="K30" t="s">
        <v>6</v>
      </c>
      <c r="L30" t="s">
        <v>223</v>
      </c>
      <c r="M30">
        <v>1</v>
      </c>
      <c r="N30" t="s">
        <v>9444</v>
      </c>
      <c r="P30" s="32" t="str">
        <f t="shared" si="0"/>
        <v>https://app.thedigitalbiblelibrary.org/entry?id=55212e3cf5d04d49</v>
      </c>
      <c r="Q30" t="str">
        <f>IF(ISERROR(VLOOKUP(G30, STEP!E:E, 1, FALSE)), "N", "")</f>
        <v/>
      </c>
      <c r="R30" s="33"/>
    </row>
    <row r="31" spans="1:18" x14ac:dyDescent="0.25">
      <c r="A31" t="s">
        <v>119</v>
      </c>
      <c r="B31" t="b">
        <v>0</v>
      </c>
      <c r="C31" t="s">
        <v>24</v>
      </c>
      <c r="D31" t="b">
        <v>0</v>
      </c>
      <c r="E31" s="32" t="s">
        <v>120</v>
      </c>
      <c r="F31" s="39" t="s">
        <v>1653</v>
      </c>
      <c r="G31" t="s">
        <v>10</v>
      </c>
      <c r="H31" t="s">
        <v>121</v>
      </c>
      <c r="I31" t="s">
        <v>12</v>
      </c>
      <c r="J31" t="b">
        <v>1</v>
      </c>
      <c r="K31" t="s">
        <v>6</v>
      </c>
      <c r="L31" t="s">
        <v>122</v>
      </c>
      <c r="M31">
        <v>1</v>
      </c>
      <c r="N31" t="s">
        <v>9445</v>
      </c>
      <c r="P31" s="32" t="str">
        <f t="shared" si="0"/>
        <v>https://app.thedigitalbiblelibrary.org/entry?id=2f0fd81d7b85b923</v>
      </c>
      <c r="Q31" t="str">
        <f>IF(ISERROR(VLOOKUP(G31, STEP!E:E, 1, FALSE)), "N", "")</f>
        <v/>
      </c>
      <c r="R31" s="33"/>
    </row>
    <row r="32" spans="1:18" x14ac:dyDescent="0.25">
      <c r="A32" t="s">
        <v>262</v>
      </c>
      <c r="B32" t="b">
        <v>0</v>
      </c>
      <c r="C32" t="s">
        <v>24</v>
      </c>
      <c r="D32" t="b">
        <v>0</v>
      </c>
      <c r="E32" s="32" t="s">
        <v>263</v>
      </c>
      <c r="F32" s="39" t="s">
        <v>1653</v>
      </c>
      <c r="G32" t="s">
        <v>10</v>
      </c>
      <c r="H32" t="s">
        <v>14</v>
      </c>
      <c r="I32" t="s">
        <v>12</v>
      </c>
      <c r="J32" t="b">
        <v>1</v>
      </c>
      <c r="K32" t="s">
        <v>6</v>
      </c>
      <c r="L32" t="s">
        <v>264</v>
      </c>
      <c r="M32">
        <v>4</v>
      </c>
      <c r="N32" t="s">
        <v>9445</v>
      </c>
      <c r="P32" s="32" t="str">
        <f t="shared" si="0"/>
        <v>https://app.thedigitalbiblelibrary.org/entry?id=66c22495370cdfc0</v>
      </c>
      <c r="Q32" t="str">
        <f>IF(ISERROR(VLOOKUP(G32, STEP!E:E, 1, FALSE)), "N", "")</f>
        <v/>
      </c>
      <c r="R32" s="33"/>
    </row>
    <row r="33" spans="1:19" x14ac:dyDescent="0.25">
      <c r="A33" t="s">
        <v>343</v>
      </c>
      <c r="B33" t="b">
        <v>0</v>
      </c>
      <c r="C33" t="s">
        <v>24</v>
      </c>
      <c r="D33" t="b">
        <v>0</v>
      </c>
      <c r="E33" s="32" t="s">
        <v>345</v>
      </c>
      <c r="F33" s="39" t="s">
        <v>1653</v>
      </c>
      <c r="G33" t="s">
        <v>10</v>
      </c>
      <c r="H33" t="s">
        <v>11</v>
      </c>
      <c r="I33" t="s">
        <v>12</v>
      </c>
      <c r="J33" t="b">
        <v>0</v>
      </c>
      <c r="K33" t="s">
        <v>6</v>
      </c>
      <c r="L33" t="s">
        <v>344</v>
      </c>
      <c r="M33">
        <v>39</v>
      </c>
      <c r="N33" t="s">
        <v>9444</v>
      </c>
      <c r="P33" s="32" t="str">
        <f t="shared" si="0"/>
        <v>https://app.thedigitalbiblelibrary.org/entry?id=9879dbb7cfe39e4d</v>
      </c>
      <c r="Q33" t="str">
        <f>IF(ISERROR(VLOOKUP(G33, STEP!E:E, 1, FALSE)), "N", "")</f>
        <v/>
      </c>
      <c r="R33" s="33"/>
    </row>
    <row r="34" spans="1:19" x14ac:dyDescent="0.25">
      <c r="A34" t="s">
        <v>294</v>
      </c>
      <c r="B34" t="b">
        <v>0</v>
      </c>
      <c r="C34" t="s">
        <v>24</v>
      </c>
      <c r="D34" t="b">
        <v>0</v>
      </c>
      <c r="E34" s="32" t="s">
        <v>296</v>
      </c>
      <c r="F34" s="39" t="s">
        <v>1653</v>
      </c>
      <c r="G34" t="s">
        <v>10</v>
      </c>
      <c r="H34" t="s">
        <v>27</v>
      </c>
      <c r="I34" t="s">
        <v>12</v>
      </c>
      <c r="J34" t="b">
        <v>0</v>
      </c>
      <c r="K34" t="s">
        <v>6</v>
      </c>
      <c r="L34" t="s">
        <v>295</v>
      </c>
      <c r="M34">
        <v>45</v>
      </c>
      <c r="N34" t="s">
        <v>9444</v>
      </c>
      <c r="P34" s="32" t="str">
        <f t="shared" ref="P34:P65" si="1">"https://app.thedigitalbiblelibrary.org/entry?id=" &amp; L34</f>
        <v>https://app.thedigitalbiblelibrary.org/entry?id=7142879509583d59</v>
      </c>
      <c r="Q34" t="str">
        <f>IF(ISERROR(VLOOKUP(G34, STEP!E:E, 1, FALSE)), "N", "")</f>
        <v/>
      </c>
      <c r="R34" s="33"/>
    </row>
    <row r="35" spans="1:19" x14ac:dyDescent="0.25">
      <c r="A35" t="s">
        <v>537</v>
      </c>
      <c r="B35" t="b">
        <v>0</v>
      </c>
      <c r="C35" t="s">
        <v>24</v>
      </c>
      <c r="D35" t="b">
        <v>0</v>
      </c>
      <c r="E35" s="32" t="s">
        <v>539</v>
      </c>
      <c r="F35" s="39" t="s">
        <v>1653</v>
      </c>
      <c r="G35" t="s">
        <v>10</v>
      </c>
      <c r="H35" t="s">
        <v>11</v>
      </c>
      <c r="I35" t="s">
        <v>12</v>
      </c>
      <c r="J35" t="b">
        <v>0</v>
      </c>
      <c r="K35" t="s">
        <v>6</v>
      </c>
      <c r="L35" t="s">
        <v>538</v>
      </c>
      <c r="M35">
        <v>39</v>
      </c>
      <c r="N35" t="s">
        <v>9444</v>
      </c>
      <c r="P35" s="32" t="str">
        <f t="shared" si="1"/>
        <v>https://app.thedigitalbiblelibrary.org/entry?id=f72b840c855f362c</v>
      </c>
      <c r="Q35" t="str">
        <f>IF(ISERROR(VLOOKUP(G35, STEP!E:E, 1, FALSE)), "N", "")</f>
        <v/>
      </c>
      <c r="R35" s="33"/>
    </row>
    <row r="36" spans="1:19" x14ac:dyDescent="0.25">
      <c r="A36" t="s">
        <v>23</v>
      </c>
      <c r="B36" t="b">
        <v>0</v>
      </c>
      <c r="C36" t="s">
        <v>24</v>
      </c>
      <c r="D36" t="b">
        <v>0</v>
      </c>
      <c r="E36" s="32" t="s">
        <v>28</v>
      </c>
      <c r="F36" s="39" t="s">
        <v>1653</v>
      </c>
      <c r="G36" t="s">
        <v>10</v>
      </c>
      <c r="H36" t="s">
        <v>25</v>
      </c>
      <c r="I36" t="s">
        <v>12</v>
      </c>
      <c r="J36" t="b">
        <v>0</v>
      </c>
      <c r="K36" t="s">
        <v>6</v>
      </c>
      <c r="L36" t="s">
        <v>26</v>
      </c>
      <c r="M36">
        <v>37</v>
      </c>
      <c r="N36" t="s">
        <v>9444</v>
      </c>
      <c r="P36" s="32" t="str">
        <f t="shared" si="1"/>
        <v>https://app.thedigitalbiblelibrary.org/entry?id=04da588535d2f823</v>
      </c>
      <c r="Q36" t="str">
        <f>IF(ISERROR(VLOOKUP(G36, STEP!E:E, 1, FALSE)), "N", "")</f>
        <v/>
      </c>
      <c r="R36" s="33"/>
    </row>
    <row r="37" spans="1:19" x14ac:dyDescent="0.25">
      <c r="A37" t="s">
        <v>358</v>
      </c>
      <c r="B37" t="b">
        <v>0</v>
      </c>
      <c r="C37" t="s">
        <v>45</v>
      </c>
      <c r="D37" t="b">
        <v>0</v>
      </c>
      <c r="E37" s="32" t="s">
        <v>359</v>
      </c>
      <c r="F37" s="39" t="s">
        <v>9461</v>
      </c>
      <c r="G37" t="s">
        <v>360</v>
      </c>
      <c r="H37" t="s">
        <v>102</v>
      </c>
      <c r="I37" t="s">
        <v>361</v>
      </c>
      <c r="J37" t="b">
        <v>1</v>
      </c>
      <c r="K37" t="s">
        <v>6</v>
      </c>
      <c r="L37" t="s">
        <v>362</v>
      </c>
      <c r="M37">
        <v>3</v>
      </c>
      <c r="N37" t="s">
        <v>9443</v>
      </c>
      <c r="P37" s="32" t="str">
        <f t="shared" si="1"/>
        <v>https://app.thedigitalbiblelibrary.org/entry?id=9b076bc0f1856204</v>
      </c>
      <c r="Q37" t="str">
        <f>IF(ISERROR(VLOOKUP(G37, STEP!E:E, 1, FALSE)), "N", "")</f>
        <v>N</v>
      </c>
      <c r="R37" s="33"/>
      <c r="S37" s="34">
        <v>44260</v>
      </c>
    </row>
    <row r="38" spans="1:19" x14ac:dyDescent="0.25">
      <c r="A38" t="s">
        <v>464</v>
      </c>
      <c r="B38" t="b">
        <v>0</v>
      </c>
      <c r="C38" t="s">
        <v>45</v>
      </c>
      <c r="D38" t="b">
        <v>0</v>
      </c>
      <c r="E38" s="32" t="s">
        <v>465</v>
      </c>
      <c r="F38" s="39" t="s">
        <v>9462</v>
      </c>
      <c r="G38" t="s">
        <v>466</v>
      </c>
      <c r="H38" t="s">
        <v>48</v>
      </c>
      <c r="I38" t="s">
        <v>467</v>
      </c>
      <c r="J38" t="b">
        <v>1</v>
      </c>
      <c r="K38" t="s">
        <v>6</v>
      </c>
      <c r="L38" t="s">
        <v>468</v>
      </c>
      <c r="M38">
        <v>1</v>
      </c>
      <c r="N38" t="s">
        <v>9443</v>
      </c>
      <c r="P38" s="32" t="str">
        <f t="shared" si="1"/>
        <v>https://app.thedigitalbiblelibrary.org/entry?id=da905e46720432e2</v>
      </c>
      <c r="Q38" t="str">
        <f>IF(ISERROR(VLOOKUP(G38, STEP!E:E, 1, FALSE)), "N", "")</f>
        <v>N</v>
      </c>
      <c r="R38" s="33"/>
      <c r="S38" s="34">
        <v>44260</v>
      </c>
    </row>
    <row r="39" spans="1:19" x14ac:dyDescent="0.25">
      <c r="A39" t="s">
        <v>505</v>
      </c>
      <c r="B39" t="b">
        <v>0</v>
      </c>
      <c r="C39" t="s">
        <v>45</v>
      </c>
      <c r="D39" t="b">
        <v>0</v>
      </c>
      <c r="E39" s="32" t="s">
        <v>509</v>
      </c>
      <c r="F39" s="39" t="s">
        <v>9463</v>
      </c>
      <c r="G39" t="s">
        <v>506</v>
      </c>
      <c r="H39" t="s">
        <v>48</v>
      </c>
      <c r="I39" t="s">
        <v>507</v>
      </c>
      <c r="J39" t="b">
        <v>0</v>
      </c>
      <c r="K39" t="s">
        <v>6</v>
      </c>
      <c r="L39" t="s">
        <v>508</v>
      </c>
      <c r="M39">
        <v>3</v>
      </c>
      <c r="N39" t="s">
        <v>9443</v>
      </c>
      <c r="P39" s="32" t="str">
        <f t="shared" si="1"/>
        <v>https://app.thedigitalbiblelibrary.org/entry?id=e8b818f49c7c2835</v>
      </c>
      <c r="Q39" t="str">
        <f>IF(ISERROR(VLOOKUP(G39, STEP!E:E, 1, FALSE)), "N", "")</f>
        <v>N</v>
      </c>
      <c r="R39" s="33"/>
      <c r="S39" s="34">
        <v>44260</v>
      </c>
    </row>
    <row r="40" spans="1:19" x14ac:dyDescent="0.25">
      <c r="A40" t="s">
        <v>420</v>
      </c>
      <c r="B40" t="b">
        <v>0</v>
      </c>
      <c r="C40" t="s">
        <v>24</v>
      </c>
      <c r="D40" t="b">
        <v>0</v>
      </c>
      <c r="E40" s="32" t="s">
        <v>421</v>
      </c>
      <c r="F40" s="39" t="s">
        <v>1653</v>
      </c>
      <c r="G40" t="s">
        <v>175</v>
      </c>
      <c r="H40" t="s">
        <v>422</v>
      </c>
      <c r="I40" t="s">
        <v>176</v>
      </c>
      <c r="J40" t="b">
        <v>1</v>
      </c>
      <c r="K40" t="s">
        <v>6</v>
      </c>
      <c r="L40" t="s">
        <v>423</v>
      </c>
      <c r="M40">
        <v>1</v>
      </c>
      <c r="N40" t="s">
        <v>9444</v>
      </c>
      <c r="P40" s="32" t="str">
        <f t="shared" si="1"/>
        <v>https://app.thedigitalbiblelibrary.org/entry?id=c114c33098c4fef1</v>
      </c>
      <c r="Q40" t="str">
        <f>IF(ISERROR(VLOOKUP(G40, STEP!E:E, 1, FALSE)), "N", "")</f>
        <v/>
      </c>
      <c r="R40" s="33"/>
    </row>
    <row r="41" spans="1:19" x14ac:dyDescent="0.25">
      <c r="A41" t="s">
        <v>174</v>
      </c>
      <c r="B41" t="b">
        <v>0</v>
      </c>
      <c r="C41" t="s">
        <v>24</v>
      </c>
      <c r="D41" t="b">
        <v>0</v>
      </c>
      <c r="E41" s="32" t="s">
        <v>178</v>
      </c>
      <c r="F41" s="39" t="s">
        <v>1653</v>
      </c>
      <c r="G41" t="s">
        <v>175</v>
      </c>
      <c r="H41" t="s">
        <v>121</v>
      </c>
      <c r="I41" t="s">
        <v>176</v>
      </c>
      <c r="J41" t="b">
        <v>0</v>
      </c>
      <c r="K41" t="s">
        <v>6</v>
      </c>
      <c r="L41" t="s">
        <v>177</v>
      </c>
      <c r="M41">
        <v>2</v>
      </c>
      <c r="N41" t="s">
        <v>9444</v>
      </c>
      <c r="P41" s="32" t="str">
        <f t="shared" si="1"/>
        <v>https://app.thedigitalbiblelibrary.org/entry?id=3aefb10641485092</v>
      </c>
      <c r="Q41" t="str">
        <f>IF(ISERROR(VLOOKUP(G41, STEP!E:E, 1, FALSE)), "N", "")</f>
        <v/>
      </c>
      <c r="R41" s="33"/>
    </row>
    <row r="42" spans="1:19" x14ac:dyDescent="0.25">
      <c r="A42" t="s">
        <v>248</v>
      </c>
      <c r="B42" t="b">
        <v>0</v>
      </c>
      <c r="C42" t="s">
        <v>24</v>
      </c>
      <c r="D42" t="b">
        <v>0</v>
      </c>
      <c r="E42" s="32" t="s">
        <v>249</v>
      </c>
      <c r="F42" s="39" t="s">
        <v>1653</v>
      </c>
      <c r="G42" t="s">
        <v>175</v>
      </c>
      <c r="H42" t="s">
        <v>121</v>
      </c>
      <c r="I42" t="s">
        <v>176</v>
      </c>
      <c r="J42" t="b">
        <v>1</v>
      </c>
      <c r="K42" t="s">
        <v>6</v>
      </c>
      <c r="L42" s="1" t="s">
        <v>250</v>
      </c>
      <c r="M42">
        <v>1</v>
      </c>
      <c r="N42" t="s">
        <v>9443</v>
      </c>
      <c r="P42" s="32" t="str">
        <f t="shared" si="1"/>
        <v>https://app.thedigitalbiblelibrary.org/entry?id=5e29945cf530b0f6</v>
      </c>
      <c r="Q42" t="str">
        <f>IF(ISERROR(VLOOKUP(G42, STEP!E:E, 1, FALSE)), "N", "")</f>
        <v/>
      </c>
      <c r="R42" s="33"/>
    </row>
    <row r="43" spans="1:19" x14ac:dyDescent="0.25">
      <c r="A43" t="s">
        <v>152</v>
      </c>
      <c r="B43" t="b">
        <v>0</v>
      </c>
      <c r="C43" t="s">
        <v>24</v>
      </c>
      <c r="D43" t="b">
        <v>0</v>
      </c>
      <c r="E43" s="32" t="s">
        <v>153</v>
      </c>
      <c r="F43" s="39" t="s">
        <v>1653</v>
      </c>
      <c r="G43" t="s">
        <v>154</v>
      </c>
      <c r="H43" t="s">
        <v>20</v>
      </c>
      <c r="I43" t="s">
        <v>155</v>
      </c>
      <c r="J43" t="b">
        <v>1</v>
      </c>
      <c r="K43" t="s">
        <v>6</v>
      </c>
      <c r="L43" t="s">
        <v>156</v>
      </c>
      <c r="M43">
        <v>3</v>
      </c>
      <c r="N43" t="s">
        <v>9445</v>
      </c>
      <c r="P43" s="32" t="str">
        <f t="shared" si="1"/>
        <v>https://app.thedigitalbiblelibrary.org/entry?id=3548ab6114a312d4</v>
      </c>
      <c r="Q43" t="str">
        <f>IF(ISERROR(VLOOKUP(G43, STEP!E:E, 1, FALSE)), "N", "")</f>
        <v/>
      </c>
      <c r="R43" s="33"/>
    </row>
    <row r="44" spans="1:19" x14ac:dyDescent="0.25">
      <c r="A44" t="s">
        <v>390</v>
      </c>
      <c r="B44" t="b">
        <v>0</v>
      </c>
      <c r="C44" t="s">
        <v>17</v>
      </c>
      <c r="D44" t="b">
        <v>0</v>
      </c>
      <c r="E44" s="32" t="s">
        <v>391</v>
      </c>
      <c r="F44" s="39" t="s">
        <v>1653</v>
      </c>
      <c r="G44" t="s">
        <v>392</v>
      </c>
      <c r="H44" t="s">
        <v>20</v>
      </c>
      <c r="I44" t="s">
        <v>291</v>
      </c>
      <c r="J44" t="b">
        <v>1</v>
      </c>
      <c r="K44" t="s">
        <v>55</v>
      </c>
      <c r="L44" t="s">
        <v>393</v>
      </c>
      <c r="M44">
        <v>1</v>
      </c>
      <c r="N44" t="s">
        <v>9448</v>
      </c>
      <c r="P44" s="32" t="str">
        <f t="shared" si="1"/>
        <v>https://app.thedigitalbiblelibrary.org/entry?id=b35e70bce95d4261</v>
      </c>
      <c r="Q44" t="str">
        <f>IF(ISERROR(VLOOKUP(G44, STEP!E:E, 1, FALSE)), "N", "")</f>
        <v>N</v>
      </c>
      <c r="R44" s="33" t="s">
        <v>1956</v>
      </c>
      <c r="S44" s="34">
        <v>44260</v>
      </c>
    </row>
    <row r="45" spans="1:19" x14ac:dyDescent="0.25">
      <c r="A45" t="s">
        <v>289</v>
      </c>
      <c r="B45" t="b">
        <v>0</v>
      </c>
      <c r="C45" t="s">
        <v>24</v>
      </c>
      <c r="D45" t="b">
        <v>0</v>
      </c>
      <c r="E45" s="32" t="s">
        <v>293</v>
      </c>
      <c r="F45" s="39" t="s">
        <v>1653</v>
      </c>
      <c r="G45" t="s">
        <v>290</v>
      </c>
      <c r="H45" t="s">
        <v>20</v>
      </c>
      <c r="I45" t="s">
        <v>291</v>
      </c>
      <c r="J45" t="b">
        <v>0</v>
      </c>
      <c r="K45" t="s">
        <v>6</v>
      </c>
      <c r="L45" t="s">
        <v>292</v>
      </c>
      <c r="M45">
        <v>3</v>
      </c>
      <c r="N45" t="s">
        <v>9445</v>
      </c>
      <c r="P45" s="32" t="str">
        <f t="shared" si="1"/>
        <v>https://app.thedigitalbiblelibrary.org/entry?id=705aad6832c6e4d2</v>
      </c>
      <c r="Q45" t="str">
        <f>IF(ISERROR(VLOOKUP(G45, STEP!E:E, 1, FALSE)), "N", "")</f>
        <v/>
      </c>
      <c r="R45" s="33"/>
    </row>
    <row r="46" spans="1:19" x14ac:dyDescent="0.25">
      <c r="A46" t="s">
        <v>106</v>
      </c>
      <c r="B46" t="b">
        <v>0</v>
      </c>
      <c r="C46" t="s">
        <v>107</v>
      </c>
      <c r="D46" t="b">
        <v>0</v>
      </c>
      <c r="E46" s="32" t="s">
        <v>108</v>
      </c>
      <c r="F46" s="39" t="s">
        <v>1653</v>
      </c>
      <c r="G46" t="s">
        <v>109</v>
      </c>
      <c r="H46" t="s">
        <v>110</v>
      </c>
      <c r="I46" t="s">
        <v>111</v>
      </c>
      <c r="J46" t="b">
        <v>1</v>
      </c>
      <c r="K46" t="s">
        <v>6</v>
      </c>
      <c r="L46" t="s">
        <v>112</v>
      </c>
      <c r="M46">
        <v>4</v>
      </c>
      <c r="N46" t="s">
        <v>9447</v>
      </c>
      <c r="P46" s="32" t="str">
        <f t="shared" si="1"/>
        <v>https://app.thedigitalbiblelibrary.org/entry?id=2dd568eeff29fb3c</v>
      </c>
      <c r="Q46" t="str">
        <f>IF(ISERROR(VLOOKUP(G46, STEP!E:E, 1, FALSE)), "N", "")</f>
        <v/>
      </c>
      <c r="R46" s="33"/>
    </row>
    <row r="47" spans="1:19" x14ac:dyDescent="0.25">
      <c r="A47" t="s">
        <v>182</v>
      </c>
      <c r="B47" t="b">
        <v>0</v>
      </c>
      <c r="C47" t="s">
        <v>183</v>
      </c>
      <c r="D47" t="b">
        <v>0</v>
      </c>
      <c r="E47" s="32" t="s">
        <v>184</v>
      </c>
      <c r="F47" s="39" t="s">
        <v>1653</v>
      </c>
      <c r="G47" t="s">
        <v>185</v>
      </c>
      <c r="H47" t="s">
        <v>186</v>
      </c>
      <c r="I47" t="s">
        <v>187</v>
      </c>
      <c r="J47" t="b">
        <v>1</v>
      </c>
      <c r="K47" t="s">
        <v>6</v>
      </c>
      <c r="L47" t="s">
        <v>188</v>
      </c>
      <c r="M47">
        <v>4</v>
      </c>
      <c r="N47" t="s">
        <v>9444</v>
      </c>
      <c r="P47" s="32" t="str">
        <f t="shared" si="1"/>
        <v>https://app.thedigitalbiblelibrary.org/entry?id=41f25b97f468e10b</v>
      </c>
      <c r="Q47" t="str">
        <f>IF(ISERROR(VLOOKUP(G47, STEP!E:E, 1, FALSE)), "N", "")</f>
        <v/>
      </c>
      <c r="R47" s="33"/>
    </row>
    <row r="48" spans="1:19" x14ac:dyDescent="0.25">
      <c r="A48" t="s">
        <v>368</v>
      </c>
      <c r="B48" t="b">
        <v>0</v>
      </c>
      <c r="C48" t="s">
        <v>17</v>
      </c>
      <c r="D48" t="b">
        <v>0</v>
      </c>
      <c r="E48" s="32" t="s">
        <v>369</v>
      </c>
      <c r="F48" s="39" t="s">
        <v>1653</v>
      </c>
      <c r="G48" t="s">
        <v>370</v>
      </c>
      <c r="H48" t="s">
        <v>20</v>
      </c>
      <c r="I48" t="s">
        <v>371</v>
      </c>
      <c r="J48" t="b">
        <v>1</v>
      </c>
      <c r="K48" t="s">
        <v>6</v>
      </c>
      <c r="L48" t="s">
        <v>372</v>
      </c>
      <c r="M48">
        <v>2</v>
      </c>
      <c r="N48" t="s">
        <v>9445</v>
      </c>
      <c r="P48" s="32" t="str">
        <f t="shared" si="1"/>
        <v>https://app.thedigitalbiblelibrary.org/entry?id=a33a100f04f2752e</v>
      </c>
      <c r="Q48" t="str">
        <f>IF(ISERROR(VLOOKUP(G48, STEP!E:E, 1, FALSE)), "N", "")</f>
        <v/>
      </c>
      <c r="R48" s="33"/>
    </row>
    <row r="49" spans="1:19" x14ac:dyDescent="0.25">
      <c r="A49" t="s">
        <v>527</v>
      </c>
      <c r="B49" t="b">
        <v>0</v>
      </c>
      <c r="C49" t="s">
        <v>137</v>
      </c>
      <c r="D49" t="b">
        <v>0</v>
      </c>
      <c r="E49" s="32" t="s">
        <v>528</v>
      </c>
      <c r="F49" s="39" t="s">
        <v>9464</v>
      </c>
      <c r="G49" t="s">
        <v>529</v>
      </c>
      <c r="H49" t="s">
        <v>139</v>
      </c>
      <c r="I49" t="s">
        <v>530</v>
      </c>
      <c r="J49" t="b">
        <v>1</v>
      </c>
      <c r="K49" t="s">
        <v>6</v>
      </c>
      <c r="L49" t="s">
        <v>531</v>
      </c>
      <c r="M49">
        <v>2</v>
      </c>
      <c r="N49" t="s">
        <v>9443</v>
      </c>
      <c r="P49" s="32" t="str">
        <f t="shared" si="1"/>
        <v>https://app.thedigitalbiblelibrary.org/entry?id=f2f349d77ac8f8bc</v>
      </c>
      <c r="Q49" t="str">
        <f>IF(ISERROR(VLOOKUP(G49, STEP!E:E, 1, FALSE)), "N", "")</f>
        <v>N</v>
      </c>
      <c r="R49" s="33"/>
      <c r="S49" s="34">
        <v>44260</v>
      </c>
    </row>
    <row r="50" spans="1:19" x14ac:dyDescent="0.25">
      <c r="A50" t="s">
        <v>424</v>
      </c>
      <c r="B50" t="b">
        <v>0</v>
      </c>
      <c r="C50" t="s">
        <v>45</v>
      </c>
      <c r="D50" t="b">
        <v>0</v>
      </c>
      <c r="E50" s="32" t="s">
        <v>425</v>
      </c>
      <c r="F50" s="39" t="s">
        <v>9465</v>
      </c>
      <c r="G50" t="s">
        <v>426</v>
      </c>
      <c r="H50" t="s">
        <v>306</v>
      </c>
      <c r="I50" t="s">
        <v>427</v>
      </c>
      <c r="J50" t="b">
        <v>1</v>
      </c>
      <c r="K50" t="s">
        <v>6</v>
      </c>
      <c r="L50" t="s">
        <v>428</v>
      </c>
      <c r="M50">
        <v>1</v>
      </c>
      <c r="N50" t="s">
        <v>9443</v>
      </c>
      <c r="P50" s="32" t="str">
        <f t="shared" si="1"/>
        <v>https://app.thedigitalbiblelibrary.org/entry?id=c11c93a0b8a04496</v>
      </c>
      <c r="Q50" t="str">
        <f>IF(ISERROR(VLOOKUP(G50, STEP!E:E, 1, FALSE)), "N", "")</f>
        <v>N</v>
      </c>
      <c r="R50" s="33"/>
      <c r="S50" s="34">
        <v>44260</v>
      </c>
    </row>
    <row r="51" spans="1:19" x14ac:dyDescent="0.25">
      <c r="A51" t="s">
        <v>482</v>
      </c>
      <c r="B51" t="b">
        <v>0</v>
      </c>
      <c r="C51" t="s">
        <v>24</v>
      </c>
      <c r="D51" t="b">
        <v>0</v>
      </c>
      <c r="E51" s="32" t="s">
        <v>483</v>
      </c>
      <c r="F51" s="39" t="s">
        <v>1653</v>
      </c>
      <c r="G51" t="s">
        <v>484</v>
      </c>
      <c r="H51" t="s">
        <v>485</v>
      </c>
      <c r="I51" t="s">
        <v>486</v>
      </c>
      <c r="J51" t="b">
        <v>1</v>
      </c>
      <c r="K51" t="s">
        <v>6</v>
      </c>
      <c r="L51" t="s">
        <v>487</v>
      </c>
      <c r="M51">
        <v>3</v>
      </c>
      <c r="N51" t="s">
        <v>9447</v>
      </c>
      <c r="P51" s="32" t="str">
        <f t="shared" si="1"/>
        <v>https://app.thedigitalbiblelibrary.org/entry?id=df7d5d71526afe9e</v>
      </c>
      <c r="Q51" t="str">
        <f>IF(ISERROR(VLOOKUP(G51, STEP!E:E, 1, FALSE)), "N", "")</f>
        <v/>
      </c>
      <c r="R51" s="33"/>
    </row>
    <row r="52" spans="1:19" x14ac:dyDescent="0.25">
      <c r="A52" t="s">
        <v>224</v>
      </c>
      <c r="B52" t="b">
        <v>0</v>
      </c>
      <c r="C52" t="s">
        <v>45</v>
      </c>
      <c r="D52" t="b">
        <v>0</v>
      </c>
      <c r="E52" s="32" t="s">
        <v>225</v>
      </c>
      <c r="F52" s="39" t="s">
        <v>9466</v>
      </c>
      <c r="G52" t="s">
        <v>226</v>
      </c>
      <c r="H52" t="s">
        <v>48</v>
      </c>
      <c r="I52" t="s">
        <v>227</v>
      </c>
      <c r="J52" t="b">
        <v>1</v>
      </c>
      <c r="K52" t="s">
        <v>6</v>
      </c>
      <c r="L52" t="s">
        <v>228</v>
      </c>
      <c r="M52">
        <v>1</v>
      </c>
      <c r="N52" t="s">
        <v>9443</v>
      </c>
      <c r="P52" s="32" t="str">
        <f t="shared" si="1"/>
        <v>https://app.thedigitalbiblelibrary.org/entry?id=5591cba5ae063228</v>
      </c>
      <c r="Q52" t="str">
        <f>IF(ISERROR(VLOOKUP(G52, STEP!E:E, 1, FALSE)), "N", "")</f>
        <v>N</v>
      </c>
      <c r="R52" s="33"/>
      <c r="S52" s="34">
        <v>44260</v>
      </c>
    </row>
    <row r="53" spans="1:19" x14ac:dyDescent="0.25">
      <c r="A53" t="s">
        <v>274</v>
      </c>
      <c r="B53" t="b">
        <v>0</v>
      </c>
      <c r="C53" t="s">
        <v>45</v>
      </c>
      <c r="D53" t="b">
        <v>0</v>
      </c>
      <c r="E53" s="32" t="s">
        <v>278</v>
      </c>
      <c r="F53" s="39" t="s">
        <v>9467</v>
      </c>
      <c r="G53" t="s">
        <v>275</v>
      </c>
      <c r="H53" t="s">
        <v>48</v>
      </c>
      <c r="I53" t="s">
        <v>276</v>
      </c>
      <c r="J53" t="b">
        <v>0</v>
      </c>
      <c r="K53" t="s">
        <v>6</v>
      </c>
      <c r="L53" t="s">
        <v>277</v>
      </c>
      <c r="M53">
        <v>2</v>
      </c>
      <c r="N53" t="s">
        <v>9443</v>
      </c>
      <c r="P53" s="32" t="str">
        <f t="shared" si="1"/>
        <v>https://app.thedigitalbiblelibrary.org/entry?id=6aa52b968434d882</v>
      </c>
      <c r="Q53" t="str">
        <f>IF(ISERROR(VLOOKUP(G53, STEP!E:E, 1, FALSE)), "N", "")</f>
        <v>N</v>
      </c>
      <c r="R53" s="33"/>
      <c r="S53" s="34">
        <v>44260</v>
      </c>
    </row>
    <row r="54" spans="1:19" x14ac:dyDescent="0.25">
      <c r="A54" t="s">
        <v>363</v>
      </c>
      <c r="B54" t="b">
        <v>0</v>
      </c>
      <c r="C54" t="s">
        <v>24</v>
      </c>
      <c r="D54" t="b">
        <v>0</v>
      </c>
      <c r="E54" s="32" t="s">
        <v>367</v>
      </c>
      <c r="F54" s="39" t="s">
        <v>1653</v>
      </c>
      <c r="G54" t="s">
        <v>364</v>
      </c>
      <c r="H54" t="s">
        <v>20</v>
      </c>
      <c r="I54" t="s">
        <v>365</v>
      </c>
      <c r="J54" t="b">
        <v>0</v>
      </c>
      <c r="K54" t="s">
        <v>6</v>
      </c>
      <c r="L54" t="s">
        <v>366</v>
      </c>
      <c r="M54">
        <v>5</v>
      </c>
      <c r="N54" t="s">
        <v>9445</v>
      </c>
      <c r="P54" s="32" t="str">
        <f t="shared" si="1"/>
        <v>https://app.thedigitalbiblelibrary.org/entry?id=9f78f34aabe691c9</v>
      </c>
      <c r="Q54" t="str">
        <f>IF(ISERROR(VLOOKUP(G54, STEP!E:E, 1, FALSE)), "N", "")</f>
        <v/>
      </c>
      <c r="R54" s="33"/>
    </row>
    <row r="55" spans="1:19" x14ac:dyDescent="0.25">
      <c r="A55" t="s">
        <v>317</v>
      </c>
      <c r="B55" t="b">
        <v>0</v>
      </c>
      <c r="C55" t="s">
        <v>17</v>
      </c>
      <c r="D55" t="b">
        <v>0</v>
      </c>
      <c r="E55" s="32" t="s">
        <v>318</v>
      </c>
      <c r="F55" s="39" t="s">
        <v>1653</v>
      </c>
      <c r="G55" t="s">
        <v>319</v>
      </c>
      <c r="H55" t="s">
        <v>20</v>
      </c>
      <c r="I55" t="s">
        <v>320</v>
      </c>
      <c r="J55" t="b">
        <v>1</v>
      </c>
      <c r="K55" t="s">
        <v>6</v>
      </c>
      <c r="L55" t="s">
        <v>321</v>
      </c>
      <c r="M55">
        <v>1</v>
      </c>
      <c r="N55" t="s">
        <v>9445</v>
      </c>
      <c r="P55" s="32" t="str">
        <f t="shared" si="1"/>
        <v>https://app.thedigitalbiblelibrary.org/entry?id=8c49129a458d4059</v>
      </c>
      <c r="Q55" t="str">
        <f>IF(ISERROR(VLOOKUP(G55, STEP!E:E, 1, FALSE)), "N", "")</f>
        <v/>
      </c>
      <c r="R55" s="33"/>
    </row>
    <row r="56" spans="1:19" x14ac:dyDescent="0.25">
      <c r="A56" t="s">
        <v>167</v>
      </c>
      <c r="B56" t="b">
        <v>0</v>
      </c>
      <c r="C56" t="s">
        <v>168</v>
      </c>
      <c r="D56" t="b">
        <v>0</v>
      </c>
      <c r="E56" s="32" t="s">
        <v>169</v>
      </c>
      <c r="F56" s="39" t="s">
        <v>9468</v>
      </c>
      <c r="G56" t="s">
        <v>170</v>
      </c>
      <c r="H56" t="s">
        <v>171</v>
      </c>
      <c r="I56" t="s">
        <v>172</v>
      </c>
      <c r="J56" t="b">
        <v>1</v>
      </c>
      <c r="K56" t="s">
        <v>6</v>
      </c>
      <c r="L56" t="s">
        <v>173</v>
      </c>
      <c r="M56">
        <v>2</v>
      </c>
      <c r="N56" t="s">
        <v>9447</v>
      </c>
      <c r="P56" s="32" t="str">
        <f t="shared" si="1"/>
        <v>https://app.thedigitalbiblelibrary.org/entry?id=385573d4ba3ff72a</v>
      </c>
      <c r="Q56" t="str">
        <f>IF(ISERROR(VLOOKUP(G56, STEP!E:E, 1, FALSE)), "N", "")</f>
        <v>N</v>
      </c>
      <c r="R56" s="33"/>
      <c r="S56" s="34">
        <v>44260</v>
      </c>
    </row>
    <row r="57" spans="1:19" x14ac:dyDescent="0.25">
      <c r="A57" t="s">
        <v>414</v>
      </c>
      <c r="B57" t="b">
        <v>0</v>
      </c>
      <c r="C57" t="s">
        <v>168</v>
      </c>
      <c r="D57" t="b">
        <v>0</v>
      </c>
      <c r="E57" s="32" t="s">
        <v>416</v>
      </c>
      <c r="F57" s="39" t="s">
        <v>9469</v>
      </c>
      <c r="G57" t="s">
        <v>170</v>
      </c>
      <c r="H57" t="s">
        <v>171</v>
      </c>
      <c r="I57" t="s">
        <v>172</v>
      </c>
      <c r="J57" t="b">
        <v>0</v>
      </c>
      <c r="K57" t="s">
        <v>6</v>
      </c>
      <c r="L57" t="s">
        <v>415</v>
      </c>
      <c r="M57">
        <v>5</v>
      </c>
      <c r="N57" t="s">
        <v>9447</v>
      </c>
      <c r="P57" s="32" t="str">
        <f t="shared" si="1"/>
        <v>https://app.thedigitalbiblelibrary.org/entry?id=bed82ba57f117c16</v>
      </c>
      <c r="Q57" t="str">
        <f>IF(ISERROR(VLOOKUP(G57, STEP!E:E, 1, FALSE)), "N", "")</f>
        <v>N</v>
      </c>
      <c r="R57" s="33"/>
      <c r="S57" s="34">
        <v>44260</v>
      </c>
    </row>
    <row r="58" spans="1:19" x14ac:dyDescent="0.25">
      <c r="A58" t="s">
        <v>380</v>
      </c>
      <c r="B58" t="b">
        <v>0</v>
      </c>
      <c r="C58" t="s">
        <v>45</v>
      </c>
      <c r="D58" t="b">
        <v>0</v>
      </c>
      <c r="E58" s="32" t="s">
        <v>381</v>
      </c>
      <c r="F58" s="39" t="s">
        <v>9470</v>
      </c>
      <c r="G58" t="s">
        <v>382</v>
      </c>
      <c r="H58" t="s">
        <v>383</v>
      </c>
      <c r="I58" t="s">
        <v>380</v>
      </c>
      <c r="J58" t="b">
        <v>1</v>
      </c>
      <c r="K58" t="s">
        <v>6</v>
      </c>
      <c r="L58" t="s">
        <v>384</v>
      </c>
      <c r="M58">
        <v>4</v>
      </c>
      <c r="N58" t="s">
        <v>9443</v>
      </c>
      <c r="P58" s="32" t="str">
        <f t="shared" si="1"/>
        <v>https://app.thedigitalbiblelibrary.org/entry?id=abf017938be72f46</v>
      </c>
      <c r="Q58" t="str">
        <f>IF(ISERROR(VLOOKUP(G58, STEP!E:E, 1, FALSE)), "N", "")</f>
        <v>N</v>
      </c>
      <c r="R58" s="33"/>
      <c r="S58" s="34">
        <v>44260</v>
      </c>
    </row>
    <row r="59" spans="1:19" x14ac:dyDescent="0.25">
      <c r="A59" t="s">
        <v>394</v>
      </c>
      <c r="B59" t="b">
        <v>0</v>
      </c>
      <c r="C59" t="s">
        <v>137</v>
      </c>
      <c r="D59" t="b">
        <v>0</v>
      </c>
      <c r="E59" s="32" t="s">
        <v>398</v>
      </c>
      <c r="F59" s="39" t="s">
        <v>9471</v>
      </c>
      <c r="G59" t="s">
        <v>395</v>
      </c>
      <c r="H59" t="s">
        <v>139</v>
      </c>
      <c r="I59" t="s">
        <v>396</v>
      </c>
      <c r="J59" t="b">
        <v>0</v>
      </c>
      <c r="K59" t="s">
        <v>6</v>
      </c>
      <c r="L59" t="s">
        <v>397</v>
      </c>
      <c r="M59">
        <v>3</v>
      </c>
      <c r="N59" t="s">
        <v>9447</v>
      </c>
      <c r="P59" s="32" t="str">
        <f t="shared" si="1"/>
        <v>https://app.thedigitalbiblelibrary.org/entry?id=b5105cd03c972046</v>
      </c>
      <c r="Q59" t="str">
        <f>IF(ISERROR(VLOOKUP(G59, STEP!E:E, 1, FALSE)), "N", "")</f>
        <v>N</v>
      </c>
      <c r="R59" s="33"/>
      <c r="S59" s="34">
        <v>44260</v>
      </c>
    </row>
    <row r="60" spans="1:19" x14ac:dyDescent="0.25">
      <c r="A60" t="s">
        <v>532</v>
      </c>
      <c r="B60" t="b">
        <v>0</v>
      </c>
      <c r="C60" t="s">
        <v>45</v>
      </c>
      <c r="D60" t="b">
        <v>0</v>
      </c>
      <c r="E60" s="32" t="s">
        <v>533</v>
      </c>
      <c r="F60" s="39" t="s">
        <v>9472</v>
      </c>
      <c r="G60" t="s">
        <v>534</v>
      </c>
      <c r="H60" t="s">
        <v>306</v>
      </c>
      <c r="I60" t="s">
        <v>535</v>
      </c>
      <c r="J60" t="b">
        <v>1</v>
      </c>
      <c r="K60" t="s">
        <v>6</v>
      </c>
      <c r="L60" t="s">
        <v>536</v>
      </c>
      <c r="M60">
        <v>2</v>
      </c>
      <c r="N60" t="s">
        <v>9443</v>
      </c>
      <c r="P60" s="32" t="str">
        <f t="shared" si="1"/>
        <v>https://app.thedigitalbiblelibrary.org/entry?id=f638e44feb77f803</v>
      </c>
      <c r="Q60" t="str">
        <f>IF(ISERROR(VLOOKUP(G60, STEP!E:E, 1, FALSE)), "N", "")</f>
        <v>N</v>
      </c>
      <c r="R60" s="33"/>
      <c r="S60" s="34">
        <v>44260</v>
      </c>
    </row>
    <row r="61" spans="1:19" x14ac:dyDescent="0.25">
      <c r="A61" t="s">
        <v>207</v>
      </c>
      <c r="B61" t="b">
        <v>0</v>
      </c>
      <c r="C61" t="s">
        <v>45</v>
      </c>
      <c r="D61" t="b">
        <v>0</v>
      </c>
      <c r="E61" s="32" t="s">
        <v>208</v>
      </c>
      <c r="F61" s="39" t="s">
        <v>9473</v>
      </c>
      <c r="G61" t="s">
        <v>209</v>
      </c>
      <c r="H61" t="s">
        <v>102</v>
      </c>
      <c r="I61" t="s">
        <v>210</v>
      </c>
      <c r="J61" t="b">
        <v>1</v>
      </c>
      <c r="K61" t="s">
        <v>6</v>
      </c>
      <c r="L61" t="s">
        <v>211</v>
      </c>
      <c r="M61">
        <v>3</v>
      </c>
      <c r="N61" t="s">
        <v>9443</v>
      </c>
      <c r="P61" s="32" t="str">
        <f t="shared" si="1"/>
        <v>https://app.thedigitalbiblelibrary.org/entry?id=4ffcec8e8f3c33e7</v>
      </c>
      <c r="Q61" t="str">
        <f>IF(ISERROR(VLOOKUP(G61, STEP!E:E, 1, FALSE)), "N", "")</f>
        <v>N</v>
      </c>
      <c r="R61" s="33"/>
      <c r="S61" s="34">
        <v>44260</v>
      </c>
    </row>
    <row r="62" spans="1:19" x14ac:dyDescent="0.25">
      <c r="A62" t="s">
        <v>251</v>
      </c>
      <c r="B62" t="b">
        <v>0</v>
      </c>
      <c r="C62" t="s">
        <v>45</v>
      </c>
      <c r="D62" t="b">
        <v>0</v>
      </c>
      <c r="E62" s="32" t="s">
        <v>255</v>
      </c>
      <c r="F62" s="39" t="s">
        <v>1653</v>
      </c>
      <c r="G62" t="s">
        <v>252</v>
      </c>
      <c r="H62" t="s">
        <v>48</v>
      </c>
      <c r="I62" t="s">
        <v>253</v>
      </c>
      <c r="J62" t="b">
        <v>0</v>
      </c>
      <c r="K62" t="s">
        <v>6</v>
      </c>
      <c r="L62" t="s">
        <v>254</v>
      </c>
      <c r="M62">
        <v>4</v>
      </c>
      <c r="N62" t="s">
        <v>9443</v>
      </c>
      <c r="P62" s="32" t="str">
        <f t="shared" si="1"/>
        <v>https://app.thedigitalbiblelibrary.org/entry?id=5e51f89e89947acb</v>
      </c>
      <c r="Q62" t="str">
        <f>IF(ISERROR(VLOOKUP(G62, STEP!E:E, 1, FALSE)), "N", "")</f>
        <v/>
      </c>
      <c r="R62" s="33"/>
    </row>
    <row r="63" spans="1:19" x14ac:dyDescent="0.25">
      <c r="A63" t="s">
        <v>346</v>
      </c>
      <c r="B63" t="b">
        <v>0</v>
      </c>
      <c r="C63" t="s">
        <v>45</v>
      </c>
      <c r="D63" t="b">
        <v>0</v>
      </c>
      <c r="E63" s="32" t="s">
        <v>347</v>
      </c>
      <c r="F63" s="39" t="s">
        <v>1653</v>
      </c>
      <c r="G63" t="s">
        <v>252</v>
      </c>
      <c r="H63" t="s">
        <v>48</v>
      </c>
      <c r="I63" t="s">
        <v>253</v>
      </c>
      <c r="J63" t="b">
        <v>1</v>
      </c>
      <c r="K63" t="s">
        <v>6</v>
      </c>
      <c r="L63" t="s">
        <v>348</v>
      </c>
      <c r="M63">
        <v>5</v>
      </c>
      <c r="N63" t="s">
        <v>9443</v>
      </c>
      <c r="P63" s="32" t="str">
        <f t="shared" si="1"/>
        <v>https://app.thedigitalbiblelibrary.org/entry?id=98adf0b796dc9ff4</v>
      </c>
      <c r="Q63" t="str">
        <f>IF(ISERROR(VLOOKUP(G63, STEP!E:E, 1, FALSE)), "N", "")</f>
        <v/>
      </c>
      <c r="R63" s="33"/>
    </row>
    <row r="64" spans="1:19" x14ac:dyDescent="0.25">
      <c r="A64" t="s">
        <v>522</v>
      </c>
      <c r="B64" t="b">
        <v>0</v>
      </c>
      <c r="C64" t="s">
        <v>45</v>
      </c>
      <c r="D64" t="b">
        <v>0</v>
      </c>
      <c r="E64" s="32" t="s">
        <v>526</v>
      </c>
      <c r="F64" s="39" t="s">
        <v>9474</v>
      </c>
      <c r="G64" t="s">
        <v>523</v>
      </c>
      <c r="H64" t="s">
        <v>306</v>
      </c>
      <c r="I64" t="s">
        <v>524</v>
      </c>
      <c r="J64" t="b">
        <v>0</v>
      </c>
      <c r="K64" t="s">
        <v>6</v>
      </c>
      <c r="L64" t="s">
        <v>525</v>
      </c>
      <c r="M64">
        <v>3</v>
      </c>
      <c r="N64" t="s">
        <v>9443</v>
      </c>
      <c r="P64" s="32" t="str">
        <f t="shared" si="1"/>
        <v>https://app.thedigitalbiblelibrary.org/entry?id=ed5744967fe39c8c</v>
      </c>
      <c r="Q64" t="str">
        <f>IF(ISERROR(VLOOKUP(G64, STEP!E:E, 1, FALSE)), "N", "")</f>
        <v>N</v>
      </c>
      <c r="R64" s="33"/>
      <c r="S64" s="34">
        <v>44260</v>
      </c>
    </row>
    <row r="65" spans="1:19" x14ac:dyDescent="0.25">
      <c r="A65" t="s">
        <v>451</v>
      </c>
      <c r="B65" t="b">
        <v>0</v>
      </c>
      <c r="C65" t="s">
        <v>137</v>
      </c>
      <c r="D65" t="b">
        <v>0</v>
      </c>
      <c r="E65" s="32" t="s">
        <v>452</v>
      </c>
      <c r="F65" s="39" t="s">
        <v>9475</v>
      </c>
      <c r="G65" t="s">
        <v>453</v>
      </c>
      <c r="H65" t="s">
        <v>139</v>
      </c>
      <c r="I65" t="s">
        <v>454</v>
      </c>
      <c r="J65" t="b">
        <v>1</v>
      </c>
      <c r="K65" t="s">
        <v>6</v>
      </c>
      <c r="L65" t="s">
        <v>455</v>
      </c>
      <c r="M65">
        <v>2</v>
      </c>
      <c r="N65" t="s">
        <v>9447</v>
      </c>
      <c r="P65" s="32" t="str">
        <f t="shared" si="1"/>
        <v>https://app.thedigitalbiblelibrary.org/entry?id=cb0425ae772bb042</v>
      </c>
      <c r="Q65" t="str">
        <f>IF(ISERROR(VLOOKUP(G65, STEP!E:E, 1, FALSE)), "N", "")</f>
        <v>N</v>
      </c>
      <c r="R65" s="33"/>
      <c r="S65" s="34">
        <v>44260</v>
      </c>
    </row>
    <row r="66" spans="1:19" x14ac:dyDescent="0.25">
      <c r="A66" t="s">
        <v>136</v>
      </c>
      <c r="B66" t="b">
        <v>0</v>
      </c>
      <c r="C66" t="s">
        <v>137</v>
      </c>
      <c r="D66" t="b">
        <v>0</v>
      </c>
      <c r="E66" s="32" t="s">
        <v>142</v>
      </c>
      <c r="F66" s="39" t="s">
        <v>9476</v>
      </c>
      <c r="G66" t="s">
        <v>138</v>
      </c>
      <c r="H66" t="s">
        <v>139</v>
      </c>
      <c r="I66" t="s">
        <v>140</v>
      </c>
      <c r="J66" t="b">
        <v>0</v>
      </c>
      <c r="K66" t="s">
        <v>6</v>
      </c>
      <c r="L66" t="s">
        <v>141</v>
      </c>
      <c r="M66">
        <v>2</v>
      </c>
      <c r="N66" t="s">
        <v>9447</v>
      </c>
      <c r="P66" s="32" t="str">
        <f t="shared" ref="P66:P97" si="2">"https://app.thedigitalbiblelibrary.org/entry?id=" &amp; L66</f>
        <v>https://app.thedigitalbiblelibrary.org/entry?id=324f457845cb5d21</v>
      </c>
      <c r="Q66" t="str">
        <f>IF(ISERROR(VLOOKUP(G66, STEP!E:E, 1, FALSE)), "N", "")</f>
        <v>N</v>
      </c>
      <c r="R66" s="33"/>
      <c r="S66" s="34">
        <v>44260</v>
      </c>
    </row>
    <row r="67" spans="1:19" x14ac:dyDescent="0.25">
      <c r="A67" t="s">
        <v>131</v>
      </c>
      <c r="B67" t="b">
        <v>0</v>
      </c>
      <c r="C67" t="s">
        <v>24</v>
      </c>
      <c r="D67" t="b">
        <v>0</v>
      </c>
      <c r="E67" s="32" t="s">
        <v>132</v>
      </c>
      <c r="F67" s="39" t="s">
        <v>9477</v>
      </c>
      <c r="G67" t="s">
        <v>133</v>
      </c>
      <c r="H67" t="s">
        <v>48</v>
      </c>
      <c r="I67" t="s">
        <v>134</v>
      </c>
      <c r="J67" t="b">
        <v>1</v>
      </c>
      <c r="K67" t="s">
        <v>6</v>
      </c>
      <c r="L67" t="s">
        <v>135</v>
      </c>
      <c r="M67">
        <v>2</v>
      </c>
      <c r="N67" t="s">
        <v>9447</v>
      </c>
      <c r="P67" s="32" t="str">
        <f t="shared" si="2"/>
        <v>https://app.thedigitalbiblelibrary.org/entry?id=312df00520eac624</v>
      </c>
      <c r="Q67" t="str">
        <f>IF(ISERROR(VLOOKUP(G67, STEP!E:E, 1, FALSE)), "N", "")</f>
        <v>N</v>
      </c>
      <c r="R67" s="33"/>
      <c r="S67" s="34">
        <v>44260</v>
      </c>
    </row>
    <row r="68" spans="1:19" x14ac:dyDescent="0.25">
      <c r="A68" t="s">
        <v>513</v>
      </c>
      <c r="B68" t="b">
        <v>0</v>
      </c>
      <c r="C68" t="s">
        <v>24</v>
      </c>
      <c r="D68" t="b">
        <v>0</v>
      </c>
      <c r="E68" s="32" t="s">
        <v>514</v>
      </c>
      <c r="F68" s="39" t="s">
        <v>1653</v>
      </c>
      <c r="G68" t="s">
        <v>515</v>
      </c>
      <c r="H68" t="s">
        <v>516</v>
      </c>
      <c r="I68" t="s">
        <v>517</v>
      </c>
      <c r="J68" t="b">
        <v>1</v>
      </c>
      <c r="K68" t="s">
        <v>6</v>
      </c>
      <c r="L68" t="s">
        <v>518</v>
      </c>
      <c r="M68">
        <v>1</v>
      </c>
      <c r="N68" t="s">
        <v>9444</v>
      </c>
      <c r="P68" s="32" t="str">
        <f t="shared" si="2"/>
        <v>https://app.thedigitalbiblelibrary.org/entry?id=ead7b4cc5007389c</v>
      </c>
      <c r="Q68" t="str">
        <f>IF(ISERROR(VLOOKUP(G68, STEP!E:E, 1, FALSE)), "N", "")</f>
        <v/>
      </c>
      <c r="R68" s="33"/>
    </row>
    <row r="69" spans="1:19" x14ac:dyDescent="0.25">
      <c r="A69" t="s">
        <v>162</v>
      </c>
      <c r="B69" t="b">
        <v>0</v>
      </c>
      <c r="C69" t="s">
        <v>24</v>
      </c>
      <c r="D69" t="b">
        <v>0</v>
      </c>
      <c r="E69" s="32" t="s">
        <v>166</v>
      </c>
      <c r="F69" s="39" t="s">
        <v>9478</v>
      </c>
      <c r="G69" t="s">
        <v>163</v>
      </c>
      <c r="H69" t="s">
        <v>20</v>
      </c>
      <c r="I69" t="s">
        <v>164</v>
      </c>
      <c r="J69" t="b">
        <v>0</v>
      </c>
      <c r="K69" t="s">
        <v>6</v>
      </c>
      <c r="L69" t="s">
        <v>165</v>
      </c>
      <c r="M69">
        <v>5</v>
      </c>
      <c r="N69" t="s">
        <v>9445</v>
      </c>
      <c r="P69" s="32" t="str">
        <f t="shared" si="2"/>
        <v>https://app.thedigitalbiblelibrary.org/entry?id=365f988242c307d2</v>
      </c>
      <c r="Q69" t="str">
        <f>IF(ISERROR(VLOOKUP(G69, STEP!E:E, 1, FALSE)), "N", "")</f>
        <v>N</v>
      </c>
      <c r="R69" s="33"/>
      <c r="S69" s="34">
        <v>44260</v>
      </c>
    </row>
    <row r="70" spans="1:19" x14ac:dyDescent="0.25">
      <c r="A70" t="s">
        <v>493</v>
      </c>
      <c r="B70" t="b">
        <v>0</v>
      </c>
      <c r="C70" t="s">
        <v>17</v>
      </c>
      <c r="D70" t="b">
        <v>0</v>
      </c>
      <c r="E70" s="32" t="s">
        <v>496</v>
      </c>
      <c r="F70" s="39" t="s">
        <v>1653</v>
      </c>
      <c r="G70" t="s">
        <v>494</v>
      </c>
      <c r="H70" t="s">
        <v>20</v>
      </c>
      <c r="I70" t="s">
        <v>193</v>
      </c>
      <c r="J70" t="b">
        <v>0</v>
      </c>
      <c r="K70" t="s">
        <v>6</v>
      </c>
      <c r="L70" t="s">
        <v>495</v>
      </c>
      <c r="M70">
        <v>2</v>
      </c>
      <c r="N70" t="s">
        <v>9445</v>
      </c>
      <c r="P70" s="32" t="str">
        <f t="shared" si="2"/>
        <v>https://app.thedigitalbiblelibrary.org/entry?id=e2588ba61891daa5</v>
      </c>
      <c r="Q70" t="str">
        <f>IF(ISERROR(VLOOKUP(G70, STEP!E:E, 1, FALSE)), "N", "")</f>
        <v/>
      </c>
      <c r="R70" s="33"/>
    </row>
    <row r="71" spans="1:19" x14ac:dyDescent="0.25">
      <c r="A71" t="s">
        <v>80</v>
      </c>
      <c r="B71" t="b">
        <v>0</v>
      </c>
      <c r="C71" t="s">
        <v>24</v>
      </c>
      <c r="D71" t="b">
        <v>0</v>
      </c>
      <c r="E71" s="32" t="s">
        <v>81</v>
      </c>
      <c r="F71" s="39" t="s">
        <v>1653</v>
      </c>
      <c r="G71" t="s">
        <v>82</v>
      </c>
      <c r="H71" t="s">
        <v>83</v>
      </c>
      <c r="I71" t="s">
        <v>84</v>
      </c>
      <c r="J71" t="b">
        <v>1</v>
      </c>
      <c r="K71" t="s">
        <v>6</v>
      </c>
      <c r="L71" t="s">
        <v>85</v>
      </c>
      <c r="M71">
        <v>1</v>
      </c>
      <c r="N71" t="s">
        <v>9447</v>
      </c>
      <c r="P71" s="32" t="str">
        <f t="shared" si="2"/>
        <v>https://app.thedigitalbiblelibrary.org/entry?id=1c9761e0230da6e0</v>
      </c>
      <c r="Q71" t="str">
        <f>IF(ISERROR(VLOOKUP(G71, STEP!E:E, 1, FALSE)), "N", "")</f>
        <v/>
      </c>
      <c r="R71" s="33"/>
    </row>
    <row r="72" spans="1:19" x14ac:dyDescent="0.25">
      <c r="A72" t="s">
        <v>330</v>
      </c>
      <c r="B72" t="b">
        <v>0</v>
      </c>
      <c r="C72" t="s">
        <v>24</v>
      </c>
      <c r="D72" t="b">
        <v>0</v>
      </c>
      <c r="E72" s="32" t="s">
        <v>331</v>
      </c>
      <c r="F72" s="39" t="s">
        <v>1653</v>
      </c>
      <c r="G72" t="s">
        <v>332</v>
      </c>
      <c r="H72" t="s">
        <v>333</v>
      </c>
      <c r="I72" t="s">
        <v>334</v>
      </c>
      <c r="J72" t="b">
        <v>1</v>
      </c>
      <c r="K72" t="s">
        <v>6</v>
      </c>
      <c r="L72" t="s">
        <v>335</v>
      </c>
      <c r="M72">
        <v>1</v>
      </c>
      <c r="N72" t="s">
        <v>9445</v>
      </c>
      <c r="P72" s="32" t="str">
        <f t="shared" si="2"/>
        <v>https://app.thedigitalbiblelibrary.org/entry?id=90799bb5b996fddc</v>
      </c>
      <c r="Q72" t="str">
        <f>IF(ISERROR(VLOOKUP(G72, STEP!E:E, 1, FALSE)), "N", "")</f>
        <v/>
      </c>
      <c r="R72" s="33"/>
    </row>
    <row r="73" spans="1:19" x14ac:dyDescent="0.25">
      <c r="A73" t="s">
        <v>157</v>
      </c>
      <c r="B73" t="b">
        <v>0</v>
      </c>
      <c r="C73" t="s">
        <v>137</v>
      </c>
      <c r="D73" t="b">
        <v>0</v>
      </c>
      <c r="E73" s="32" t="s">
        <v>161</v>
      </c>
      <c r="F73" s="39" t="s">
        <v>9479</v>
      </c>
      <c r="G73" t="s">
        <v>158</v>
      </c>
      <c r="H73" t="s">
        <v>139</v>
      </c>
      <c r="I73" t="s">
        <v>159</v>
      </c>
      <c r="J73" t="b">
        <v>0</v>
      </c>
      <c r="K73" t="s">
        <v>6</v>
      </c>
      <c r="L73" t="s">
        <v>160</v>
      </c>
      <c r="M73">
        <v>2</v>
      </c>
      <c r="N73" t="s">
        <v>9447</v>
      </c>
      <c r="P73" s="32" t="str">
        <f t="shared" si="2"/>
        <v>https://app.thedigitalbiblelibrary.org/entry?id=355792a03079ccdd</v>
      </c>
      <c r="Q73" t="str">
        <f>IF(ISERROR(VLOOKUP(G73, STEP!E:E, 1, FALSE)), "N", "")</f>
        <v>N</v>
      </c>
      <c r="R73" s="33"/>
      <c r="S73" s="34">
        <v>44260</v>
      </c>
    </row>
    <row r="74" spans="1:19" x14ac:dyDescent="0.25">
      <c r="A74" t="s">
        <v>143</v>
      </c>
      <c r="B74" t="b">
        <v>0</v>
      </c>
      <c r="C74" t="s">
        <v>137</v>
      </c>
      <c r="D74" t="b">
        <v>0</v>
      </c>
      <c r="E74" s="32" t="s">
        <v>148</v>
      </c>
      <c r="F74" s="39" t="s">
        <v>9480</v>
      </c>
      <c r="G74" t="s">
        <v>144</v>
      </c>
      <c r="H74" t="s">
        <v>145</v>
      </c>
      <c r="I74" t="s">
        <v>146</v>
      </c>
      <c r="J74" t="b">
        <v>0</v>
      </c>
      <c r="K74" t="s">
        <v>6</v>
      </c>
      <c r="L74" t="s">
        <v>147</v>
      </c>
      <c r="M74">
        <v>6</v>
      </c>
      <c r="N74" t="s">
        <v>9447</v>
      </c>
      <c r="P74" s="32" t="str">
        <f t="shared" si="2"/>
        <v>https://app.thedigitalbiblelibrary.org/entry?id=33ac978af36830fa</v>
      </c>
      <c r="Q74" t="str">
        <f>IF(ISERROR(VLOOKUP(G74, STEP!E:E, 1, FALSE)), "N", "")</f>
        <v>N</v>
      </c>
      <c r="R74" s="33"/>
      <c r="S74" s="34">
        <v>44260</v>
      </c>
    </row>
    <row r="75" spans="1:19" x14ac:dyDescent="0.25">
      <c r="A75" t="s">
        <v>349</v>
      </c>
      <c r="B75" t="b">
        <v>0</v>
      </c>
      <c r="C75" t="s">
        <v>350</v>
      </c>
      <c r="D75" t="b">
        <v>0</v>
      </c>
      <c r="E75" s="32" t="s">
        <v>354</v>
      </c>
      <c r="F75" s="39" t="s">
        <v>9481</v>
      </c>
      <c r="G75" t="s">
        <v>351</v>
      </c>
      <c r="H75" t="s">
        <v>139</v>
      </c>
      <c r="I75" t="s">
        <v>352</v>
      </c>
      <c r="J75" t="b">
        <v>0</v>
      </c>
      <c r="K75" t="s">
        <v>6</v>
      </c>
      <c r="L75" t="s">
        <v>353</v>
      </c>
      <c r="M75">
        <v>4</v>
      </c>
      <c r="N75" t="s">
        <v>9447</v>
      </c>
      <c r="P75" s="32" t="str">
        <f t="shared" si="2"/>
        <v>https://app.thedigitalbiblelibrary.org/entry?id=98d1c5bee401f80c</v>
      </c>
      <c r="Q75" t="str">
        <f>IF(ISERROR(VLOOKUP(G75, STEP!E:E, 1, FALSE)), "N", "")</f>
        <v>N</v>
      </c>
      <c r="R75" s="33"/>
      <c r="S75" s="34">
        <v>44260</v>
      </c>
    </row>
    <row r="76" spans="1:19" x14ac:dyDescent="0.25">
      <c r="A76" t="s">
        <v>407</v>
      </c>
      <c r="B76" t="b">
        <v>0</v>
      </c>
      <c r="C76" t="s">
        <v>1</v>
      </c>
      <c r="D76" t="b">
        <v>0</v>
      </c>
      <c r="E76" s="32" t="s">
        <v>409</v>
      </c>
      <c r="F76" s="39" t="s">
        <v>9482</v>
      </c>
      <c r="G76" t="s">
        <v>3</v>
      </c>
      <c r="H76" t="s">
        <v>20</v>
      </c>
      <c r="I76" t="s">
        <v>5</v>
      </c>
      <c r="J76" t="b">
        <v>0</v>
      </c>
      <c r="K76" t="s">
        <v>6</v>
      </c>
      <c r="L76" t="s">
        <v>408</v>
      </c>
      <c r="M76">
        <v>3</v>
      </c>
      <c r="N76" t="s">
        <v>9445</v>
      </c>
      <c r="P76" s="32" t="str">
        <f t="shared" si="2"/>
        <v>https://app.thedigitalbiblelibrary.org/entry?id=bb3df4b7c8587c77</v>
      </c>
      <c r="Q76" t="str">
        <f>IF(ISERROR(VLOOKUP(G76, STEP!E:E, 1, FALSE)), "N", "")</f>
        <v>N</v>
      </c>
      <c r="R76" s="33"/>
      <c r="S76" s="34">
        <v>44260</v>
      </c>
    </row>
    <row r="77" spans="1:19" x14ac:dyDescent="0.25">
      <c r="A77" t="s">
        <v>322</v>
      </c>
      <c r="B77" t="b">
        <v>0</v>
      </c>
      <c r="C77" t="s">
        <v>1</v>
      </c>
      <c r="D77" t="b">
        <v>0</v>
      </c>
      <c r="E77" s="32" t="s">
        <v>323</v>
      </c>
      <c r="F77" s="39" t="s">
        <v>9483</v>
      </c>
      <c r="G77" t="s">
        <v>3</v>
      </c>
      <c r="H77" t="s">
        <v>20</v>
      </c>
      <c r="I77" t="s">
        <v>5</v>
      </c>
      <c r="J77" t="b">
        <v>1</v>
      </c>
      <c r="K77" t="s">
        <v>6</v>
      </c>
      <c r="L77" t="s">
        <v>324</v>
      </c>
      <c r="M77">
        <v>2</v>
      </c>
      <c r="N77" t="s">
        <v>9445</v>
      </c>
      <c r="P77" s="32" t="str">
        <f t="shared" si="2"/>
        <v>https://app.thedigitalbiblelibrary.org/entry?id=8d1ad2c921d811c3</v>
      </c>
      <c r="Q77" t="str">
        <f>IF(ISERROR(VLOOKUP(G77, STEP!E:E, 1, FALSE)), "N", "")</f>
        <v>N</v>
      </c>
      <c r="R77" s="33"/>
      <c r="S77" s="34">
        <v>44260</v>
      </c>
    </row>
    <row r="78" spans="1:19" x14ac:dyDescent="0.25">
      <c r="A78" t="s">
        <v>336</v>
      </c>
      <c r="B78" t="b">
        <v>0</v>
      </c>
      <c r="C78" t="s">
        <v>1</v>
      </c>
      <c r="D78" t="b">
        <v>0</v>
      </c>
      <c r="E78" s="32" t="s">
        <v>337</v>
      </c>
      <c r="F78" s="39" t="s">
        <v>9484</v>
      </c>
      <c r="G78" t="s">
        <v>3</v>
      </c>
      <c r="H78" t="s">
        <v>20</v>
      </c>
      <c r="I78" t="s">
        <v>5</v>
      </c>
      <c r="J78" t="b">
        <v>1</v>
      </c>
      <c r="K78" t="s">
        <v>6</v>
      </c>
      <c r="L78" t="s">
        <v>338</v>
      </c>
      <c r="M78">
        <v>1</v>
      </c>
      <c r="N78" t="s">
        <v>9445</v>
      </c>
      <c r="P78" s="32" t="str">
        <f t="shared" si="2"/>
        <v>https://app.thedigitalbiblelibrary.org/entry?id=9449d4ad98193779</v>
      </c>
      <c r="Q78" t="str">
        <f>IF(ISERROR(VLOOKUP(G78, STEP!E:E, 1, FALSE)), "N", "")</f>
        <v>N</v>
      </c>
      <c r="R78" s="33"/>
      <c r="S78" s="34">
        <v>44260</v>
      </c>
    </row>
    <row r="79" spans="1:19" x14ac:dyDescent="0.25">
      <c r="A79" t="s">
        <v>149</v>
      </c>
      <c r="B79" t="b">
        <v>0</v>
      </c>
      <c r="C79" t="s">
        <v>1</v>
      </c>
      <c r="D79" t="b">
        <v>0</v>
      </c>
      <c r="E79" s="32" t="s">
        <v>150</v>
      </c>
      <c r="F79" s="39" t="s">
        <v>9485</v>
      </c>
      <c r="G79" t="s">
        <v>3</v>
      </c>
      <c r="H79" t="s">
        <v>20</v>
      </c>
      <c r="I79" t="s">
        <v>5</v>
      </c>
      <c r="J79" t="b">
        <v>1</v>
      </c>
      <c r="K79" t="s">
        <v>6</v>
      </c>
      <c r="L79" t="s">
        <v>151</v>
      </c>
      <c r="M79">
        <v>1</v>
      </c>
      <c r="N79" t="s">
        <v>9445</v>
      </c>
      <c r="P79" s="32" t="str">
        <f t="shared" si="2"/>
        <v>https://app.thedigitalbiblelibrary.org/entry?id=33b6449cacf22773</v>
      </c>
      <c r="Q79" t="str">
        <f>IF(ISERROR(VLOOKUP(G79, STEP!E:E, 1, FALSE)), "N", "")</f>
        <v>N</v>
      </c>
      <c r="R79" s="33"/>
      <c r="S79" s="34">
        <v>44260</v>
      </c>
    </row>
    <row r="80" spans="1:19" x14ac:dyDescent="0.25">
      <c r="A80" t="s">
        <v>502</v>
      </c>
      <c r="B80" t="b">
        <v>0</v>
      </c>
      <c r="C80" t="s">
        <v>1</v>
      </c>
      <c r="D80" t="b">
        <v>0</v>
      </c>
      <c r="E80" s="32" t="s">
        <v>504</v>
      </c>
      <c r="F80" s="39" t="s">
        <v>9486</v>
      </c>
      <c r="G80" t="s">
        <v>3</v>
      </c>
      <c r="H80" t="s">
        <v>20</v>
      </c>
      <c r="I80" t="s">
        <v>5</v>
      </c>
      <c r="J80" t="b">
        <v>0</v>
      </c>
      <c r="K80" t="s">
        <v>6</v>
      </c>
      <c r="L80" t="s">
        <v>503</v>
      </c>
      <c r="M80">
        <v>6</v>
      </c>
      <c r="N80" t="s">
        <v>9445</v>
      </c>
      <c r="P80" s="32" t="str">
        <f t="shared" si="2"/>
        <v>https://app.thedigitalbiblelibrary.org/entry?id=e8b40ccabe793c0d</v>
      </c>
      <c r="Q80" t="str">
        <f>IF(ISERROR(VLOOKUP(G80, STEP!E:E, 1, FALSE)), "N", "")</f>
        <v>N</v>
      </c>
      <c r="R80" s="33"/>
      <c r="S80" s="34">
        <v>44260</v>
      </c>
    </row>
    <row r="81" spans="1:19" x14ac:dyDescent="0.25">
      <c r="A81" t="s">
        <v>510</v>
      </c>
      <c r="B81" t="b">
        <v>0</v>
      </c>
      <c r="C81" t="s">
        <v>1</v>
      </c>
      <c r="D81" t="b">
        <v>0</v>
      </c>
      <c r="E81" s="32" t="s">
        <v>511</v>
      </c>
      <c r="F81" s="39" t="s">
        <v>9487</v>
      </c>
      <c r="G81" t="s">
        <v>3</v>
      </c>
      <c r="H81" t="s">
        <v>20</v>
      </c>
      <c r="I81" t="s">
        <v>5</v>
      </c>
      <c r="J81" t="b">
        <v>1</v>
      </c>
      <c r="K81" t="s">
        <v>6</v>
      </c>
      <c r="L81" t="s">
        <v>512</v>
      </c>
      <c r="M81">
        <v>1</v>
      </c>
      <c r="N81" t="s">
        <v>9445</v>
      </c>
      <c r="P81" s="32" t="str">
        <f t="shared" si="2"/>
        <v>https://app.thedigitalbiblelibrary.org/entry?id=e9ea572977b4f504</v>
      </c>
      <c r="Q81" t="str">
        <f>IF(ISERROR(VLOOKUP(G81, STEP!E:E, 1, FALSE)), "N", "")</f>
        <v>N</v>
      </c>
      <c r="R81" s="33"/>
      <c r="S81" s="34">
        <v>44260</v>
      </c>
    </row>
    <row r="82" spans="1:19" x14ac:dyDescent="0.25">
      <c r="A82" t="s">
        <v>308</v>
      </c>
      <c r="B82" t="b">
        <v>0</v>
      </c>
      <c r="C82" t="s">
        <v>1</v>
      </c>
      <c r="D82" t="b">
        <v>0</v>
      </c>
      <c r="E82" s="32" t="s">
        <v>309</v>
      </c>
      <c r="F82" s="39" t="s">
        <v>9488</v>
      </c>
      <c r="G82" t="s">
        <v>3</v>
      </c>
      <c r="H82" t="s">
        <v>20</v>
      </c>
      <c r="I82" t="s">
        <v>5</v>
      </c>
      <c r="J82" t="b">
        <v>1</v>
      </c>
      <c r="K82" t="s">
        <v>6</v>
      </c>
      <c r="L82" t="s">
        <v>310</v>
      </c>
      <c r="M82">
        <v>1</v>
      </c>
      <c r="N82" t="s">
        <v>9445</v>
      </c>
      <c r="P82" s="32" t="str">
        <f t="shared" si="2"/>
        <v>https://app.thedigitalbiblelibrary.org/entry?id=89007ccbb2eb5187</v>
      </c>
      <c r="Q82" t="str">
        <f>IF(ISERROR(VLOOKUP(G82, STEP!E:E, 1, FALSE)), "N", "")</f>
        <v>N</v>
      </c>
      <c r="R82" s="33"/>
      <c r="S82" s="34">
        <v>44260</v>
      </c>
    </row>
    <row r="83" spans="1:19" x14ac:dyDescent="0.25">
      <c r="A83" t="s">
        <v>41</v>
      </c>
      <c r="B83" t="b">
        <v>0</v>
      </c>
      <c r="C83" t="s">
        <v>1</v>
      </c>
      <c r="D83" t="b">
        <v>0</v>
      </c>
      <c r="E83" s="32" t="s">
        <v>42</v>
      </c>
      <c r="F83" s="39" t="s">
        <v>9489</v>
      </c>
      <c r="G83" t="s">
        <v>3</v>
      </c>
      <c r="H83" t="s">
        <v>20</v>
      </c>
      <c r="I83" t="s">
        <v>5</v>
      </c>
      <c r="J83" t="b">
        <v>1</v>
      </c>
      <c r="K83" t="s">
        <v>6</v>
      </c>
      <c r="L83" t="s">
        <v>43</v>
      </c>
      <c r="M83">
        <v>1</v>
      </c>
      <c r="N83" t="s">
        <v>9445</v>
      </c>
      <c r="P83" s="32" t="str">
        <f t="shared" si="2"/>
        <v>https://app.thedigitalbiblelibrary.org/entry?id=0b07fcef627a2db2</v>
      </c>
      <c r="Q83" t="str">
        <f>IF(ISERROR(VLOOKUP(G83, STEP!E:E, 1, FALSE)), "N", "")</f>
        <v>N</v>
      </c>
      <c r="R83" s="33"/>
      <c r="S83" s="34">
        <v>44260</v>
      </c>
    </row>
    <row r="84" spans="1:19" x14ac:dyDescent="0.25">
      <c r="A84" t="s">
        <v>461</v>
      </c>
      <c r="B84" t="b">
        <v>0</v>
      </c>
      <c r="C84" t="s">
        <v>1</v>
      </c>
      <c r="D84" t="b">
        <v>0</v>
      </c>
      <c r="E84" s="32" t="s">
        <v>462</v>
      </c>
      <c r="F84" s="39" t="s">
        <v>9490</v>
      </c>
      <c r="G84" t="s">
        <v>3</v>
      </c>
      <c r="H84" t="s">
        <v>20</v>
      </c>
      <c r="I84" t="s">
        <v>5</v>
      </c>
      <c r="J84" t="b">
        <v>1</v>
      </c>
      <c r="K84" t="s">
        <v>6</v>
      </c>
      <c r="L84" t="s">
        <v>463</v>
      </c>
      <c r="M84">
        <v>1</v>
      </c>
      <c r="N84" t="s">
        <v>9445</v>
      </c>
      <c r="P84" s="32" t="str">
        <f t="shared" si="2"/>
        <v>https://app.thedigitalbiblelibrary.org/entry?id=d4599ff3c6b97f3a</v>
      </c>
      <c r="Q84" t="str">
        <f>IF(ISERROR(VLOOKUP(G84, STEP!E:E, 1, FALSE)), "N", "")</f>
        <v>N</v>
      </c>
      <c r="R84" s="33"/>
      <c r="S84" s="34">
        <v>44260</v>
      </c>
    </row>
    <row r="85" spans="1:19" x14ac:dyDescent="0.25">
      <c r="A85" t="s">
        <v>286</v>
      </c>
      <c r="B85" t="b">
        <v>0</v>
      </c>
      <c r="C85" t="s">
        <v>1</v>
      </c>
      <c r="D85" t="b">
        <v>0</v>
      </c>
      <c r="E85" s="32" t="s">
        <v>287</v>
      </c>
      <c r="F85" s="39" t="s">
        <v>9491</v>
      </c>
      <c r="G85" t="s">
        <v>3</v>
      </c>
      <c r="H85" t="s">
        <v>20</v>
      </c>
      <c r="I85" t="s">
        <v>5</v>
      </c>
      <c r="J85" t="b">
        <v>1</v>
      </c>
      <c r="K85" t="s">
        <v>6</v>
      </c>
      <c r="L85" t="s">
        <v>288</v>
      </c>
      <c r="M85">
        <v>1</v>
      </c>
      <c r="N85" t="s">
        <v>9445</v>
      </c>
      <c r="P85" s="32" t="str">
        <f t="shared" si="2"/>
        <v>https://app.thedigitalbiblelibrary.org/entry?id=6bc5ae3d6dd9009a</v>
      </c>
      <c r="Q85" t="str">
        <f>IF(ISERROR(VLOOKUP(G85, STEP!E:E, 1, FALSE)), "N", "")</f>
        <v>N</v>
      </c>
      <c r="R85" s="33"/>
      <c r="S85" s="34">
        <v>44260</v>
      </c>
    </row>
    <row r="86" spans="1:19" x14ac:dyDescent="0.25">
      <c r="A86" t="s">
        <v>429</v>
      </c>
      <c r="B86" t="b">
        <v>0</v>
      </c>
      <c r="C86" t="s">
        <v>1</v>
      </c>
      <c r="D86" t="b">
        <v>0</v>
      </c>
      <c r="E86" s="32" t="s">
        <v>430</v>
      </c>
      <c r="F86" s="39" t="s">
        <v>9492</v>
      </c>
      <c r="G86" t="s">
        <v>3</v>
      </c>
      <c r="H86" t="s">
        <v>20</v>
      </c>
      <c r="I86" t="s">
        <v>5</v>
      </c>
      <c r="J86" t="b">
        <v>1</v>
      </c>
      <c r="K86" t="s">
        <v>6</v>
      </c>
      <c r="L86" t="s">
        <v>431</v>
      </c>
      <c r="M86">
        <v>1</v>
      </c>
      <c r="N86" t="s">
        <v>9445</v>
      </c>
      <c r="P86" s="32" t="str">
        <f t="shared" si="2"/>
        <v>https://app.thedigitalbiblelibrary.org/entry?id=c1f49ed98a65a544</v>
      </c>
      <c r="Q86" t="str">
        <f>IF(ISERROR(VLOOKUP(G86, STEP!E:E, 1, FALSE)), "N", "")</f>
        <v>N</v>
      </c>
      <c r="R86" s="33"/>
      <c r="S86" s="34">
        <v>44260</v>
      </c>
    </row>
    <row r="87" spans="1:19" x14ac:dyDescent="0.25">
      <c r="A87" t="s">
        <v>282</v>
      </c>
      <c r="B87" t="b">
        <v>0</v>
      </c>
      <c r="C87" t="s">
        <v>1</v>
      </c>
      <c r="D87" t="b">
        <v>0</v>
      </c>
      <c r="E87" s="32" t="s">
        <v>283</v>
      </c>
      <c r="F87" s="39" t="s">
        <v>9493</v>
      </c>
      <c r="G87" t="s">
        <v>3</v>
      </c>
      <c r="H87" t="s">
        <v>284</v>
      </c>
      <c r="I87" t="s">
        <v>5</v>
      </c>
      <c r="J87" t="b">
        <v>1</v>
      </c>
      <c r="K87" t="s">
        <v>6</v>
      </c>
      <c r="L87" t="s">
        <v>285</v>
      </c>
      <c r="M87">
        <v>1</v>
      </c>
      <c r="N87" t="s">
        <v>9445</v>
      </c>
      <c r="P87" s="32" t="str">
        <f t="shared" si="2"/>
        <v>https://app.thedigitalbiblelibrary.org/entry?id=6bb8b0fa7aca67c6</v>
      </c>
      <c r="Q87" t="str">
        <f>IF(ISERROR(VLOOKUP(G87, STEP!E:E, 1, FALSE)), "N", "")</f>
        <v>N</v>
      </c>
      <c r="R87" s="33"/>
      <c r="S87" s="34">
        <v>44260</v>
      </c>
    </row>
    <row r="88" spans="1:19" x14ac:dyDescent="0.25">
      <c r="A88" t="s">
        <v>58</v>
      </c>
      <c r="B88" t="b">
        <v>0</v>
      </c>
      <c r="C88" t="s">
        <v>1</v>
      </c>
      <c r="D88" t="b">
        <v>0</v>
      </c>
      <c r="E88" s="32" t="s">
        <v>59</v>
      </c>
      <c r="F88" s="39" t="s">
        <v>9494</v>
      </c>
      <c r="G88" t="s">
        <v>3</v>
      </c>
      <c r="H88" t="s">
        <v>20</v>
      </c>
      <c r="I88" t="s">
        <v>5</v>
      </c>
      <c r="J88" t="b">
        <v>1</v>
      </c>
      <c r="K88" t="s">
        <v>6</v>
      </c>
      <c r="L88" t="s">
        <v>60</v>
      </c>
      <c r="M88">
        <v>1</v>
      </c>
      <c r="N88" t="s">
        <v>9445</v>
      </c>
      <c r="P88" s="32" t="str">
        <f t="shared" si="2"/>
        <v>https://app.thedigitalbiblelibrary.org/entry?id=119375d97b57cf04</v>
      </c>
      <c r="Q88" t="str">
        <f>IF(ISERROR(VLOOKUP(G88, STEP!E:E, 1, FALSE)), "N", "")</f>
        <v>N</v>
      </c>
      <c r="R88" s="33"/>
      <c r="S88" s="34">
        <v>44260</v>
      </c>
    </row>
    <row r="89" spans="1:19" x14ac:dyDescent="0.25">
      <c r="A89" t="s">
        <v>240</v>
      </c>
      <c r="B89" t="b">
        <v>0</v>
      </c>
      <c r="C89" t="s">
        <v>1</v>
      </c>
      <c r="D89" t="b">
        <v>0</v>
      </c>
      <c r="E89" s="32" t="s">
        <v>241</v>
      </c>
      <c r="F89" s="39" t="s">
        <v>9495</v>
      </c>
      <c r="G89" t="s">
        <v>3</v>
      </c>
      <c r="H89" t="s">
        <v>20</v>
      </c>
      <c r="I89" t="s">
        <v>5</v>
      </c>
      <c r="J89" t="b">
        <v>1</v>
      </c>
      <c r="K89" t="s">
        <v>6</v>
      </c>
      <c r="L89" t="s">
        <v>242</v>
      </c>
      <c r="M89">
        <v>1</v>
      </c>
      <c r="N89" t="s">
        <v>9445</v>
      </c>
      <c r="P89" s="32" t="str">
        <f t="shared" si="2"/>
        <v>https://app.thedigitalbiblelibrary.org/entry?id=5a27fd2a2de187c8</v>
      </c>
      <c r="Q89" t="str">
        <f>IF(ISERROR(VLOOKUP(G89, STEP!E:E, 1, FALSE)), "N", "")</f>
        <v>N</v>
      </c>
      <c r="R89" s="33"/>
      <c r="S89" s="34">
        <v>44260</v>
      </c>
    </row>
    <row r="90" spans="1:19" x14ac:dyDescent="0.25">
      <c r="A90" t="s">
        <v>38</v>
      </c>
      <c r="B90" t="b">
        <v>0</v>
      </c>
      <c r="C90" t="s">
        <v>1</v>
      </c>
      <c r="D90" t="b">
        <v>0</v>
      </c>
      <c r="E90" s="32" t="s">
        <v>39</v>
      </c>
      <c r="F90" s="39" t="s">
        <v>9496</v>
      </c>
      <c r="G90" t="s">
        <v>3</v>
      </c>
      <c r="H90" t="s">
        <v>20</v>
      </c>
      <c r="I90" t="s">
        <v>5</v>
      </c>
      <c r="J90" t="b">
        <v>1</v>
      </c>
      <c r="K90" t="s">
        <v>6</v>
      </c>
      <c r="L90" t="s">
        <v>40</v>
      </c>
      <c r="M90">
        <v>1</v>
      </c>
      <c r="N90" t="s">
        <v>9445</v>
      </c>
      <c r="P90" s="32" t="str">
        <f t="shared" si="2"/>
        <v>https://app.thedigitalbiblelibrary.org/entry?id=07225eadadcb079a</v>
      </c>
      <c r="Q90" t="str">
        <f>IF(ISERROR(VLOOKUP(G90, STEP!E:E, 1, FALSE)), "N", "")</f>
        <v>N</v>
      </c>
      <c r="R90" s="33"/>
      <c r="S90" s="34">
        <v>44260</v>
      </c>
    </row>
    <row r="91" spans="1:19" x14ac:dyDescent="0.25">
      <c r="A91" t="s">
        <v>96</v>
      </c>
      <c r="B91" t="b">
        <v>0</v>
      </c>
      <c r="C91" t="s">
        <v>1</v>
      </c>
      <c r="D91" t="b">
        <v>0</v>
      </c>
      <c r="E91" s="32" t="s">
        <v>97</v>
      </c>
      <c r="F91" s="39" t="s">
        <v>9497</v>
      </c>
      <c r="G91" t="s">
        <v>3</v>
      </c>
      <c r="H91" t="s">
        <v>98</v>
      </c>
      <c r="I91" t="s">
        <v>5</v>
      </c>
      <c r="J91" t="b">
        <v>1</v>
      </c>
      <c r="K91" t="s">
        <v>6</v>
      </c>
      <c r="L91" t="s">
        <v>99</v>
      </c>
      <c r="M91">
        <v>1</v>
      </c>
      <c r="N91" t="s">
        <v>9445</v>
      </c>
      <c r="P91" s="32" t="str">
        <f t="shared" si="2"/>
        <v>https://app.thedigitalbiblelibrary.org/entry?id=2c2cf8df5a22a46e</v>
      </c>
      <c r="Q91" t="str">
        <f>IF(ISERROR(VLOOKUP(G91, STEP!E:E, 1, FALSE)), "N", "")</f>
        <v>N</v>
      </c>
      <c r="R91" s="33"/>
      <c r="S91" s="34">
        <v>44260</v>
      </c>
    </row>
    <row r="92" spans="1:19" x14ac:dyDescent="0.25">
      <c r="A92" t="s">
        <v>61</v>
      </c>
      <c r="B92" t="b">
        <v>0</v>
      </c>
      <c r="C92" t="s">
        <v>1</v>
      </c>
      <c r="D92" t="b">
        <v>0</v>
      </c>
      <c r="E92" s="32" t="s">
        <v>62</v>
      </c>
      <c r="F92" s="39" t="s">
        <v>9498</v>
      </c>
      <c r="G92" t="s">
        <v>3</v>
      </c>
      <c r="H92" t="s">
        <v>20</v>
      </c>
      <c r="I92" t="s">
        <v>5</v>
      </c>
      <c r="J92" t="b">
        <v>1</v>
      </c>
      <c r="K92" t="s">
        <v>6</v>
      </c>
      <c r="L92" t="s">
        <v>63</v>
      </c>
      <c r="M92">
        <v>2</v>
      </c>
      <c r="N92" t="s">
        <v>9445</v>
      </c>
      <c r="P92" s="32" t="str">
        <f t="shared" si="2"/>
        <v>https://app.thedigitalbiblelibrary.org/entry?id=143e0e03cf5b12ae</v>
      </c>
      <c r="Q92" t="str">
        <f>IF(ISERROR(VLOOKUP(G92, STEP!E:E, 1, FALSE)), "N", "")</f>
        <v>N</v>
      </c>
      <c r="R92" s="33"/>
      <c r="S92" s="34">
        <v>44260</v>
      </c>
    </row>
    <row r="93" spans="1:19" x14ac:dyDescent="0.25">
      <c r="A93" t="s">
        <v>377</v>
      </c>
      <c r="B93" t="b">
        <v>0</v>
      </c>
      <c r="C93" t="s">
        <v>1</v>
      </c>
      <c r="D93" t="b">
        <v>0</v>
      </c>
      <c r="E93" s="32" t="s">
        <v>378</v>
      </c>
      <c r="F93" s="39" t="s">
        <v>9499</v>
      </c>
      <c r="G93" t="s">
        <v>3</v>
      </c>
      <c r="H93" t="s">
        <v>20</v>
      </c>
      <c r="I93" t="s">
        <v>5</v>
      </c>
      <c r="J93" t="b">
        <v>1</v>
      </c>
      <c r="K93" t="s">
        <v>6</v>
      </c>
      <c r="L93" t="s">
        <v>379</v>
      </c>
      <c r="M93">
        <v>1</v>
      </c>
      <c r="N93" t="s">
        <v>9445</v>
      </c>
      <c r="P93" s="32" t="str">
        <f t="shared" si="2"/>
        <v>https://app.thedigitalbiblelibrary.org/entry?id=aa146959e1d39b78</v>
      </c>
      <c r="Q93" t="str">
        <f>IF(ISERROR(VLOOKUP(G93, STEP!E:E, 1, FALSE)), "N", "")</f>
        <v>N</v>
      </c>
      <c r="R93" s="33"/>
      <c r="S93" s="34">
        <v>44260</v>
      </c>
    </row>
    <row r="94" spans="1:19" x14ac:dyDescent="0.25">
      <c r="A94" t="s">
        <v>123</v>
      </c>
      <c r="B94" t="b">
        <v>0</v>
      </c>
      <c r="C94" t="s">
        <v>1</v>
      </c>
      <c r="D94" t="b">
        <v>0</v>
      </c>
      <c r="E94" s="32" t="s">
        <v>124</v>
      </c>
      <c r="F94" s="39" t="s">
        <v>9500</v>
      </c>
      <c r="G94" t="s">
        <v>3</v>
      </c>
      <c r="H94" t="s">
        <v>115</v>
      </c>
      <c r="I94" t="s">
        <v>5</v>
      </c>
      <c r="J94" t="b">
        <v>1</v>
      </c>
      <c r="K94" t="s">
        <v>6</v>
      </c>
      <c r="L94" t="s">
        <v>125</v>
      </c>
      <c r="M94">
        <v>1</v>
      </c>
      <c r="N94" t="s">
        <v>9445</v>
      </c>
      <c r="P94" s="32" t="str">
        <f t="shared" si="2"/>
        <v>https://app.thedigitalbiblelibrary.org/entry?id=306d6ab1ca333a1e</v>
      </c>
      <c r="Q94" t="str">
        <f>IF(ISERROR(VLOOKUP(G94, STEP!E:E, 1, FALSE)), "N", "")</f>
        <v>N</v>
      </c>
      <c r="R94" s="33"/>
      <c r="S94" s="34">
        <v>44260</v>
      </c>
    </row>
    <row r="95" spans="1:19" x14ac:dyDescent="0.25">
      <c r="A95" t="s">
        <v>0</v>
      </c>
      <c r="B95" t="b">
        <v>0</v>
      </c>
      <c r="C95" t="s">
        <v>1</v>
      </c>
      <c r="D95" t="b">
        <v>0</v>
      </c>
      <c r="E95" s="32" t="s">
        <v>2</v>
      </c>
      <c r="F95" s="39" t="s">
        <v>9501</v>
      </c>
      <c r="G95" t="s">
        <v>3</v>
      </c>
      <c r="H95" t="s">
        <v>4</v>
      </c>
      <c r="I95" t="s">
        <v>5</v>
      </c>
      <c r="J95" t="b">
        <v>1</v>
      </c>
      <c r="K95" t="s">
        <v>6</v>
      </c>
      <c r="L95" t="s">
        <v>7</v>
      </c>
      <c r="M95">
        <v>1</v>
      </c>
      <c r="N95" t="s">
        <v>9445</v>
      </c>
      <c r="P95" s="32" t="str">
        <f t="shared" si="2"/>
        <v>https://app.thedigitalbiblelibrary.org/entry?id=018ff00d7f55cbc1</v>
      </c>
      <c r="Q95" t="str">
        <f>IF(ISERROR(VLOOKUP(G95, STEP!E:E, 1, FALSE)), "N", "")</f>
        <v>N</v>
      </c>
      <c r="R95" s="33"/>
      <c r="S95" s="34">
        <v>44260</v>
      </c>
    </row>
    <row r="96" spans="1:19" x14ac:dyDescent="0.25">
      <c r="A96" t="s">
        <v>212</v>
      </c>
      <c r="B96" t="b">
        <v>0</v>
      </c>
      <c r="C96" t="s">
        <v>1</v>
      </c>
      <c r="D96" t="b">
        <v>0</v>
      </c>
      <c r="E96" s="32" t="s">
        <v>213</v>
      </c>
      <c r="F96" s="39" t="s">
        <v>9502</v>
      </c>
      <c r="G96" t="s">
        <v>3</v>
      </c>
      <c r="H96" t="s">
        <v>20</v>
      </c>
      <c r="I96" t="s">
        <v>5</v>
      </c>
      <c r="J96" t="b">
        <v>1</v>
      </c>
      <c r="K96" t="s">
        <v>6</v>
      </c>
      <c r="L96" t="s">
        <v>214</v>
      </c>
      <c r="M96">
        <v>2</v>
      </c>
      <c r="N96" t="s">
        <v>9445</v>
      </c>
      <c r="P96" s="32" t="str">
        <f t="shared" si="2"/>
        <v>https://app.thedigitalbiblelibrary.org/entry?id=51b16e0b4b7c9825</v>
      </c>
      <c r="Q96" t="str">
        <f>IF(ISERROR(VLOOKUP(G96, STEP!E:E, 1, FALSE)), "N", "")</f>
        <v>N</v>
      </c>
      <c r="R96" s="33"/>
      <c r="S96" s="34">
        <v>44260</v>
      </c>
    </row>
    <row r="97" spans="1:19" x14ac:dyDescent="0.25">
      <c r="A97" t="s">
        <v>355</v>
      </c>
      <c r="B97" t="b">
        <v>0</v>
      </c>
      <c r="C97" t="s">
        <v>1</v>
      </c>
      <c r="D97" t="b">
        <v>0</v>
      </c>
      <c r="E97" s="32" t="s">
        <v>356</v>
      </c>
      <c r="F97" s="39" t="s">
        <v>9503</v>
      </c>
      <c r="G97" t="s">
        <v>3</v>
      </c>
      <c r="H97" t="s">
        <v>20</v>
      </c>
      <c r="I97" t="s">
        <v>5</v>
      </c>
      <c r="J97" t="b">
        <v>1</v>
      </c>
      <c r="K97" t="s">
        <v>6</v>
      </c>
      <c r="L97" t="s">
        <v>357</v>
      </c>
      <c r="M97">
        <v>1</v>
      </c>
      <c r="N97" t="s">
        <v>9445</v>
      </c>
      <c r="P97" s="32" t="str">
        <f t="shared" si="2"/>
        <v>https://app.thedigitalbiblelibrary.org/entry?id=9a875168ff4df1a3</v>
      </c>
      <c r="Q97" t="str">
        <f>IF(ISERROR(VLOOKUP(G97, STEP!E:E, 1, FALSE)), "N", "")</f>
        <v>N</v>
      </c>
      <c r="R97" s="33"/>
      <c r="S97" s="34">
        <v>44260</v>
      </c>
    </row>
    <row r="98" spans="1:19" x14ac:dyDescent="0.25">
      <c r="A98" t="s">
        <v>540</v>
      </c>
      <c r="B98" t="b">
        <v>1</v>
      </c>
      <c r="C98" t="s">
        <v>45</v>
      </c>
      <c r="D98" t="b">
        <v>0</v>
      </c>
      <c r="E98" s="32" t="s">
        <v>541</v>
      </c>
      <c r="F98" s="39" t="s">
        <v>9504</v>
      </c>
      <c r="G98" t="s">
        <v>542</v>
      </c>
      <c r="H98" t="s">
        <v>383</v>
      </c>
      <c r="I98" t="s">
        <v>543</v>
      </c>
      <c r="J98" t="b">
        <v>1</v>
      </c>
      <c r="K98" t="s">
        <v>6</v>
      </c>
      <c r="L98" t="s">
        <v>544</v>
      </c>
      <c r="M98">
        <v>1</v>
      </c>
      <c r="N98" t="s">
        <v>9448</v>
      </c>
      <c r="P98" s="32" t="str">
        <f t="shared" ref="P98:P121" si="3">"https://app.thedigitalbiblelibrary.org/entry?id=" &amp; L98</f>
        <v>https://app.thedigitalbiblelibrary.org/entry?id=f95e2d9b384f8e6e</v>
      </c>
      <c r="Q98" t="str">
        <f>IF(ISERROR(VLOOKUP(G98, STEP!E:E, 1, FALSE)), "N", "")</f>
        <v>N</v>
      </c>
      <c r="R98" s="33"/>
      <c r="S98" s="34">
        <v>44260</v>
      </c>
    </row>
    <row r="99" spans="1:19" x14ac:dyDescent="0.25">
      <c r="A99" t="s">
        <v>237</v>
      </c>
      <c r="B99" t="b">
        <v>0</v>
      </c>
      <c r="C99" t="s">
        <v>183</v>
      </c>
      <c r="D99" t="b">
        <v>0</v>
      </c>
      <c r="E99" s="32" t="s">
        <v>238</v>
      </c>
      <c r="F99" s="39" t="s">
        <v>1653</v>
      </c>
      <c r="G99" t="s">
        <v>197</v>
      </c>
      <c r="H99" t="s">
        <v>121</v>
      </c>
      <c r="I99" t="s">
        <v>199</v>
      </c>
      <c r="J99" t="b">
        <v>1</v>
      </c>
      <c r="K99" t="s">
        <v>6</v>
      </c>
      <c r="L99" s="1" t="s">
        <v>239</v>
      </c>
      <c r="M99">
        <v>7</v>
      </c>
      <c r="N99" t="s">
        <v>9444</v>
      </c>
      <c r="P99" s="32" t="str">
        <f t="shared" si="3"/>
        <v>https://app.thedigitalbiblelibrary.org/entry?id=592420522e16049f</v>
      </c>
      <c r="Q99" t="str">
        <f>IF(ISERROR(VLOOKUP(G99, STEP!E:E, 1, FALSE)), "N", "")</f>
        <v/>
      </c>
      <c r="R99" s="33"/>
    </row>
    <row r="100" spans="1:19" x14ac:dyDescent="0.25">
      <c r="A100" t="s">
        <v>195</v>
      </c>
      <c r="B100" t="b">
        <v>0</v>
      </c>
      <c r="C100" t="s">
        <v>196</v>
      </c>
      <c r="D100" t="b">
        <v>0</v>
      </c>
      <c r="E100" s="32" t="s">
        <v>201</v>
      </c>
      <c r="F100" s="39" t="s">
        <v>1653</v>
      </c>
      <c r="G100" t="s">
        <v>197</v>
      </c>
      <c r="H100" t="s">
        <v>198</v>
      </c>
      <c r="I100" t="s">
        <v>199</v>
      </c>
      <c r="J100" t="b">
        <v>0</v>
      </c>
      <c r="K100" t="s">
        <v>6</v>
      </c>
      <c r="L100" t="s">
        <v>200</v>
      </c>
      <c r="M100">
        <v>2</v>
      </c>
      <c r="N100" t="s">
        <v>9447</v>
      </c>
      <c r="P100" s="32" t="str">
        <f t="shared" si="3"/>
        <v>https://app.thedigitalbiblelibrary.org/entry?id=482ddd53705278cc</v>
      </c>
      <c r="Q100" t="str">
        <f>IF(ISERROR(VLOOKUP(G100, STEP!E:E, 1, FALSE)), "N", "")</f>
        <v/>
      </c>
      <c r="R100" s="33"/>
    </row>
    <row r="101" spans="1:19" x14ac:dyDescent="0.25">
      <c r="A101" t="s">
        <v>91</v>
      </c>
      <c r="B101" t="b">
        <v>0</v>
      </c>
      <c r="C101" t="s">
        <v>45</v>
      </c>
      <c r="D101" t="b">
        <v>0</v>
      </c>
      <c r="E101" s="32" t="s">
        <v>92</v>
      </c>
      <c r="F101" s="39" t="s">
        <v>9505</v>
      </c>
      <c r="G101" t="s">
        <v>93</v>
      </c>
      <c r="H101" t="s">
        <v>48</v>
      </c>
      <c r="I101" t="s">
        <v>94</v>
      </c>
      <c r="J101" t="b">
        <v>1</v>
      </c>
      <c r="K101" t="s">
        <v>6</v>
      </c>
      <c r="L101" t="s">
        <v>95</v>
      </c>
      <c r="M101">
        <v>1</v>
      </c>
      <c r="N101" t="s">
        <v>9443</v>
      </c>
      <c r="P101" s="32" t="str">
        <f t="shared" si="3"/>
        <v>https://app.thedigitalbiblelibrary.org/entry?id=2a65010324d677b6</v>
      </c>
      <c r="Q101" t="str">
        <f>IF(ISERROR(VLOOKUP(G101, STEP!E:E, 1, FALSE)), "N", "")</f>
        <v>N</v>
      </c>
      <c r="R101" s="32"/>
      <c r="S101" s="34">
        <v>44260</v>
      </c>
    </row>
    <row r="102" spans="1:19" x14ac:dyDescent="0.25">
      <c r="A102" t="s">
        <v>32</v>
      </c>
      <c r="B102" t="b">
        <v>0</v>
      </c>
      <c r="C102" t="s">
        <v>24</v>
      </c>
      <c r="D102" t="b">
        <v>0</v>
      </c>
      <c r="E102" s="32" t="s">
        <v>33</v>
      </c>
      <c r="F102" s="39" t="s">
        <v>9506</v>
      </c>
      <c r="G102" t="s">
        <v>34</v>
      </c>
      <c r="H102" t="s">
        <v>35</v>
      </c>
      <c r="I102" t="s">
        <v>36</v>
      </c>
      <c r="J102" t="b">
        <v>1</v>
      </c>
      <c r="K102" t="s">
        <v>6</v>
      </c>
      <c r="L102" t="s">
        <v>37</v>
      </c>
      <c r="M102">
        <v>1</v>
      </c>
      <c r="N102" t="s">
        <v>9444</v>
      </c>
      <c r="P102" s="32" t="str">
        <f t="shared" si="3"/>
        <v>https://app.thedigitalbiblelibrary.org/entry?id=06995ce9cd23361b</v>
      </c>
      <c r="Q102" t="str">
        <f>IF(ISERROR(VLOOKUP(G102, STEP!E:E, 1, FALSE)), "N", "")</f>
        <v>N</v>
      </c>
      <c r="R102" s="33"/>
      <c r="S102" s="34">
        <v>44260</v>
      </c>
    </row>
    <row r="103" spans="1:19" x14ac:dyDescent="0.25">
      <c r="A103" t="s">
        <v>410</v>
      </c>
      <c r="B103" t="b">
        <v>0</v>
      </c>
      <c r="C103" t="s">
        <v>411</v>
      </c>
      <c r="D103" t="b">
        <v>0</v>
      </c>
      <c r="E103" s="32" t="s">
        <v>412</v>
      </c>
      <c r="F103" s="39" t="s">
        <v>9507</v>
      </c>
      <c r="G103" t="s">
        <v>101</v>
      </c>
      <c r="H103" t="s">
        <v>102</v>
      </c>
      <c r="I103" t="s">
        <v>103</v>
      </c>
      <c r="J103" t="b">
        <v>1</v>
      </c>
      <c r="K103" t="s">
        <v>6</v>
      </c>
      <c r="L103" t="s">
        <v>413</v>
      </c>
      <c r="M103">
        <v>5</v>
      </c>
      <c r="N103" t="s">
        <v>9443</v>
      </c>
      <c r="P103" s="32" t="str">
        <f t="shared" si="3"/>
        <v>https://app.thedigitalbiblelibrary.org/entry?id=bbeb583cd75c6356</v>
      </c>
      <c r="Q103" t="str">
        <f>IF(ISERROR(VLOOKUP(G103, STEP!E:E, 1, FALSE)), "N", "")</f>
        <v>N</v>
      </c>
      <c r="R103" s="33"/>
      <c r="S103" s="34">
        <v>44260</v>
      </c>
    </row>
    <row r="104" spans="1:19" x14ac:dyDescent="0.25">
      <c r="A104" t="s">
        <v>100</v>
      </c>
      <c r="B104" t="b">
        <v>0</v>
      </c>
      <c r="C104" t="s">
        <v>45</v>
      </c>
      <c r="D104" t="b">
        <v>0</v>
      </c>
      <c r="E104" s="32" t="s">
        <v>105</v>
      </c>
      <c r="F104" s="39" t="s">
        <v>9508</v>
      </c>
      <c r="G104" t="s">
        <v>101</v>
      </c>
      <c r="H104" t="s">
        <v>102</v>
      </c>
      <c r="I104" t="s">
        <v>103</v>
      </c>
      <c r="J104" t="b">
        <v>0</v>
      </c>
      <c r="K104" t="s">
        <v>6</v>
      </c>
      <c r="L104" t="s">
        <v>104</v>
      </c>
      <c r="M104">
        <v>6</v>
      </c>
      <c r="N104" t="s">
        <v>9443</v>
      </c>
      <c r="P104" s="32" t="str">
        <f t="shared" si="3"/>
        <v>https://app.thedigitalbiblelibrary.org/entry?id=2d5220a02a7aaac6</v>
      </c>
      <c r="Q104" t="str">
        <f>IF(ISERROR(VLOOKUP(G104, STEP!E:E, 1, FALSE)), "N", "")</f>
        <v>N</v>
      </c>
      <c r="R104" s="33"/>
      <c r="S104" s="34">
        <v>44260</v>
      </c>
    </row>
    <row r="105" spans="1:19" x14ac:dyDescent="0.25">
      <c r="A105" t="s">
        <v>545</v>
      </c>
      <c r="B105" t="b">
        <v>0</v>
      </c>
      <c r="C105" t="s">
        <v>545</v>
      </c>
      <c r="D105" t="b">
        <v>0</v>
      </c>
      <c r="E105" s="32" t="s">
        <v>550</v>
      </c>
      <c r="F105" s="39" t="s">
        <v>1653</v>
      </c>
      <c r="G105" t="s">
        <v>546</v>
      </c>
      <c r="H105" t="s">
        <v>547</v>
      </c>
      <c r="I105" t="s">
        <v>548</v>
      </c>
      <c r="J105" t="b">
        <v>0</v>
      </c>
      <c r="K105" t="s">
        <v>6</v>
      </c>
      <c r="L105" t="s">
        <v>549</v>
      </c>
      <c r="M105">
        <v>18</v>
      </c>
      <c r="N105" t="s">
        <v>9443</v>
      </c>
      <c r="P105" s="32" t="str">
        <f t="shared" si="3"/>
        <v>https://app.thedigitalbiblelibrary.org/entry?id=fa4317c59f0825e0</v>
      </c>
      <c r="Q105" t="str">
        <f>IF(ISERROR(VLOOKUP(G105, STEP!E:E, 1, FALSE)), "N", "")</f>
        <v/>
      </c>
      <c r="R105" s="33"/>
    </row>
    <row r="106" spans="1:19" x14ac:dyDescent="0.25">
      <c r="A106" t="s">
        <v>16</v>
      </c>
      <c r="B106" t="b">
        <v>0</v>
      </c>
      <c r="C106" t="s">
        <v>17</v>
      </c>
      <c r="D106" t="b">
        <v>0</v>
      </c>
      <c r="E106" s="32" t="s">
        <v>18</v>
      </c>
      <c r="F106" s="39" t="s">
        <v>1653</v>
      </c>
      <c r="G106" t="s">
        <v>19</v>
      </c>
      <c r="H106" t="s">
        <v>20</v>
      </c>
      <c r="I106" t="s">
        <v>21</v>
      </c>
      <c r="J106" t="b">
        <v>1</v>
      </c>
      <c r="K106" t="s">
        <v>6</v>
      </c>
      <c r="L106" t="s">
        <v>22</v>
      </c>
      <c r="M106">
        <v>1</v>
      </c>
      <c r="N106" t="s">
        <v>9445</v>
      </c>
      <c r="P106" s="32" t="str">
        <f t="shared" si="3"/>
        <v>https://app.thedigitalbiblelibrary.org/entry?id=03a021185023710b</v>
      </c>
      <c r="Q106" t="str">
        <f>IF(ISERROR(VLOOKUP(G106, STEP!E:E, 1, FALSE)), "N", "")</f>
        <v/>
      </c>
      <c r="R106" s="33"/>
    </row>
    <row r="107" spans="1:19" x14ac:dyDescent="0.25">
      <c r="A107" t="s">
        <v>325</v>
      </c>
      <c r="B107" t="b">
        <v>0</v>
      </c>
      <c r="C107" t="s">
        <v>45</v>
      </c>
      <c r="D107" t="b">
        <v>0</v>
      </c>
      <c r="E107" s="32" t="s">
        <v>329</v>
      </c>
      <c r="F107" s="39" t="s">
        <v>9509</v>
      </c>
      <c r="G107" t="s">
        <v>326</v>
      </c>
      <c r="H107" t="s">
        <v>48</v>
      </c>
      <c r="I107" t="s">
        <v>327</v>
      </c>
      <c r="J107" t="b">
        <v>0</v>
      </c>
      <c r="K107" t="s">
        <v>6</v>
      </c>
      <c r="L107" t="s">
        <v>328</v>
      </c>
      <c r="M107">
        <v>4</v>
      </c>
      <c r="N107" t="s">
        <v>9443</v>
      </c>
      <c r="P107" s="32" t="str">
        <f t="shared" si="3"/>
        <v>https://app.thedigitalbiblelibrary.org/entry?id=8e3b1a957009c6ca</v>
      </c>
      <c r="Q107" t="str">
        <f>IF(ISERROR(VLOOKUP(G107, STEP!E:E, 1, FALSE)), "N", "")</f>
        <v>N</v>
      </c>
      <c r="R107" s="33"/>
      <c r="S107" s="34">
        <v>44260</v>
      </c>
    </row>
    <row r="108" spans="1:19" x14ac:dyDescent="0.25">
      <c r="A108" t="s">
        <v>243</v>
      </c>
      <c r="B108" t="b">
        <v>0</v>
      </c>
      <c r="C108" t="s">
        <v>17</v>
      </c>
      <c r="D108" t="b">
        <v>0</v>
      </c>
      <c r="E108" s="32" t="s">
        <v>244</v>
      </c>
      <c r="F108" s="39" t="s">
        <v>1653</v>
      </c>
      <c r="G108" t="s">
        <v>245</v>
      </c>
      <c r="H108" t="s">
        <v>20</v>
      </c>
      <c r="I108" t="s">
        <v>246</v>
      </c>
      <c r="J108" t="b">
        <v>1</v>
      </c>
      <c r="K108" t="s">
        <v>6</v>
      </c>
      <c r="L108" t="s">
        <v>247</v>
      </c>
      <c r="M108">
        <v>1</v>
      </c>
      <c r="N108" t="s">
        <v>9445</v>
      </c>
      <c r="P108" s="32" t="str">
        <f t="shared" si="3"/>
        <v>https://app.thedigitalbiblelibrary.org/entry?id=5b835ce16a1703ff</v>
      </c>
      <c r="Q108" t="str">
        <f>IF(ISERROR(VLOOKUP(G108, STEP!E:E, 1, FALSE)), "N", "")</f>
        <v/>
      </c>
      <c r="R108" s="33"/>
    </row>
    <row r="109" spans="1:19" x14ac:dyDescent="0.25">
      <c r="A109" t="s">
        <v>113</v>
      </c>
      <c r="B109" t="b">
        <v>0</v>
      </c>
      <c r="C109" t="s">
        <v>24</v>
      </c>
      <c r="D109" t="b">
        <v>0</v>
      </c>
      <c r="E109" s="32" t="s">
        <v>118</v>
      </c>
      <c r="F109" s="39" t="s">
        <v>1653</v>
      </c>
      <c r="G109" t="s">
        <v>114</v>
      </c>
      <c r="H109" t="s">
        <v>115</v>
      </c>
      <c r="I109" t="s">
        <v>116</v>
      </c>
      <c r="J109" t="b">
        <v>0</v>
      </c>
      <c r="K109" t="s">
        <v>6</v>
      </c>
      <c r="L109" t="s">
        <v>117</v>
      </c>
      <c r="M109">
        <v>2</v>
      </c>
      <c r="N109" t="s">
        <v>9443</v>
      </c>
      <c r="P109" s="32" t="str">
        <f t="shared" si="3"/>
        <v>https://app.thedigitalbiblelibrary.org/entry?id=2eb94132ad61ae75</v>
      </c>
      <c r="Q109" t="str">
        <f>IF(ISERROR(VLOOKUP(G109, STEP!E:E, 1, FALSE)), "N", "")</f>
        <v/>
      </c>
      <c r="R109" s="33"/>
    </row>
    <row r="110" spans="1:19" x14ac:dyDescent="0.25">
      <c r="A110" t="s">
        <v>126</v>
      </c>
      <c r="B110" t="b">
        <v>0</v>
      </c>
      <c r="C110" t="s">
        <v>45</v>
      </c>
      <c r="D110" t="b">
        <v>0</v>
      </c>
      <c r="E110" s="32" t="s">
        <v>127</v>
      </c>
      <c r="F110" s="39" t="s">
        <v>9510</v>
      </c>
      <c r="G110" t="s">
        <v>128</v>
      </c>
      <c r="H110" t="s">
        <v>102</v>
      </c>
      <c r="I110" t="s">
        <v>129</v>
      </c>
      <c r="J110" t="b">
        <v>1</v>
      </c>
      <c r="K110" t="s">
        <v>6</v>
      </c>
      <c r="L110" t="s">
        <v>130</v>
      </c>
      <c r="M110">
        <v>2</v>
      </c>
      <c r="N110" t="s">
        <v>9443</v>
      </c>
      <c r="P110" s="32" t="str">
        <f t="shared" si="3"/>
        <v>https://app.thedigitalbiblelibrary.org/entry?id=30cb581bcc911c45</v>
      </c>
      <c r="Q110" t="str">
        <f>IF(ISERROR(VLOOKUP(G110, STEP!E:E, 1, FALSE)), "N", "")</f>
        <v>N</v>
      </c>
      <c r="R110" s="33"/>
      <c r="S110" s="34">
        <v>44260</v>
      </c>
    </row>
    <row r="111" spans="1:19" x14ac:dyDescent="0.25">
      <c r="A111" t="s">
        <v>86</v>
      </c>
      <c r="B111" t="b">
        <v>0</v>
      </c>
      <c r="C111" t="s">
        <v>24</v>
      </c>
      <c r="D111" t="b">
        <v>0</v>
      </c>
      <c r="E111" s="32" t="s">
        <v>90</v>
      </c>
      <c r="F111" s="39" t="s">
        <v>9511</v>
      </c>
      <c r="G111" t="s">
        <v>87</v>
      </c>
      <c r="H111" t="s">
        <v>11</v>
      </c>
      <c r="I111" t="s">
        <v>88</v>
      </c>
      <c r="J111" t="b">
        <v>0</v>
      </c>
      <c r="K111" t="s">
        <v>6</v>
      </c>
      <c r="L111" t="s">
        <v>89</v>
      </c>
      <c r="M111">
        <v>6</v>
      </c>
      <c r="N111" t="s">
        <v>9444</v>
      </c>
      <c r="P111" s="32" t="str">
        <f t="shared" si="3"/>
        <v>https://app.thedigitalbiblelibrary.org/entry?id=25210406001d9aae</v>
      </c>
      <c r="Q111" t="str">
        <f>IF(ISERROR(VLOOKUP(G111, STEP!E:E, 1, FALSE)), "N", "")</f>
        <v>N</v>
      </c>
      <c r="R111" s="33"/>
      <c r="S111" s="34">
        <v>44260</v>
      </c>
    </row>
    <row r="112" spans="1:19" x14ac:dyDescent="0.25">
      <c r="A112" t="s">
        <v>474</v>
      </c>
      <c r="B112" t="b">
        <v>0</v>
      </c>
      <c r="C112" t="s">
        <v>17</v>
      </c>
      <c r="D112" t="b">
        <v>0</v>
      </c>
      <c r="E112" s="32" t="s">
        <v>475</v>
      </c>
      <c r="F112" s="39" t="s">
        <v>1653</v>
      </c>
      <c r="G112" t="s">
        <v>476</v>
      </c>
      <c r="H112" t="s">
        <v>20</v>
      </c>
      <c r="I112" t="s">
        <v>477</v>
      </c>
      <c r="J112" t="b">
        <v>1</v>
      </c>
      <c r="K112" t="s">
        <v>6</v>
      </c>
      <c r="L112" t="s">
        <v>478</v>
      </c>
      <c r="M112">
        <v>1</v>
      </c>
      <c r="N112" t="s">
        <v>9445</v>
      </c>
      <c r="P112" s="32" t="str">
        <f t="shared" si="3"/>
        <v>https://app.thedigitalbiblelibrary.org/entry?id=de0270810140edf9</v>
      </c>
      <c r="Q112" t="str">
        <f>IF(ISERROR(VLOOKUP(G112, STEP!E:E, 1, FALSE)), "N", "")</f>
        <v/>
      </c>
      <c r="R112" s="33"/>
    </row>
    <row r="113" spans="1:19" x14ac:dyDescent="0.25">
      <c r="A113" t="s">
        <v>488</v>
      </c>
      <c r="B113" t="b">
        <v>0</v>
      </c>
      <c r="C113" t="s">
        <v>45</v>
      </c>
      <c r="D113" t="b">
        <v>0</v>
      </c>
      <c r="E113" s="32" t="s">
        <v>492</v>
      </c>
      <c r="F113" s="39" t="s">
        <v>9512</v>
      </c>
      <c r="G113" t="s">
        <v>489</v>
      </c>
      <c r="H113" t="s">
        <v>48</v>
      </c>
      <c r="I113" t="s">
        <v>490</v>
      </c>
      <c r="J113" t="b">
        <v>0</v>
      </c>
      <c r="K113" t="s">
        <v>6</v>
      </c>
      <c r="L113" t="s">
        <v>491</v>
      </c>
      <c r="M113">
        <v>3</v>
      </c>
      <c r="N113" t="s">
        <v>9443</v>
      </c>
      <c r="P113" s="32" t="str">
        <f t="shared" si="3"/>
        <v>https://app.thedigitalbiblelibrary.org/entry?id=e01f11e9b4b8e338</v>
      </c>
      <c r="Q113" t="str">
        <f>IF(ISERROR(VLOOKUP(G113, STEP!E:E, 1, FALSE)), "N", "")</f>
        <v>N</v>
      </c>
      <c r="R113" s="33"/>
      <c r="S113" s="34">
        <v>44260</v>
      </c>
    </row>
    <row r="114" spans="1:19" x14ac:dyDescent="0.25">
      <c r="A114" t="s">
        <v>432</v>
      </c>
      <c r="B114" t="b">
        <v>0</v>
      </c>
      <c r="C114" t="s">
        <v>45</v>
      </c>
      <c r="D114" t="b">
        <v>0</v>
      </c>
      <c r="E114" s="32" t="s">
        <v>436</v>
      </c>
      <c r="F114" s="39" t="s">
        <v>9513</v>
      </c>
      <c r="G114" t="s">
        <v>433</v>
      </c>
      <c r="H114" t="s">
        <v>139</v>
      </c>
      <c r="I114" t="s">
        <v>434</v>
      </c>
      <c r="J114" t="b">
        <v>0</v>
      </c>
      <c r="K114" t="s">
        <v>6</v>
      </c>
      <c r="L114" t="s">
        <v>435</v>
      </c>
      <c r="M114">
        <v>2</v>
      </c>
      <c r="N114" t="s">
        <v>9443</v>
      </c>
      <c r="P114" s="32" t="str">
        <f t="shared" si="3"/>
        <v>https://app.thedigitalbiblelibrary.org/entry?id=c2d40ebca6db1ec5</v>
      </c>
      <c r="Q114" t="str">
        <f>IF(ISERROR(VLOOKUP(G114, STEP!E:E, 1, FALSE)), "N", "")</f>
        <v>N</v>
      </c>
      <c r="R114" s="33"/>
      <c r="S114" s="34">
        <v>44260</v>
      </c>
    </row>
    <row r="115" spans="1:19" x14ac:dyDescent="0.25">
      <c r="A115" t="s">
        <v>74</v>
      </c>
      <c r="B115" t="b">
        <v>0</v>
      </c>
      <c r="C115" t="s">
        <v>24</v>
      </c>
      <c r="D115" t="b">
        <v>0</v>
      </c>
      <c r="E115" s="32" t="s">
        <v>75</v>
      </c>
      <c r="F115" s="39" t="s">
        <v>1653</v>
      </c>
      <c r="G115" t="s">
        <v>76</v>
      </c>
      <c r="H115" t="s">
        <v>77</v>
      </c>
      <c r="I115" t="s">
        <v>78</v>
      </c>
      <c r="J115" t="b">
        <v>1</v>
      </c>
      <c r="K115" t="s">
        <v>6</v>
      </c>
      <c r="L115" t="s">
        <v>79</v>
      </c>
      <c r="M115">
        <v>1</v>
      </c>
      <c r="N115" t="s">
        <v>9444</v>
      </c>
      <c r="P115" s="32" t="str">
        <f t="shared" si="3"/>
        <v>https://app.thedigitalbiblelibrary.org/entry?id=1b878de073afef07</v>
      </c>
      <c r="Q115" t="str">
        <f>IF(ISERROR(VLOOKUP(G115, STEP!E:E, 1, FALSE)), "N", "")</f>
        <v/>
      </c>
      <c r="R115" s="33"/>
    </row>
    <row r="116" spans="1:19" x14ac:dyDescent="0.25">
      <c r="A116" t="s">
        <v>385</v>
      </c>
      <c r="B116" t="b">
        <v>0</v>
      </c>
      <c r="C116" t="s">
        <v>45</v>
      </c>
      <c r="D116" t="b">
        <v>0</v>
      </c>
      <c r="E116" s="32" t="s">
        <v>386</v>
      </c>
      <c r="F116" s="39" t="s">
        <v>9514</v>
      </c>
      <c r="G116" t="s">
        <v>387</v>
      </c>
      <c r="H116" t="s">
        <v>102</v>
      </c>
      <c r="I116" t="s">
        <v>388</v>
      </c>
      <c r="J116" t="b">
        <v>1</v>
      </c>
      <c r="K116" t="s">
        <v>6</v>
      </c>
      <c r="L116" t="s">
        <v>389</v>
      </c>
      <c r="M116">
        <v>3</v>
      </c>
      <c r="N116" t="s">
        <v>9443</v>
      </c>
      <c r="P116" s="32" t="str">
        <f t="shared" si="3"/>
        <v>https://app.thedigitalbiblelibrary.org/entry?id=afe8f67d8ba9025c</v>
      </c>
      <c r="Q116" t="str">
        <f>IF(ISERROR(VLOOKUP(G116, STEP!E:E, 1, FALSE)), "N", "")</f>
        <v>N</v>
      </c>
      <c r="R116" s="33"/>
      <c r="S116" s="34">
        <v>44260</v>
      </c>
    </row>
    <row r="117" spans="1:19" x14ac:dyDescent="0.25">
      <c r="A117" t="s">
        <v>311</v>
      </c>
      <c r="B117" t="b">
        <v>0</v>
      </c>
      <c r="C117" t="s">
        <v>24</v>
      </c>
      <c r="D117" t="b">
        <v>0</v>
      </c>
      <c r="E117" s="32" t="s">
        <v>312</v>
      </c>
      <c r="F117" s="39" t="s">
        <v>9515</v>
      </c>
      <c r="G117" t="s">
        <v>313</v>
      </c>
      <c r="H117" t="s">
        <v>314</v>
      </c>
      <c r="I117" t="s">
        <v>315</v>
      </c>
      <c r="J117" t="b">
        <v>1</v>
      </c>
      <c r="K117" t="s">
        <v>6</v>
      </c>
      <c r="L117" t="s">
        <v>316</v>
      </c>
      <c r="M117">
        <v>1</v>
      </c>
      <c r="N117" t="s">
        <v>9447</v>
      </c>
      <c r="P117" s="32" t="str">
        <f t="shared" si="3"/>
        <v>https://app.thedigitalbiblelibrary.org/entry?id=8a448a0135a6a70a</v>
      </c>
      <c r="Q117" t="str">
        <f>IF(ISERROR(VLOOKUP(G117, STEP!E:E, 1, FALSE)), "N", "")</f>
        <v>N</v>
      </c>
      <c r="R117" s="33"/>
      <c r="S117" s="34">
        <v>44260</v>
      </c>
    </row>
    <row r="118" spans="1:19" x14ac:dyDescent="0.25">
      <c r="A118" t="s">
        <v>302</v>
      </c>
      <c r="B118" t="b">
        <v>0</v>
      </c>
      <c r="C118" t="s">
        <v>45</v>
      </c>
      <c r="D118" t="b">
        <v>0</v>
      </c>
      <c r="E118" s="32" t="s">
        <v>307</v>
      </c>
      <c r="F118" s="39" t="s">
        <v>9516</v>
      </c>
      <c r="G118" t="s">
        <v>303</v>
      </c>
      <c r="H118" t="s">
        <v>139</v>
      </c>
      <c r="I118" t="s">
        <v>304</v>
      </c>
      <c r="J118" t="b">
        <v>0</v>
      </c>
      <c r="K118" t="s">
        <v>6</v>
      </c>
      <c r="L118" t="s">
        <v>305</v>
      </c>
      <c r="M118">
        <v>4</v>
      </c>
      <c r="N118" t="s">
        <v>9443</v>
      </c>
      <c r="P118" s="32" t="str">
        <f t="shared" si="3"/>
        <v>https://app.thedigitalbiblelibrary.org/entry?id=7e7a704dd32c4280</v>
      </c>
      <c r="Q118" t="str">
        <f>IF(ISERROR(VLOOKUP(G118, STEP!E:E, 1, FALSE)), "N", "")</f>
        <v>N</v>
      </c>
      <c r="R118" s="33"/>
      <c r="S118" s="34">
        <v>44260</v>
      </c>
    </row>
    <row r="119" spans="1:19" x14ac:dyDescent="0.25">
      <c r="A119" t="s">
        <v>446</v>
      </c>
      <c r="B119" t="b">
        <v>0</v>
      </c>
      <c r="C119" t="s">
        <v>137</v>
      </c>
      <c r="D119" t="b">
        <v>0</v>
      </c>
      <c r="E119" s="32" t="s">
        <v>447</v>
      </c>
      <c r="F119" s="39" t="s">
        <v>9517</v>
      </c>
      <c r="G119" t="s">
        <v>448</v>
      </c>
      <c r="H119" t="s">
        <v>139</v>
      </c>
      <c r="I119" t="s">
        <v>449</v>
      </c>
      <c r="J119" t="b">
        <v>1</v>
      </c>
      <c r="K119" t="s">
        <v>6</v>
      </c>
      <c r="L119" t="s">
        <v>450</v>
      </c>
      <c r="M119">
        <v>2</v>
      </c>
      <c r="N119" t="s">
        <v>9447</v>
      </c>
      <c r="P119" s="32" t="str">
        <f t="shared" si="3"/>
        <v>https://app.thedigitalbiblelibrary.org/entry?id=c9f3cf58d557a9f3</v>
      </c>
      <c r="Q119" t="str">
        <f>IF(ISERROR(VLOOKUP(G119, STEP!E:E, 1, FALSE)), "N", "")</f>
        <v>N</v>
      </c>
      <c r="R119" s="33"/>
      <c r="S119" s="34">
        <v>44260</v>
      </c>
    </row>
    <row r="120" spans="1:19" x14ac:dyDescent="0.25">
      <c r="A120" t="s">
        <v>373</v>
      </c>
      <c r="B120" t="b">
        <v>0</v>
      </c>
      <c r="C120" t="s">
        <v>190</v>
      </c>
      <c r="D120" t="b">
        <v>0</v>
      </c>
      <c r="E120" s="32" t="s">
        <v>374</v>
      </c>
      <c r="F120" s="39" t="s">
        <v>1653</v>
      </c>
      <c r="H120" t="s">
        <v>192</v>
      </c>
      <c r="I120" t="s">
        <v>375</v>
      </c>
      <c r="J120" t="b">
        <v>1</v>
      </c>
      <c r="K120" t="s">
        <v>55</v>
      </c>
      <c r="L120" t="s">
        <v>376</v>
      </c>
      <c r="M120">
        <v>2</v>
      </c>
      <c r="N120" t="s">
        <v>9448</v>
      </c>
      <c r="P120" s="32" t="str">
        <f t="shared" si="3"/>
        <v>https://app.thedigitalbiblelibrary.org/entry?id=a870900c030548a0</v>
      </c>
      <c r="Q120" t="str">
        <f>IF(ISERROR(VLOOKUP(G120, STEP!E:E, 1, FALSE)), "N", "")</f>
        <v>N</v>
      </c>
      <c r="R120" s="33" t="s">
        <v>1956</v>
      </c>
      <c r="S120" s="34">
        <v>44260</v>
      </c>
    </row>
    <row r="121" spans="1:19" x14ac:dyDescent="0.25">
      <c r="A121" t="s">
        <v>189</v>
      </c>
      <c r="B121" t="b">
        <v>0</v>
      </c>
      <c r="C121" t="s">
        <v>190</v>
      </c>
      <c r="D121" t="b">
        <v>0</v>
      </c>
      <c r="E121" s="32" t="s">
        <v>191</v>
      </c>
      <c r="F121" s="39" t="s">
        <v>1653</v>
      </c>
      <c r="H121" t="s">
        <v>192</v>
      </c>
      <c r="I121" t="s">
        <v>193</v>
      </c>
      <c r="J121" t="b">
        <v>1</v>
      </c>
      <c r="K121" t="s">
        <v>55</v>
      </c>
      <c r="L121" t="s">
        <v>194</v>
      </c>
      <c r="M121">
        <v>1</v>
      </c>
      <c r="N121" t="s">
        <v>9448</v>
      </c>
      <c r="P121" s="32" t="str">
        <f t="shared" si="3"/>
        <v>https://app.thedigitalbiblelibrary.org/entry?id=439ac17466ab4ae1</v>
      </c>
      <c r="Q121" t="str">
        <f>IF(ISERROR(VLOOKUP(G121, STEP!E:E, 1, FALSE)), "N", "")</f>
        <v>N</v>
      </c>
      <c r="R121" s="33" t="s">
        <v>1956</v>
      </c>
      <c r="S121" s="34">
        <v>44260</v>
      </c>
    </row>
  </sheetData>
  <autoFilter ref="A1:S121" xr:uid="{6B950E8F-EB81-479C-A5FA-F0B37D3D0D02}"/>
  <sortState xmlns:xlrd2="http://schemas.microsoft.com/office/spreadsheetml/2017/richdata2" ref="A2:M121">
    <sortCondition ref="L2:L121"/>
  </sortState>
  <hyperlinks>
    <hyperlink ref="E101" r:id="rId1" xr:uid="{E29DE95F-658C-47A8-B209-18A5F52155C1}"/>
    <hyperlink ref="E17" r:id="rId2" xr:uid="{9EE9055B-A969-492B-8B95-AF13CB78784E}"/>
    <hyperlink ref="E18" r:id="rId3" xr:uid="{A6F10F08-F2A3-4DAB-9245-4C35798B2E21}"/>
    <hyperlink ref="E3" r:id="rId4" xr:uid="{92BA412F-08A8-474A-BE94-14C0FAEFFF58}"/>
    <hyperlink ref="E62" r:id="rId5" xr:uid="{4CF4106D-4F3F-4B5F-A80D-5D607EC07268}"/>
    <hyperlink ref="E8" r:id="rId6" xr:uid="{26898AE4-8609-4B4E-B239-7C9162861B22}"/>
    <hyperlink ref="E5" r:id="rId7" xr:uid="{E43F12A7-B2CB-4024-A594-B506991FFE0A}"/>
    <hyperlink ref="E6" r:id="rId8" xr:uid="{01C038E6-5E77-4098-956F-61A34333A366}"/>
    <hyperlink ref="E9" r:id="rId9" xr:uid="{95DB61C6-0877-469C-AFE7-672558DE0B57}"/>
    <hyperlink ref="E19" r:id="rId10" xr:uid="{3B0B1DCC-6C02-42AB-963B-57E13B6AD0F2}"/>
    <hyperlink ref="E20" r:id="rId11" xr:uid="{0E059EA2-D6B9-45AF-A7F4-F55FFEBE984B}"/>
    <hyperlink ref="E40" r:id="rId12" xr:uid="{AFEB5F12-312B-49BA-BFCB-CF618B8B2C15}"/>
    <hyperlink ref="E98" r:id="rId13" xr:uid="{95C78761-E603-4767-AC8E-B31B9E1C82F2}"/>
    <hyperlink ref="E11" r:id="rId14" xr:uid="{D59D7881-6C3E-40DC-91A7-6B0E7816CDAE}"/>
    <hyperlink ref="E15" r:id="rId15" xr:uid="{D18EF983-FDE1-49B4-BB63-FED0EDC15C0D}"/>
    <hyperlink ref="E68" r:id="rId16" xr:uid="{70A7CAF5-16FF-4111-9611-827DDC5740D7}"/>
    <hyperlink ref="E21" r:id="rId17" xr:uid="{DE67F6D7-7422-425A-AE04-48CA9E6B4ED6}"/>
    <hyperlink ref="E74" r:id="rId18" xr:uid="{7A10FD79-0A15-4CFC-9DE8-925735215127}"/>
    <hyperlink ref="E16" r:id="rId19" xr:uid="{12173476-C1ED-4C3F-AF8B-1268BDD3AAD2}"/>
    <hyperlink ref="E22" r:id="rId20" xr:uid="{48D5C54C-7F09-4D11-8245-99E440724C42}"/>
    <hyperlink ref="E23" r:id="rId21" xr:uid="{FFC09900-C4CE-4992-BC56-33BE8E8B8C75}"/>
    <hyperlink ref="E24" r:id="rId22" xr:uid="{0E8E7E19-13B2-4EB1-B9B8-CABE246BE7D1}"/>
    <hyperlink ref="E14" r:id="rId23" xr:uid="{2E2839A3-6A07-4F8F-A2CD-78326206EC0E}"/>
    <hyperlink ref="E110" r:id="rId24" xr:uid="{DB28464D-435E-4A30-A32F-5C0BC2680CD2}"/>
    <hyperlink ref="E10" r:id="rId25" xr:uid="{77DC03C0-87BE-4577-A020-6F9846CD236C}"/>
    <hyperlink ref="E61" r:id="rId26" xr:uid="{0D5B2EC1-AC25-4F35-A1E9-2003FC06810C}"/>
    <hyperlink ref="E53" r:id="rId27" xr:uid="{DC6FB131-8770-45F0-9172-E193EE99969F}"/>
    <hyperlink ref="E41" r:id="rId28" xr:uid="{37300077-D5C9-452C-B03A-7682F45F8996}"/>
    <hyperlink ref="E43" r:id="rId29" xr:uid="{00820F4E-B9ED-4070-9F7F-B32094BF5FCB}"/>
    <hyperlink ref="E120" r:id="rId30" xr:uid="{55C5D0C9-3196-40B6-B358-6EE596EBAD35}"/>
    <hyperlink ref="E45" r:id="rId31" xr:uid="{1213FCCD-BBA9-4461-AE46-FA185F8E3175}"/>
    <hyperlink ref="E4" r:id="rId32" xr:uid="{08E8DCEE-D42B-431E-9EE8-5D274598C03F}"/>
    <hyperlink ref="E7" r:id="rId33" xr:uid="{85BE47F8-ECD6-4322-BE96-C41C6F916BA6}"/>
    <hyperlink ref="E48" r:id="rId34" xr:uid="{EA1CD295-3AFD-4AF3-9D7E-99515004229D}"/>
    <hyperlink ref="E70" r:id="rId35" xr:uid="{A6D91046-EC93-4510-8B9A-26B9B5D087D2}"/>
    <hyperlink ref="E106" r:id="rId36" xr:uid="{A632C458-9D2C-46AD-A62B-7F65823781C4}"/>
    <hyperlink ref="E108" r:id="rId37" xr:uid="{5FA7305F-23F6-431C-AD6A-598687F39F62}"/>
    <hyperlink ref="E112" r:id="rId38" xr:uid="{D5388338-D457-40FC-B65C-1128D3A45B9A}"/>
    <hyperlink ref="E44" r:id="rId39" xr:uid="{FB2E4A5E-D662-4154-B655-B6AABFE6C034}"/>
    <hyperlink ref="E55" r:id="rId40" xr:uid="{5CECDA8A-F78C-4525-B636-218D8BE83D7D}"/>
    <hyperlink ref="E47" r:id="rId41" xr:uid="{6B1C13A8-D673-403B-83FF-68F660C4D44D}"/>
    <hyperlink ref="E51" r:id="rId42" xr:uid="{F85499FF-2A67-4006-AE2B-3A9A4ADC58DA}"/>
    <hyperlink ref="E25" r:id="rId43" xr:uid="{7E4C15CA-1ED9-4051-B36A-9CA3E4321E9A}"/>
    <hyperlink ref="E26" r:id="rId44" xr:uid="{8F016C0F-8059-4EF7-B1AB-1A9BDCE36989}"/>
    <hyperlink ref="E56" r:id="rId45" xr:uid="{AC154C56-B2FD-435D-8FB6-9DC7F520ACFE}"/>
    <hyperlink ref="E57" r:id="rId46" xr:uid="{F505BEDA-B7C8-4BE5-9013-09C1C38C4A3E}"/>
    <hyperlink ref="E50" r:id="rId47" xr:uid="{4135B1D4-E6C4-4904-9A67-5789C68AE0E8}"/>
    <hyperlink ref="E59" r:id="rId48" xr:uid="{843EC758-1898-4C4D-8ABE-D7DD2FAF517B}"/>
    <hyperlink ref="E54" r:id="rId49" xr:uid="{3F87EB95-0297-4E94-A815-6FAB892AEB94}"/>
    <hyperlink ref="E60" r:id="rId50" xr:uid="{AC8585D1-8C85-4A9C-A1B3-37B3F89351B0}"/>
    <hyperlink ref="E38" r:id="rId51" xr:uid="{D392265D-458B-4FEF-BB00-2FAE57D73057}"/>
    <hyperlink ref="E58" r:id="rId52" xr:uid="{467DDC0B-3ECF-4D54-BCDC-E70344ED70F3}"/>
    <hyperlink ref="E52" r:id="rId53" xr:uid="{23ECCF62-862E-4F29-BBFA-9052BDFC5B1D}"/>
    <hyperlink ref="E64" r:id="rId54" xr:uid="{A7B6E533-09D6-4FB0-A85C-ADB6F79DF625}"/>
    <hyperlink ref="E2" r:id="rId55" xr:uid="{69CC40E0-CD69-43D1-ABD6-DB10399EC99E}"/>
    <hyperlink ref="E107" r:id="rId56" xr:uid="{CEECBB08-4F2E-409C-93DE-AA955E69B719}"/>
    <hyperlink ref="E66" r:id="rId57" xr:uid="{4D9681FF-F555-4A0C-9FF0-9E31928846BB}"/>
    <hyperlink ref="E27" r:id="rId58" xr:uid="{FBDD8DF2-4787-4CFE-A91C-C361F6D1BEBA}"/>
    <hyperlink ref="E69" r:id="rId59" xr:uid="{1CC4C203-1557-42CA-9C2A-F94045DC8F74}"/>
    <hyperlink ref="E37" r:id="rId60" xr:uid="{B92DE01C-A6EE-4E9F-973E-8DBFDD83ED0B}"/>
    <hyperlink ref="E121" r:id="rId61" xr:uid="{98773768-4216-443B-AFB5-21DBB92AF62C}"/>
    <hyperlink ref="E99" r:id="rId62" xr:uid="{1DB38976-AD5D-4F1B-80C8-20178E5C7203}"/>
    <hyperlink ref="E28" r:id="rId63" xr:uid="{304FF0E0-3960-4E39-BE94-9C7D4900C10D}"/>
    <hyperlink ref="E76" r:id="rId64" xr:uid="{3FE11AE4-1D9C-4A0F-93DD-28225EA387ED}"/>
    <hyperlink ref="E77" r:id="rId65" xr:uid="{51ED9498-4727-4D56-A398-45BDA5F1FB96}"/>
    <hyperlink ref="E78" r:id="rId66" xr:uid="{45EB8CF3-83AB-4B9F-AC41-681982F57395}"/>
    <hyperlink ref="E79" r:id="rId67" xr:uid="{FB28D0B0-7EBB-4F91-A9DF-C2781B621782}"/>
    <hyperlink ref="E80" r:id="rId68" xr:uid="{EFB7CA72-205E-4584-8736-1A3E1B1F0BA7}"/>
    <hyperlink ref="E81" r:id="rId69" xr:uid="{DCD9526C-01F0-4E75-A838-8C398CBE654E}"/>
    <hyperlink ref="E82" r:id="rId70" xr:uid="{BD896588-1D96-4740-A508-AC3190FB2F45}"/>
    <hyperlink ref="E83" r:id="rId71" xr:uid="{CA640079-2648-417F-B3DB-4973D2FB847D}"/>
    <hyperlink ref="E84" r:id="rId72" xr:uid="{AB062180-C8BF-4C82-991E-FC5F62A9AA63}"/>
    <hyperlink ref="E85" r:id="rId73" xr:uid="{2FA621C5-54AA-490E-BE7C-F11B944AA22B}"/>
    <hyperlink ref="E86" r:id="rId74" xr:uid="{0F1800AA-AB5B-4D48-AFAF-B097F5539563}"/>
    <hyperlink ref="E87" r:id="rId75" xr:uid="{3E0CB5F1-8DAD-4B0B-8701-2CA72EDFE63B}"/>
    <hyperlink ref="E88" r:id="rId76" xr:uid="{F0D828CD-EA81-46EE-B832-BD349B14ED4D}"/>
    <hyperlink ref="E89" r:id="rId77" xr:uid="{A567985B-5B5B-4198-A6D1-F48F4883E36B}"/>
    <hyperlink ref="E90" r:id="rId78" xr:uid="{92F22A94-3C69-44F9-8818-60F14287FC7A}"/>
    <hyperlink ref="E91" r:id="rId79" xr:uid="{478E7BD3-1BAC-4991-AC94-5DA8AC5E571F}"/>
    <hyperlink ref="E92" r:id="rId80" xr:uid="{A2D77CCE-4441-438D-B592-50382D813DD6}"/>
    <hyperlink ref="E93" r:id="rId81" xr:uid="{22E4D743-017B-44BE-943D-FECB34E9C704}"/>
    <hyperlink ref="E94" r:id="rId82" xr:uid="{12D8D022-A8AD-41F4-9E4E-43E2739F1F74}"/>
    <hyperlink ref="E95" r:id="rId83" xr:uid="{166A2AB0-73F2-4242-A932-A183D5E53EBD}"/>
    <hyperlink ref="E96" r:id="rId84" xr:uid="{737D3A5B-C60A-4EAD-8786-C9A7F72393AB}"/>
    <hyperlink ref="E97" r:id="rId85" xr:uid="{461D803D-204F-4301-8111-DD53FB17829F}"/>
    <hyperlink ref="E102" r:id="rId86" xr:uid="{C409700B-4391-491D-9C95-541583FF662E}"/>
    <hyperlink ref="E113" r:id="rId87" xr:uid="{FDDC09B6-A53E-49AE-9D94-2C16C5274A2B}"/>
    <hyperlink ref="E103" r:id="rId88" xr:uid="{4F5AC5F3-FF8C-4FDA-91D9-863ED58637A0}"/>
    <hyperlink ref="E104" r:id="rId89" xr:uid="{3C157CC1-C765-4192-A313-2373D1AF8C22}"/>
    <hyperlink ref="E105" r:id="rId90" xr:uid="{D36CB185-C6B9-4E83-AE8F-73E1F79C8793}"/>
    <hyperlink ref="E67" r:id="rId91" xr:uid="{CC66FB52-93DB-466C-A4FC-F5CD8B32003C}"/>
    <hyperlink ref="E29" r:id="rId92" xr:uid="{93B27828-9FAA-45ED-AF8A-8FB2844653EE}"/>
    <hyperlink ref="E46" r:id="rId93" xr:uid="{7C2C984B-FC63-4127-8E67-B43A135C2ADB}"/>
    <hyperlink ref="E13" r:id="rId94" xr:uid="{95E8EEAA-C55E-4DF6-A61D-9245AA2C98DD}"/>
    <hyperlink ref="E109" r:id="rId95" xr:uid="{18989075-27AA-457A-83B9-F3E8665BBAEB}"/>
    <hyperlink ref="E63" r:id="rId96" xr:uid="{D2A4E9BA-D3C6-45DA-8745-4F99DDBCDD6E}"/>
    <hyperlink ref="E114" r:id="rId97" xr:uid="{25B5A31C-9FAE-4F65-AB41-9AA48AF83383}"/>
    <hyperlink ref="E30" r:id="rId98" xr:uid="{7B918BA0-5E11-448C-8D79-1C4C8F153EA3}"/>
    <hyperlink ref="E31" r:id="rId99" xr:uid="{6D3E44D2-79B1-4EC9-A9F4-2118FE181495}"/>
    <hyperlink ref="E42" r:id="rId100" xr:uid="{70D202B4-9D67-4509-B86E-00CCCC84CDD5}"/>
    <hyperlink ref="E39" r:id="rId101" xr:uid="{07BF97AA-76EA-481E-B4D8-6B61AC9B9691}"/>
    <hyperlink ref="E49" r:id="rId102" xr:uid="{441A5A63-416C-4709-AFA6-CCBEB74BF1AE}"/>
    <hyperlink ref="E12" r:id="rId103" xr:uid="{D2639262-5008-47E7-8C41-193FB0C63674}"/>
    <hyperlink ref="E75" r:id="rId104" xr:uid="{66A52DEC-30A7-4375-9DD1-2B2DA54A99E4}"/>
    <hyperlink ref="E65" r:id="rId105" xr:uid="{2A6A0F75-BC63-413D-A06E-7F38146227CE}"/>
    <hyperlink ref="E73" r:id="rId106" xr:uid="{663A1C9C-B969-410A-9288-6E5F5AE6D632}"/>
    <hyperlink ref="E118" r:id="rId107" xr:uid="{32709B51-3EFF-4475-8231-5C52CA2771BF}"/>
    <hyperlink ref="E119" r:id="rId108" xr:uid="{CC27E9D0-D110-4190-866E-FB50DB2865DB}"/>
    <hyperlink ref="E111" r:id="rId109" xr:uid="{EF84020B-871A-4D4D-BF91-A19DD8F6AAA0}"/>
    <hyperlink ref="E32" r:id="rId110" xr:uid="{C4375B7A-ED90-4221-8F2A-9D6880FE3C18}"/>
    <hyperlink ref="E72" r:id="rId111" xr:uid="{B8102206-ECDE-4446-9898-AEB4A406BDF0}"/>
    <hyperlink ref="E71" r:id="rId112" xr:uid="{85ACA1D0-9FEB-41C3-8A4F-DD7EB84B30E6}"/>
    <hyperlink ref="E100" r:id="rId113" xr:uid="{E4D5F254-BB9A-45FD-B6D5-2AB223A59397}"/>
    <hyperlink ref="E115" r:id="rId114" xr:uid="{4DFAA238-B2A5-45EB-B7E1-234A6BCF24CF}"/>
    <hyperlink ref="E33" r:id="rId115" xr:uid="{A0010F02-5C8F-4DDF-8707-54143C7C27A5}"/>
    <hyperlink ref="E34" r:id="rId116" xr:uid="{9D4D36B2-6537-4867-B94D-8C821E6DCF9E}"/>
    <hyperlink ref="E35" r:id="rId117" xr:uid="{64B7A516-F883-4756-9D88-14564324D282}"/>
    <hyperlink ref="E36" r:id="rId118" xr:uid="{D9B65626-12EF-4270-B4B9-56842EE2C59F}"/>
    <hyperlink ref="E116" r:id="rId119" xr:uid="{AA66FC39-C7AF-4DCC-850B-8961D7511A38}"/>
    <hyperlink ref="E117" r:id="rId120" xr:uid="{57B20A10-22D5-45A7-90D0-4DA1A97CB79D}"/>
    <hyperlink ref="P2:P6" r:id="rId121" display="https://app.thedigitalbiblelibrary.org/entry/download_archive?email=jamie%40critos.co.uk&amp;id=b7ad344da9c39262&amp;key=34db03b417100ad9780610df72a50244&amp;license=4014&amp;revision=2&amp;type=release" xr:uid="{BE66ADDD-3EA3-4427-A2AC-170442F791EA}"/>
    <hyperlink ref="P101" r:id="rId122" display="https://app.thedigitalbiblelibrary.org/entry?id=2a65010324d677b6" xr:uid="{2D43115B-EB16-40EE-B371-0CE2D86F4DB7}"/>
    <hyperlink ref="P3:P121" r:id="rId123" display="https://app.thedigitalbiblelibrary.org/entry/download_archive?email=jamie%40critos.co.uk&amp;id=b7ad344da9c39262&amp;key=34db03b417100ad9780610df72a50244&amp;license=4014&amp;revision=2&amp;type=release" xr:uid="{4EB2B967-5DB9-45EF-B184-2AEF403A4AFA}"/>
    <hyperlink ref="P3" r:id="rId124" display="https://app.thedigitalbiblelibrary.org/entry?id=b7ad344da9c39262" xr:uid="{3CCAA904-4591-4346-988C-04FA89CA740E}"/>
    <hyperlink ref="P62" r:id="rId125" display="https://app.thedigitalbiblelibrary.org/entry?id=5e51f89e89947acb" xr:uid="{7ABD70A8-CFCF-48BA-B419-8D685C420BF4}"/>
    <hyperlink ref="P63" r:id="rId126" display="https://app.thedigitalbiblelibrary.org/entry?id=98adf0b796dc9ff4" xr:uid="{409BBA2E-AB49-44E6-9434-F85EDA2CABC8}"/>
    <hyperlink ref="P4" r:id="rId127" display="https://app.thedigitalbiblelibrary.org/entry?id=d199679f805f5b29" xr:uid="{259E5B93-076C-4970-9BAB-2D9ECD480560}"/>
    <hyperlink ref="P10" r:id="rId128" display="https://app.thedigitalbiblelibrary.org/entry?id=71d2075d284c4eae" xr:uid="{67250CC7-3F5D-442A-BF75-1D66DA5E1B87}"/>
    <hyperlink ref="P8" r:id="rId129" display="https://app.thedigitalbiblelibrary.org/entry?id=55bab459b716348c" xr:uid="{19F05386-A59F-4C06-9141-3894A9284875}"/>
    <hyperlink ref="P5" r:id="rId130" display="https://app.thedigitalbiblelibrary.org/entry?id=17c44f6c89de00db" xr:uid="{A6BFC09C-5B9D-480A-BEA2-F861F2D898AB}"/>
    <hyperlink ref="P6" r:id="rId131" display="https://app.thedigitalbiblelibrary.org/entry?id=b52bc8b7af3bdc6f" xr:uid="{B7C1096E-E064-463A-AB86-C38DADED8971}"/>
    <hyperlink ref="P7" r:id="rId132" display="https://app.thedigitalbiblelibrary.org/entry?id=4c3eda00cd317568" xr:uid="{BE31400C-D9EF-43E4-B439-3F4FB3B4CC2C}"/>
    <hyperlink ref="P38" r:id="rId133" display="https://app.thedigitalbiblelibrary.org/entry?id=da905e46720432e2" xr:uid="{4E2DFFC8-09EC-4C2D-9950-EC4A17E85D74}"/>
    <hyperlink ref="P74" r:id="rId134" display="https://app.thedigitalbiblelibrary.org/entry?id=33ac978af36830fa" xr:uid="{D857BF28-F71A-4AE2-96E0-F0383C7D40DD}"/>
    <hyperlink ref="P11" r:id="rId135" display="https://app.thedigitalbiblelibrary.org/entry?id=c61908161b077c4c" xr:uid="{3D28EE8B-CB22-42B7-B5B0-43C310805088}"/>
    <hyperlink ref="P15" r:id="rId136" display="https://app.thedigitalbiblelibrary.org/entry?id=e578524a0893c6b7" xr:uid="{937C4409-AC89-4EDE-8F0D-F49DE9FD7DB3}"/>
    <hyperlink ref="P68" r:id="rId137" display="https://app.thedigitalbiblelibrary.org/entry?id=ead7b4cc5007389c" xr:uid="{06313809-E9F4-4478-AD61-7A5F502872D5}"/>
    <hyperlink ref="P17" r:id="rId138" display="https://app.thedigitalbiblelibrary.org/entry?id=685d1470fe4d5c3b" xr:uid="{966A5052-B981-4757-BA97-299B0921D124}"/>
    <hyperlink ref="P18" r:id="rId139" display="https://app.thedigitalbiblelibrary.org/entry?id=06125adad2d5898a" xr:uid="{C7952197-F01D-457C-BD59-8D27A9906552}"/>
    <hyperlink ref="P19" r:id="rId140" display="https://app.thedigitalbiblelibrary.org/entry?id=65bfdebd704a8324" xr:uid="{CF82FF2A-0956-4B1C-8FE8-678478AC4613}"/>
    <hyperlink ref="P20" r:id="rId141" display="https://app.thedigitalbiblelibrary.org/entry?id=6bab4d6c61b31b80" xr:uid="{9D81AB25-54A2-46D0-B89E-CFE5E04EF8A8}"/>
    <hyperlink ref="P21" r:id="rId142" display="https://app.thedigitalbiblelibrary.org/entry?id=179568874c45066f" xr:uid="{64199AFA-59A8-4A09-AF15-61FADE188042}"/>
    <hyperlink ref="P16" r:id="rId143" display="https://app.thedigitalbiblelibrary.org/entry?id=105a06b6146d11e7" xr:uid="{5E5CC6DF-302E-4A7C-8C69-A40CB666BFC6}"/>
    <hyperlink ref="P22" r:id="rId144" display="https://app.thedigitalbiblelibrary.org/entry?id=55ec700d9e0d77ea" xr:uid="{36C5557F-9EB3-4AA9-BE6B-D58CCBC594A2}"/>
    <hyperlink ref="P23" r:id="rId145" display="https://app.thedigitalbiblelibrary.org/entry?id=65eec8e0b60e656b" xr:uid="{004EC7D1-9668-4FA2-9D3B-24EE103A812F}"/>
    <hyperlink ref="P24" r:id="rId146" display="https://app.thedigitalbiblelibrary.org/entry?id=c315fa9f71d4af3a" xr:uid="{3C5AD853-93AB-4DF9-9A36-94C8BCA08C2D}"/>
    <hyperlink ref="P25" r:id="rId147" display="https://app.thedigitalbiblelibrary.org/entry?id=de4e12af7f28f599" xr:uid="{E19A47C5-15C7-4511-8CB7-888505165AEA}"/>
    <hyperlink ref="P26" r:id="rId148" display="https://app.thedigitalbiblelibrary.org/entry?id=01b29f4b342acc35" xr:uid="{B337A085-224E-4986-BB4A-38763D0455C6}"/>
    <hyperlink ref="P27" r:id="rId149" display="https://app.thedigitalbiblelibrary.org/entry?id=bf8f1c7f3f9045a5" xr:uid="{A3F84CB0-9381-424E-BA6A-D3CCEF44C392}"/>
    <hyperlink ref="P28" r:id="rId150" display="https://app.thedigitalbiblelibrary.org/entry?id=40072c4a5aba4022" xr:uid="{BFC6B5FE-CC05-40CD-8C95-6E54F43243B7}"/>
    <hyperlink ref="P29" r:id="rId151" display="https://app.thedigitalbiblelibrary.org/entry?id=ec290b5045ff54a5" xr:uid="{CC18C791-3BA3-49F6-9091-4CD56F8D7DDA}"/>
    <hyperlink ref="P30" r:id="rId152" display="https://app.thedigitalbiblelibrary.org/entry?id=55212e3cf5d04d49" xr:uid="{A0E7502F-5BF3-4BB5-964A-B8E648C6FC51}"/>
    <hyperlink ref="P31" r:id="rId153" display="https://app.thedigitalbiblelibrary.org/entry?id=2f0fd81d7b85b923" xr:uid="{EC4658C3-FD18-43D8-85DF-4D822927D720}"/>
    <hyperlink ref="P32" r:id="rId154" display="https://app.thedigitalbiblelibrary.org/entry?id=66c22495370cdfc0" xr:uid="{3289C485-3BF4-4B5E-AAA0-0D31BCF1381B}"/>
    <hyperlink ref="P33" r:id="rId155" display="https://app.thedigitalbiblelibrary.org/entry?id=9879dbb7cfe39e4d" xr:uid="{7C71F548-8E4F-45C7-A2A8-17BB96F98A2F}"/>
    <hyperlink ref="P34" r:id="rId156" display="https://app.thedigitalbiblelibrary.org/entry?id=7142879509583d59" xr:uid="{3988C4D9-BCE8-46AB-8069-E0966B9B666A}"/>
    <hyperlink ref="P35" r:id="rId157" display="https://app.thedigitalbiblelibrary.org/entry?id=f72b840c855f362c" xr:uid="{4F46FF68-2D9D-48C3-B2DE-5B430DFE317D}"/>
    <hyperlink ref="P36" r:id="rId158" display="https://app.thedigitalbiblelibrary.org/entry?id=04da588535d2f823" xr:uid="{B0B659A5-9902-481B-B179-E56543E471CB}"/>
    <hyperlink ref="P13" r:id="rId159" display="https://app.thedigitalbiblelibrary.org/entry?id=542b32484b6e38c2" xr:uid="{3308FC43-640C-489A-8646-C5A4FBA39708}"/>
    <hyperlink ref="P14" r:id="rId160" display="https://app.thedigitalbiblelibrary.org/entry?id=95410db44ef800c1" xr:uid="{3F74EBF4-3A91-4AA7-A4F4-308796A6DBA6}"/>
    <hyperlink ref="P40" r:id="rId161" display="https://app.thedigitalbiblelibrary.org/entry?id=c114c33098c4fef1" xr:uid="{DA605C37-1A93-47C8-BC5D-29ED380267B1}"/>
    <hyperlink ref="P41" r:id="rId162" display="https://app.thedigitalbiblelibrary.org/entry?id=3aefb10641485092" xr:uid="{9182F866-BD34-4A9B-8FFF-1277DEF3AA7C}"/>
    <hyperlink ref="P42" r:id="rId163" display="https://app.thedigitalbiblelibrary.org/entry?id=5e29945cf530b0f6" xr:uid="{33E6B998-FAB2-4B38-9892-E4A7DC95D306}"/>
    <hyperlink ref="P43" r:id="rId164" display="https://app.thedigitalbiblelibrary.org/entry?id=3548ab6114a312d4" xr:uid="{4545E604-DDE8-4234-92C5-7C763C64766C}"/>
    <hyperlink ref="P120" r:id="rId165" display="https://app.thedigitalbiblelibrary.org/entry?id=a870900c030548a0" xr:uid="{623D97BE-D609-4100-BD6E-623E2CE33C3D}"/>
    <hyperlink ref="P45" r:id="rId166" display="https://app.thedigitalbiblelibrary.org/entry?id=705aad6832c6e4d2" xr:uid="{022A7C32-FAEB-4FE9-875E-52BB05205A31}"/>
    <hyperlink ref="P44" r:id="rId167" display="https://app.thedigitalbiblelibrary.org/entry?id=b35e70bce95d4261" xr:uid="{BC24300A-1A76-48E3-B9C8-D9FEF3236426}"/>
    <hyperlink ref="P46" r:id="rId168" display="https://app.thedigitalbiblelibrary.org/entry?id=2dd568eeff29fb3c" xr:uid="{F582C649-04DC-4DD9-815B-70B5996DFFA0}"/>
    <hyperlink ref="P47" r:id="rId169" display="https://app.thedigitalbiblelibrary.org/entry?id=41f25b97f468e10b" xr:uid="{6BF7492A-15F0-4E5E-AD2C-4079AB4D0184}"/>
    <hyperlink ref="P48" r:id="rId170" display="https://app.thedigitalbiblelibrary.org/entry?id=a33a100f04f2752e" xr:uid="{BE38EA04-8188-4816-A623-0F08EB67D9A1}"/>
    <hyperlink ref="P51" r:id="rId171" display="https://app.thedigitalbiblelibrary.org/entry?id=df7d5d71526afe9e" xr:uid="{8EF546DB-4502-44A7-9A07-BEC2576E33E2}"/>
    <hyperlink ref="P39" r:id="rId172" display="https://app.thedigitalbiblelibrary.org/entry?id=e8b818f49c7c2835" xr:uid="{D44A3D11-7108-4BA1-8AF1-ADABC66B08D0}"/>
    <hyperlink ref="P49" r:id="rId173" display="https://app.thedigitalbiblelibrary.org/entry?id=f2f349d77ac8f8bc" xr:uid="{7BD4356C-D564-4DF4-8E8F-4E40926AE5CA}"/>
    <hyperlink ref="P12" r:id="rId174" display="https://app.thedigitalbiblelibrary.org/entry?id=dca01eb41e39d25d" xr:uid="{420FE662-8815-49BA-9C88-D977CD6C04EC}"/>
    <hyperlink ref="P53" r:id="rId175" display="https://app.thedigitalbiblelibrary.org/entry?id=6aa52b968434d882" xr:uid="{0F957C4A-8F16-4E98-9515-B7801BEB92C7}"/>
    <hyperlink ref="P75" r:id="rId176" display="https://app.thedigitalbiblelibrary.org/entry?id=98d1c5bee401f80c" xr:uid="{14238B87-EE34-4F23-B42C-5EA8AF324A20}"/>
    <hyperlink ref="P56" r:id="rId177" display="https://app.thedigitalbiblelibrary.org/entry?id=385573d4ba3ff72a" xr:uid="{3C9EDA2E-0E5C-4131-B896-C7C1B8ADAC63}"/>
    <hyperlink ref="P57" r:id="rId178" display="https://app.thedigitalbiblelibrary.org/entry?id=bed82ba57f117c16" xr:uid="{B2C09112-22F4-4083-A220-744E9880D31B}"/>
    <hyperlink ref="P59" r:id="rId179" display="https://app.thedigitalbiblelibrary.org/entry?id=b5105cd03c972046" xr:uid="{F0A627D9-B164-4FBC-87C1-ED95EE4F3333}"/>
    <hyperlink ref="P50" r:id="rId180" display="https://app.thedigitalbiblelibrary.org/entry?id=c11c93a0b8a04496" xr:uid="{AA0950A6-DBCB-4A7F-BADC-8698738B39F2}"/>
    <hyperlink ref="P54" r:id="rId181" display="https://app.thedigitalbiblelibrary.org/entry?id=9f78f34aabe691c9" xr:uid="{B3C634A2-FF54-4F0C-B491-9009693BB0F9}"/>
    <hyperlink ref="P55" r:id="rId182" display="https://app.thedigitalbiblelibrary.org/entry?id=8c49129a458d4059" xr:uid="{FDA4C62E-6BA0-48A8-9337-19371D20DF0B}"/>
    <hyperlink ref="P60" r:id="rId183" display="https://app.thedigitalbiblelibrary.org/entry?id=f638e44feb77f803" xr:uid="{9B49A77C-DD25-4478-AD8F-96D40CFDEFB8}"/>
    <hyperlink ref="P58" r:id="rId184" display="https://app.thedigitalbiblelibrary.org/entry?id=abf017938be72f46" xr:uid="{B547CB95-DBC6-468E-B6E8-F58C57703A9A}"/>
    <hyperlink ref="P52" r:id="rId185" display="https://app.thedigitalbiblelibrary.org/entry?id=5591cba5ae063228" xr:uid="{50308463-9CC4-4585-B93D-66CBE3BE7F07}"/>
    <hyperlink ref="P64" r:id="rId186" display="https://app.thedigitalbiblelibrary.org/entry?id=ed5744967fe39c8c" xr:uid="{60613909-EB14-4193-8C8D-034A80DB827F}"/>
    <hyperlink ref="P65" r:id="rId187" display="https://app.thedigitalbiblelibrary.org/entry?id=cb0425ae772bb042" xr:uid="{77A25021-373C-498D-B716-0DFECC1AC747}"/>
    <hyperlink ref="P2" r:id="rId188" display="https://app.thedigitalbiblelibrary.org/entry?id=0c2ff0a5c8b9069c" xr:uid="{7C1C2264-4899-4004-8DA7-D51347D160E9}"/>
    <hyperlink ref="P66" r:id="rId189" display="https://app.thedigitalbiblelibrary.org/entry?id=324f457845cb5d21" xr:uid="{78C18002-2482-4C87-BFBE-3E148C27FAD3}"/>
    <hyperlink ref="P69" r:id="rId190" display="https://app.thedigitalbiblelibrary.org/entry?id=365f988242c307d2" xr:uid="{3C16C16B-8129-4FF3-A7C3-8A274B3D9A95}"/>
    <hyperlink ref="P70" r:id="rId191" display="https://app.thedigitalbiblelibrary.org/entry?id=e2588ba61891daa5" xr:uid="{11213555-10A4-48C5-8F9A-D361EED5410E}"/>
    <hyperlink ref="P121" r:id="rId192" display="https://app.thedigitalbiblelibrary.org/entry?id=439ac17466ab4ae1" xr:uid="{9C92B749-F172-4DC7-990C-17AA46C60EC2}"/>
    <hyperlink ref="P71" r:id="rId193" display="https://app.thedigitalbiblelibrary.org/entry?id=1c9761e0230da6e0" xr:uid="{D74FA1D5-252C-41D1-B838-2585C6982B54}"/>
    <hyperlink ref="P72" r:id="rId194" display="https://app.thedigitalbiblelibrary.org/entry?id=90799bb5b996fddc" xr:uid="{44F08591-0D2F-44F2-8F54-270A412B5B96}"/>
    <hyperlink ref="P37" r:id="rId195" display="https://app.thedigitalbiblelibrary.org/entry?id=9b076bc0f1856204" xr:uid="{CE2A08E2-0AFD-48AC-A181-374B266F382F}"/>
    <hyperlink ref="P61" r:id="rId196" display="https://app.thedigitalbiblelibrary.org/entry?id=4ffcec8e8f3c33e7" xr:uid="{6B032387-5CD2-4505-B95C-6174D9D2F8D3}"/>
    <hyperlink ref="P76" r:id="rId197" display="https://app.thedigitalbiblelibrary.org/entry?id=bb3df4b7c8587c77" xr:uid="{42DDC31B-E614-4658-87D4-CE41F05A3209}"/>
    <hyperlink ref="P77" r:id="rId198" display="https://app.thedigitalbiblelibrary.org/entry?id=8d1ad2c921d811c3" xr:uid="{551BFD03-A911-4D92-8392-51DAFAE9632D}"/>
    <hyperlink ref="P78" r:id="rId199" display="https://app.thedigitalbiblelibrary.org/entry?id=9449d4ad98193779" xr:uid="{02237155-1091-45FD-858E-C1DBE5993138}"/>
    <hyperlink ref="P79" r:id="rId200" display="https://app.thedigitalbiblelibrary.org/entry?id=33b6449cacf22773" xr:uid="{6D64DFDC-D476-4083-BD4C-20889BE20012}"/>
    <hyperlink ref="P80" r:id="rId201" display="https://app.thedigitalbiblelibrary.org/entry?id=e8b40ccabe793c0d" xr:uid="{E6CEBBEC-B2B9-4DA2-9CBA-3449B7F377F9}"/>
    <hyperlink ref="P81" r:id="rId202" display="https://app.thedigitalbiblelibrary.org/entry?id=e9ea572977b4f504" xr:uid="{58C12A42-2A73-445E-B911-B4D5B26B3BF2}"/>
    <hyperlink ref="P82" r:id="rId203" display="https://app.thedigitalbiblelibrary.org/entry?id=89007ccbb2eb5187" xr:uid="{D8147A47-BC70-402A-8056-47D6F852B28A}"/>
    <hyperlink ref="P83" r:id="rId204" display="https://app.thedigitalbiblelibrary.org/entry?id=0b07fcef627a2db2" xr:uid="{AE8D5FBF-1001-4BD6-B1FE-0F68CD6EDE12}"/>
    <hyperlink ref="P84" r:id="rId205" display="https://app.thedigitalbiblelibrary.org/entry?id=d4599ff3c6b97f3a" xr:uid="{7D13AC82-CB28-48BB-886C-7F0FE0272C89}"/>
    <hyperlink ref="P85" r:id="rId206" display="https://app.thedigitalbiblelibrary.org/entry?id=6bc5ae3d6dd9009a" xr:uid="{767059C1-F693-4273-8904-948D71D572D7}"/>
    <hyperlink ref="P86" r:id="rId207" display="https://app.thedigitalbiblelibrary.org/entry?id=c1f49ed98a65a544" xr:uid="{6601FBA9-8BA5-4172-B86A-FC2222AF2F35}"/>
    <hyperlink ref="P87" r:id="rId208" display="https://app.thedigitalbiblelibrary.org/entry?id=6bb8b0fa7aca67c6" xr:uid="{8BC0440A-6212-4ABF-AF47-497F5E754119}"/>
    <hyperlink ref="P88" r:id="rId209" display="https://app.thedigitalbiblelibrary.org/entry?id=119375d97b57cf04" xr:uid="{75D2C4EE-E23B-429A-B0D1-55FA615D41B1}"/>
    <hyperlink ref="P89" r:id="rId210" display="https://app.thedigitalbiblelibrary.org/entry?id=5a27fd2a2de187c8" xr:uid="{8F9C00E4-2706-4696-8DC0-072F61DCC1AF}"/>
    <hyperlink ref="P90" r:id="rId211" display="https://app.thedigitalbiblelibrary.org/entry?id=07225eadadcb079a" xr:uid="{81BA7F7E-9A1E-47F3-9BA3-E70F41BA78C1}"/>
    <hyperlink ref="P91" r:id="rId212" display="https://app.thedigitalbiblelibrary.org/entry?id=2c2cf8df5a22a46e" xr:uid="{054A22DB-F594-4EFD-B3E5-7AD113F67FEA}"/>
    <hyperlink ref="P92" r:id="rId213" display="https://app.thedigitalbiblelibrary.org/entry?id=143e0e03cf5b12ae" xr:uid="{33A7BCF8-A8B1-4776-BE14-7E9053086F81}"/>
    <hyperlink ref="P93" r:id="rId214" display="https://app.thedigitalbiblelibrary.org/entry?id=aa146959e1d39b78" xr:uid="{8BEA3FC8-3F7D-4C3B-92DC-C6DC66C38E80}"/>
    <hyperlink ref="P94" r:id="rId215" display="https://app.thedigitalbiblelibrary.org/entry?id=306d6ab1ca333a1e" xr:uid="{970F9582-D14A-4D00-A7CF-D95C966E1142}"/>
    <hyperlink ref="P95" r:id="rId216" display="https://app.thedigitalbiblelibrary.org/entry?id=018ff00d7f55cbc1" xr:uid="{CDD24A53-3B1F-4AD2-9F5F-3424DAC0B988}"/>
    <hyperlink ref="P96" r:id="rId217" display="https://app.thedigitalbiblelibrary.org/entry?id=51b16e0b4b7c9825" xr:uid="{7C6DD313-02D3-4934-983D-715662ACE348}"/>
    <hyperlink ref="P97" r:id="rId218" display="https://app.thedigitalbiblelibrary.org/entry?id=9a875168ff4df1a3" xr:uid="{53472396-FCC0-404F-A3F5-6A56A80A16C1}"/>
    <hyperlink ref="P102" r:id="rId219" display="https://app.thedigitalbiblelibrary.org/entry?id=06995ce9cd23361b" xr:uid="{3F909E29-CBD9-4744-955A-8BC62D52353C}"/>
    <hyperlink ref="P98" r:id="rId220" display="https://app.thedigitalbiblelibrary.org/entry?id=f95e2d9b384f8e6e" xr:uid="{1A1CCB92-14F8-4797-84E3-4D70324294B9}"/>
    <hyperlink ref="P73" r:id="rId221" display="https://app.thedigitalbiblelibrary.org/entry?id=355792a03079ccdd" xr:uid="{3D710C47-7E05-47A6-B8C1-5467C1CAE98A}"/>
    <hyperlink ref="P9" r:id="rId222" display="https://app.thedigitalbiblelibrary.org/entry?id=6855dabfcb711cc2" xr:uid="{77BDA3E6-C396-48F4-8EDD-59ED3B5746A8}"/>
    <hyperlink ref="P113" r:id="rId223" display="https://app.thedigitalbiblelibrary.org/entry?id=e01f11e9b4b8e338" xr:uid="{66BFEBC7-E8BB-4B0C-8A67-BA4478A9B91C}"/>
    <hyperlink ref="P99" r:id="rId224" display="https://app.thedigitalbiblelibrary.org/entry?id=592420522e16049f" xr:uid="{47DCB0DC-C33A-4B59-A4CF-F666EE73BFBB}"/>
    <hyperlink ref="P100" r:id="rId225" display="https://app.thedigitalbiblelibrary.org/entry?id=482ddd53705278cc" xr:uid="{F88174B3-205E-4E73-AA2E-54A911BCD0CE}"/>
    <hyperlink ref="P103" r:id="rId226" display="https://app.thedigitalbiblelibrary.org/entry?id=bbeb583cd75c6356" xr:uid="{F6645078-2662-4106-AA19-300E1B041EB2}"/>
    <hyperlink ref="P104" r:id="rId227" display="https://app.thedigitalbiblelibrary.org/entry?id=2d5220a02a7aaac6" xr:uid="{FABC1C01-FD91-4082-BACF-C1AE2633FF6C}"/>
    <hyperlink ref="P105" r:id="rId228" display="https://app.thedigitalbiblelibrary.org/entry?id=fa4317c59f0825e0" xr:uid="{CCC5750F-F8F0-4D73-9757-62BA625ECA48}"/>
    <hyperlink ref="P67" r:id="rId229" display="https://app.thedigitalbiblelibrary.org/entry?id=312df00520eac624" xr:uid="{09991461-239F-4975-ABD3-565EDB4EAF60}"/>
    <hyperlink ref="P106" r:id="rId230" display="https://app.thedigitalbiblelibrary.org/entry?id=03a021185023710b" xr:uid="{DFAEA1B3-3130-4345-94E6-F2FFE88ADAD5}"/>
    <hyperlink ref="P107" r:id="rId231" display="https://app.thedigitalbiblelibrary.org/entry?id=8e3b1a957009c6ca" xr:uid="{0B6F5D5F-35C5-44E6-96E4-51B6AAB9A3B8}"/>
    <hyperlink ref="P108" r:id="rId232" display="https://app.thedigitalbiblelibrary.org/entry?id=5b835ce16a1703ff" xr:uid="{A57485F1-8AC2-4A5B-8910-A934F59D9CFC}"/>
    <hyperlink ref="P109" r:id="rId233" display="https://app.thedigitalbiblelibrary.org/entry?id=2eb94132ad61ae75" xr:uid="{066F9B23-E4CD-4EBA-BF11-6D1DAB888C66}"/>
    <hyperlink ref="P110" r:id="rId234" display="https://app.thedigitalbiblelibrary.org/entry?id=30cb581bcc911c45" xr:uid="{FC3FD6EF-E04F-4050-B524-8DC8CC0ABCEB}"/>
    <hyperlink ref="P111" r:id="rId235" display="https://app.thedigitalbiblelibrary.org/entry?id=25210406001d9aae" xr:uid="{AA9B886F-FC67-4EAF-9239-DAB0398F523D}"/>
    <hyperlink ref="P112" r:id="rId236" display="https://app.thedigitalbiblelibrary.org/entry?id=de0270810140edf9" xr:uid="{95CB4EFD-1D00-46DF-A256-CA07D5D0B197}"/>
    <hyperlink ref="P114" r:id="rId237" display="https://app.thedigitalbiblelibrary.org/entry?id=c2d40ebca6db1ec5" xr:uid="{2E372060-B92D-4813-A2FF-0A8EEDDF86A7}"/>
    <hyperlink ref="P115" r:id="rId238" display="https://app.thedigitalbiblelibrary.org/entry?id=1b878de073afef07" xr:uid="{FC063529-F1A4-49AC-9149-87ED2139F216}"/>
    <hyperlink ref="P116" r:id="rId239" display="https://app.thedigitalbiblelibrary.org/entry?id=afe8f67d8ba9025c" xr:uid="{4DD6A6E4-BEF4-4A55-9995-60E59D32A965}"/>
    <hyperlink ref="P117" r:id="rId240" display="https://app.thedigitalbiblelibrary.org/entry?id=8a448a0135a6a70a" xr:uid="{633A5EF8-CD9F-422C-AA8A-E0433E44DD41}"/>
    <hyperlink ref="P118" r:id="rId241" display="https://app.thedigitalbiblelibrary.org/entry?id=7e7a704dd32c4280" xr:uid="{99D5DBFD-4427-45BE-BEC2-FF75C27E30C5}"/>
    <hyperlink ref="P119" r:id="rId242" display="https://app.thedigitalbiblelibrary.org/entry?id=c9f3cf58d557a9f3" xr:uid="{F42D5571-1820-45F3-B94D-06729489582A}"/>
  </hyperlinks>
  <pageMargins left="0.7" right="0.7" top="0.75" bottom="0.75" header="0.3" footer="0.3"/>
  <pageSetup paperSize="9" orientation="portrait" r:id="rId24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5088B-AA8F-4CE1-8C2F-4A218B2380EC}">
  <sheetPr codeName="Sheet7"/>
  <dimension ref="A1:M2048"/>
  <sheetViews>
    <sheetView topLeftCell="B1" workbookViewId="0">
      <pane ySplit="1" topLeftCell="A2" activePane="bottomLeft" state="frozen"/>
      <selection pane="bottomLeft" activeCell="B4" sqref="B4"/>
    </sheetView>
  </sheetViews>
  <sheetFormatPr defaultRowHeight="15" x14ac:dyDescent="0.25"/>
  <cols>
    <col min="1" max="1" width="17.28515625" bestFit="1" customWidth="1"/>
    <col min="2" max="2" width="9.5703125" bestFit="1" customWidth="1"/>
    <col min="3" max="3" width="24.7109375" bestFit="1" customWidth="1"/>
    <col min="4" max="4" width="12" bestFit="1" customWidth="1"/>
    <col min="5" max="5" width="37.28515625" bestFit="1" customWidth="1"/>
    <col min="6" max="6" width="7.42578125" bestFit="1" customWidth="1"/>
    <col min="7" max="7" width="37.5703125" bestFit="1" customWidth="1"/>
    <col min="8" max="8" width="61.28515625" customWidth="1"/>
    <col min="9" max="9" width="62.5703125" bestFit="1" customWidth="1"/>
    <col min="10" max="10" width="18.85546875" bestFit="1" customWidth="1"/>
    <col min="11" max="11" width="26.85546875" customWidth="1"/>
    <col min="12" max="12" width="14.85546875" bestFit="1" customWidth="1"/>
    <col min="13" max="13" width="15.28515625" style="34" customWidth="1"/>
  </cols>
  <sheetData>
    <row r="1" spans="1:13" ht="40.9" customHeight="1" x14ac:dyDescent="0.25">
      <c r="A1" s="36" t="s">
        <v>2705</v>
      </c>
      <c r="B1" s="36" t="s">
        <v>2678</v>
      </c>
      <c r="C1" s="36" t="s">
        <v>2706</v>
      </c>
      <c r="D1" s="36" t="s">
        <v>2707</v>
      </c>
      <c r="E1" s="36" t="s">
        <v>2708</v>
      </c>
      <c r="F1" s="36" t="s">
        <v>1639</v>
      </c>
      <c r="G1" s="36" t="s">
        <v>2709</v>
      </c>
      <c r="H1" s="36" t="s">
        <v>2710</v>
      </c>
      <c r="I1" s="36" t="s">
        <v>2711</v>
      </c>
      <c r="J1" s="36" t="s">
        <v>2712</v>
      </c>
      <c r="K1" s="36" t="s">
        <v>2713</v>
      </c>
      <c r="L1" s="36" t="s">
        <v>2714</v>
      </c>
      <c r="M1" s="38" t="s">
        <v>2715</v>
      </c>
    </row>
    <row r="2" spans="1:13" x14ac:dyDescent="0.25">
      <c r="A2" t="s">
        <v>2716</v>
      </c>
      <c r="B2" t="str">
        <f>IF(ISERROR(VLOOKUP(F2,STEP!A:A, 1, FALSE)), "N", "Y")</f>
        <v>Y</v>
      </c>
      <c r="C2" t="str">
        <f>IF(ISERROR(VLOOKUP(E2, BibleInEveryLanguageTexts!A:A, 1, FALSE)), "N", "Y")</f>
        <v>N</v>
      </c>
      <c r="E2" t="s">
        <v>2717</v>
      </c>
      <c r="F2" t="s">
        <v>2718</v>
      </c>
      <c r="G2" t="s">
        <v>48</v>
      </c>
      <c r="H2" t="s">
        <v>2719</v>
      </c>
      <c r="I2" t="s">
        <v>2661</v>
      </c>
      <c r="J2" s="32" t="s">
        <v>2662</v>
      </c>
      <c r="K2" t="s">
        <v>2663</v>
      </c>
      <c r="L2">
        <v>2</v>
      </c>
    </row>
    <row r="3" spans="1:13" x14ac:dyDescent="0.25">
      <c r="A3" t="s">
        <v>2720</v>
      </c>
      <c r="B3" t="str">
        <f>IF(ISERROR(VLOOKUP(F3,STEP!A:A, 1, FALSE)), "N", "Y")</f>
        <v>N</v>
      </c>
      <c r="C3" t="str">
        <f>IF(ISERROR(VLOOKUP(E3, BibleInEveryLanguageTexts!A:A, 1, FALSE)), "N", "Y")</f>
        <v>N</v>
      </c>
      <c r="D3" t="str">
        <f t="shared" ref="D3:D66" si="0">IF(AND("N" = B3, "N" = C3), "X", "")</f>
        <v>X</v>
      </c>
      <c r="E3" t="s">
        <v>2721</v>
      </c>
      <c r="F3" t="s">
        <v>2722</v>
      </c>
      <c r="G3" t="s">
        <v>2723</v>
      </c>
      <c r="H3" t="s">
        <v>2724</v>
      </c>
      <c r="I3" t="s">
        <v>2661</v>
      </c>
      <c r="J3" t="str">
        <f>IF(0 = IFERROR(VLOOKUP(DBL_FullList!I3, ContactsDbl!B:D, 2, FALSE), ""), "", IFERROR(VLOOKUP(DBL_FullList!I3, ContactsDbl!B:D, 2, FALSE), ""))</f>
        <v>dbladmin_intl@sil.org</v>
      </c>
      <c r="K3" t="str">
        <f>IF(0 = IFERROR(VLOOKUP(DBL_FullList!I3,ContactsDbl!B:D, 3, FALSE), ""), "", IFERROR(VLOOKUP(DBL_FullList!I3, ContactsDbl!B:D, 3, FALSE), ""))</f>
        <v>http://www.wycliffe.org</v>
      </c>
      <c r="L3">
        <f t="shared" ref="L3:L66" si="1">IF("" &lt;&gt; J3, 2, IF("" &lt;&gt; K3, 1, 0))</f>
        <v>2</v>
      </c>
    </row>
    <row r="4" spans="1:13" x14ac:dyDescent="0.25">
      <c r="A4" t="s">
        <v>2725</v>
      </c>
      <c r="B4" t="str">
        <f>IF(ISERROR(VLOOKUP(F4,STEP!A:A, 1, FALSE)), "N", "Y")</f>
        <v>N</v>
      </c>
      <c r="C4" t="str">
        <f>IF(ISERROR(VLOOKUP(E4, BibleInEveryLanguageTexts!A:A, 1, FALSE)), "N", "Y")</f>
        <v>N</v>
      </c>
      <c r="D4" t="str">
        <f t="shared" si="0"/>
        <v>X</v>
      </c>
      <c r="E4" t="s">
        <v>2726</v>
      </c>
      <c r="F4" t="s">
        <v>2727</v>
      </c>
      <c r="G4" t="s">
        <v>2728</v>
      </c>
      <c r="H4" t="s">
        <v>2729</v>
      </c>
      <c r="I4" t="s">
        <v>2084</v>
      </c>
      <c r="J4" t="str">
        <f>IF(0 = IFERROR(VLOOKUP(DBL_FullList!I4, ContactsDbl!B:D, 2, FALSE), ""), "", IFERROR(VLOOKUP(DBL_FullList!I4, ContactsDbl!B:D, 2, FALSE), ""))</f>
        <v>pzlateski@yahoo.it</v>
      </c>
      <c r="K4" t="str">
        <f>IF(0 = IFERROR(VLOOKUP(DBL_FullList!I4,ContactsDbl!B:D, 3, FALSE), ""), "", IFERROR(VLOOKUP(DBL_FullList!I4, ContactsDbl!B:D, 3, FALSE), ""))</f>
        <v/>
      </c>
      <c r="L4">
        <f t="shared" si="1"/>
        <v>2</v>
      </c>
    </row>
    <row r="5" spans="1:13" x14ac:dyDescent="0.25">
      <c r="A5" t="s">
        <v>2730</v>
      </c>
      <c r="B5" t="str">
        <f>IF(ISERROR(VLOOKUP(F5,STEP!A:A, 1, FALSE)), "N", "Y")</f>
        <v>N</v>
      </c>
      <c r="C5" t="str">
        <f>IF(ISERROR(VLOOKUP(E5, BibleInEveryLanguageTexts!A:A, 1, FALSE)), "N", "Y")</f>
        <v>N</v>
      </c>
      <c r="D5" t="str">
        <f t="shared" si="0"/>
        <v>X</v>
      </c>
      <c r="E5" t="s">
        <v>2731</v>
      </c>
      <c r="F5" t="s">
        <v>2732</v>
      </c>
      <c r="G5" t="s">
        <v>2733</v>
      </c>
      <c r="H5" t="s">
        <v>2734</v>
      </c>
      <c r="I5" t="s">
        <v>2661</v>
      </c>
      <c r="J5" t="str">
        <f>IF(0 = IFERROR(VLOOKUP(DBL_FullList!I5, ContactsDbl!B:D, 2, FALSE), ""), "", IFERROR(VLOOKUP(DBL_FullList!I5, ContactsDbl!B:D, 2, FALSE), ""))</f>
        <v>dbladmin_intl@sil.org</v>
      </c>
      <c r="K5" t="str">
        <f>IF(0 = IFERROR(VLOOKUP(DBL_FullList!I5,ContactsDbl!B:D, 3, FALSE), ""), "", IFERROR(VLOOKUP(DBL_FullList!I5, ContactsDbl!B:D, 3, FALSE), ""))</f>
        <v>http://www.wycliffe.org</v>
      </c>
      <c r="L5">
        <f t="shared" si="1"/>
        <v>2</v>
      </c>
    </row>
    <row r="6" spans="1:13" x14ac:dyDescent="0.25">
      <c r="A6" t="s">
        <v>2735</v>
      </c>
      <c r="B6" t="str">
        <f>IF(ISERROR(VLOOKUP(F6,STEP!A:A, 1, FALSE)), "N", "Y")</f>
        <v>N</v>
      </c>
      <c r="C6" t="str">
        <f>IF(ISERROR(VLOOKUP(E6, BibleInEveryLanguageTexts!A:A, 1, FALSE)), "N", "Y")</f>
        <v>N</v>
      </c>
      <c r="D6" t="str">
        <f t="shared" si="0"/>
        <v>X</v>
      </c>
      <c r="E6" t="s">
        <v>2736</v>
      </c>
      <c r="F6" t="s">
        <v>2737</v>
      </c>
      <c r="G6" t="s">
        <v>2738</v>
      </c>
      <c r="H6" t="s">
        <v>2739</v>
      </c>
      <c r="I6" t="s">
        <v>2661</v>
      </c>
      <c r="J6" t="str">
        <f>IF(0 = IFERROR(VLOOKUP(DBL_FullList!I6, ContactsDbl!B:D, 2, FALSE), ""), "", IFERROR(VLOOKUP(DBL_FullList!I6, ContactsDbl!B:D, 2, FALSE), ""))</f>
        <v>dbladmin_intl@sil.org</v>
      </c>
      <c r="K6" t="str">
        <f>IF(0 = IFERROR(VLOOKUP(DBL_FullList!I6,ContactsDbl!B:D, 3, FALSE), ""), "", IFERROR(VLOOKUP(DBL_FullList!I6, ContactsDbl!B:D, 3, FALSE), ""))</f>
        <v>http://www.wycliffe.org</v>
      </c>
      <c r="L6">
        <f t="shared" si="1"/>
        <v>2</v>
      </c>
    </row>
    <row r="7" spans="1:13" x14ac:dyDescent="0.25">
      <c r="A7" s="1" t="s">
        <v>2740</v>
      </c>
      <c r="B7" t="str">
        <f>IF(ISERROR(VLOOKUP(F7,STEP!A:A, 1, FALSE)), "N", "Y")</f>
        <v>N</v>
      </c>
      <c r="C7" t="str">
        <f>IF(ISERROR(VLOOKUP(E7, BibleInEveryLanguageTexts!A:A, 1, FALSE)), "N", "Y")</f>
        <v>N</v>
      </c>
      <c r="D7" t="str">
        <f t="shared" si="0"/>
        <v>X</v>
      </c>
      <c r="E7" t="s">
        <v>2741</v>
      </c>
      <c r="F7" t="s">
        <v>2742</v>
      </c>
      <c r="G7" t="s">
        <v>2743</v>
      </c>
      <c r="H7" t="s">
        <v>2744</v>
      </c>
      <c r="I7" t="s">
        <v>2661</v>
      </c>
      <c r="J7" t="str">
        <f>IF(0 = IFERROR(VLOOKUP(DBL_FullList!I7, ContactsDbl!B:D, 2, FALSE), ""), "", IFERROR(VLOOKUP(DBL_FullList!I7, ContactsDbl!B:D, 2, FALSE), ""))</f>
        <v>dbladmin_intl@sil.org</v>
      </c>
      <c r="K7" t="str">
        <f>IF(0 = IFERROR(VLOOKUP(DBL_FullList!I7,ContactsDbl!B:D, 3, FALSE), ""), "", IFERROR(VLOOKUP(DBL_FullList!I7, ContactsDbl!B:D, 3, FALSE), ""))</f>
        <v>http://www.wycliffe.org</v>
      </c>
      <c r="L7">
        <f t="shared" si="1"/>
        <v>2</v>
      </c>
    </row>
    <row r="8" spans="1:13" x14ac:dyDescent="0.25">
      <c r="A8" t="s">
        <v>2745</v>
      </c>
      <c r="B8" t="str">
        <f>IF(ISERROR(VLOOKUP(F8,STEP!A:A, 1, FALSE)), "N", "Y")</f>
        <v>N</v>
      </c>
      <c r="C8" t="str">
        <f>IF(ISERROR(VLOOKUP(E8, BibleInEveryLanguageTexts!A:A, 1, FALSE)), "N", "Y")</f>
        <v>N</v>
      </c>
      <c r="D8" t="str">
        <f t="shared" si="0"/>
        <v>X</v>
      </c>
      <c r="E8" t="s">
        <v>2746</v>
      </c>
      <c r="F8" t="s">
        <v>2747</v>
      </c>
      <c r="G8" t="s">
        <v>25</v>
      </c>
      <c r="H8" t="s">
        <v>2748</v>
      </c>
      <c r="I8" t="s">
        <v>2661</v>
      </c>
      <c r="J8" t="str">
        <f>IF(0 = IFERROR(VLOOKUP(DBL_FullList!I8, ContactsDbl!B:D, 2, FALSE), ""), "", IFERROR(VLOOKUP(DBL_FullList!I8, ContactsDbl!B:D, 2, FALSE), ""))</f>
        <v>dbladmin_intl@sil.org</v>
      </c>
      <c r="K8" t="str">
        <f>IF(0 = IFERROR(VLOOKUP(DBL_FullList!I8,ContactsDbl!B:D, 3, FALSE), ""), "", IFERROR(VLOOKUP(DBL_FullList!I8, ContactsDbl!B:D, 3, FALSE), ""))</f>
        <v>http://www.wycliffe.org</v>
      </c>
      <c r="L8">
        <f t="shared" si="1"/>
        <v>2</v>
      </c>
    </row>
    <row r="9" spans="1:13" x14ac:dyDescent="0.25">
      <c r="A9" t="s">
        <v>2749</v>
      </c>
      <c r="B9" t="str">
        <f>IF(ISERROR(VLOOKUP(F9,STEP!A:A, 1, FALSE)), "N", "Y")</f>
        <v>Y</v>
      </c>
      <c r="C9" t="str">
        <f>IF(ISERROR(VLOOKUP(E9, BibleInEveryLanguageTexts!A:A, 1, FALSE)), "N", "Y")</f>
        <v>N</v>
      </c>
      <c r="D9" t="str">
        <f t="shared" si="0"/>
        <v/>
      </c>
      <c r="E9" t="s">
        <v>2750</v>
      </c>
      <c r="F9" t="s">
        <v>2751</v>
      </c>
      <c r="G9" t="s">
        <v>48</v>
      </c>
      <c r="H9" t="s">
        <v>2752</v>
      </c>
      <c r="I9" t="s">
        <v>2661</v>
      </c>
      <c r="J9" t="str">
        <f>IF(0 = IFERROR(VLOOKUP(DBL_FullList!I9, ContactsDbl!B:D, 2, FALSE), ""), "", IFERROR(VLOOKUP(DBL_FullList!I9, ContactsDbl!B:D, 2, FALSE), ""))</f>
        <v>dbladmin_intl@sil.org</v>
      </c>
      <c r="K9" t="str">
        <f>IF(0 = IFERROR(VLOOKUP(DBL_FullList!I9,ContactsDbl!B:D, 3, FALSE), ""), "", IFERROR(VLOOKUP(DBL_FullList!I9, ContactsDbl!B:D, 3, FALSE), ""))</f>
        <v>http://www.wycliffe.org</v>
      </c>
      <c r="L9">
        <f t="shared" si="1"/>
        <v>2</v>
      </c>
    </row>
    <row r="10" spans="1:13" x14ac:dyDescent="0.25">
      <c r="A10" t="s">
        <v>2753</v>
      </c>
      <c r="B10" t="str">
        <f>IF(ISERROR(VLOOKUP(F10,STEP!A:A, 1, FALSE)), "N", "Y")</f>
        <v>N</v>
      </c>
      <c r="C10" t="str">
        <f>IF(ISERROR(VLOOKUP(E10, BibleInEveryLanguageTexts!A:A, 1, FALSE)), "N", "Y")</f>
        <v>N</v>
      </c>
      <c r="D10" t="str">
        <f t="shared" si="0"/>
        <v>X</v>
      </c>
      <c r="E10" t="s">
        <v>2754</v>
      </c>
      <c r="F10" t="s">
        <v>2755</v>
      </c>
      <c r="G10" t="s">
        <v>2756</v>
      </c>
      <c r="H10" t="s">
        <v>2757</v>
      </c>
      <c r="I10" t="s">
        <v>2661</v>
      </c>
      <c r="J10" t="str">
        <f>IF(0 = IFERROR(VLOOKUP(DBL_FullList!I10, ContactsDbl!B:D, 2, FALSE), ""), "", IFERROR(VLOOKUP(DBL_FullList!I10, ContactsDbl!B:D, 2, FALSE), ""))</f>
        <v>dbladmin_intl@sil.org</v>
      </c>
      <c r="K10" t="str">
        <f>IF(0 = IFERROR(VLOOKUP(DBL_FullList!I10,ContactsDbl!B:D, 3, FALSE), ""), "", IFERROR(VLOOKUP(DBL_FullList!I10, ContactsDbl!B:D, 3, FALSE), ""))</f>
        <v>http://www.wycliffe.org</v>
      </c>
      <c r="L10">
        <f t="shared" si="1"/>
        <v>2</v>
      </c>
    </row>
    <row r="11" spans="1:13" x14ac:dyDescent="0.25">
      <c r="A11" t="s">
        <v>2758</v>
      </c>
      <c r="B11" t="str">
        <f>IF(ISERROR(VLOOKUP(F11,STEP!A:A, 1, FALSE)), "N", "Y")</f>
        <v>N</v>
      </c>
      <c r="C11" t="str">
        <f>IF(ISERROR(VLOOKUP(E11, BibleInEveryLanguageTexts!A:A, 1, FALSE)), "N", "Y")</f>
        <v>N</v>
      </c>
      <c r="D11" t="str">
        <f t="shared" si="0"/>
        <v>X</v>
      </c>
      <c r="E11" t="s">
        <v>2759</v>
      </c>
      <c r="F11" t="s">
        <v>2760</v>
      </c>
      <c r="G11" t="s">
        <v>48</v>
      </c>
      <c r="H11" t="s">
        <v>2761</v>
      </c>
      <c r="I11" t="s">
        <v>2661</v>
      </c>
      <c r="J11" t="str">
        <f>IF(0 = IFERROR(VLOOKUP(DBL_FullList!I11, ContactsDbl!B:D, 2, FALSE), ""), "", IFERROR(VLOOKUP(DBL_FullList!I11, ContactsDbl!B:D, 2, FALSE), ""))</f>
        <v>dbladmin_intl@sil.org</v>
      </c>
      <c r="K11" t="str">
        <f>IF(0 = IFERROR(VLOOKUP(DBL_FullList!I11,ContactsDbl!B:D, 3, FALSE), ""), "", IFERROR(VLOOKUP(DBL_FullList!I11, ContactsDbl!B:D, 3, FALSE), ""))</f>
        <v>http://www.wycliffe.org</v>
      </c>
      <c r="L11">
        <f t="shared" si="1"/>
        <v>2</v>
      </c>
    </row>
    <row r="12" spans="1:13" x14ac:dyDescent="0.25">
      <c r="A12" t="s">
        <v>2762</v>
      </c>
      <c r="B12" t="str">
        <f>IF(ISERROR(VLOOKUP(F12,STEP!A:A, 1, FALSE)), "N", "Y")</f>
        <v>Y</v>
      </c>
      <c r="C12" t="str">
        <f>IF(ISERROR(VLOOKUP(E12, BibleInEveryLanguageTexts!A:A, 1, FALSE)), "N", "Y")</f>
        <v>N</v>
      </c>
      <c r="D12" t="str">
        <f t="shared" si="0"/>
        <v/>
      </c>
      <c r="E12" t="s">
        <v>2763</v>
      </c>
      <c r="F12" t="s">
        <v>2764</v>
      </c>
      <c r="G12" t="s">
        <v>48</v>
      </c>
      <c r="H12" t="s">
        <v>2765</v>
      </c>
      <c r="I12" t="s">
        <v>2661</v>
      </c>
      <c r="J12" t="str">
        <f>IF(0 = IFERROR(VLOOKUP(DBL_FullList!I12, ContactsDbl!B:D, 2, FALSE), ""), "", IFERROR(VLOOKUP(DBL_FullList!I12, ContactsDbl!B:D, 2, FALSE), ""))</f>
        <v>dbladmin_intl@sil.org</v>
      </c>
      <c r="K12" t="str">
        <f>IF(0 = IFERROR(VLOOKUP(DBL_FullList!I12,ContactsDbl!B:D, 3, FALSE), ""), "", IFERROR(VLOOKUP(DBL_FullList!I12, ContactsDbl!B:D, 3, FALSE), ""))</f>
        <v>http://www.wycliffe.org</v>
      </c>
      <c r="L12">
        <f t="shared" si="1"/>
        <v>2</v>
      </c>
    </row>
    <row r="13" spans="1:13" x14ac:dyDescent="0.25">
      <c r="A13" s="1" t="s">
        <v>2766</v>
      </c>
      <c r="B13" t="str">
        <f>IF(ISERROR(VLOOKUP(F13,STEP!A:A, 1, FALSE)), "N", "Y")</f>
        <v>Y</v>
      </c>
      <c r="C13" t="str">
        <f>IF(ISERROR(VLOOKUP(E13, BibleInEveryLanguageTexts!A:A, 1, FALSE)), "N", "Y")</f>
        <v>N</v>
      </c>
      <c r="D13" t="str">
        <f t="shared" si="0"/>
        <v/>
      </c>
      <c r="E13" t="s">
        <v>2767</v>
      </c>
      <c r="F13" t="s">
        <v>2768</v>
      </c>
      <c r="G13" t="s">
        <v>48</v>
      </c>
      <c r="H13" t="s">
        <v>2769</v>
      </c>
      <c r="I13" t="s">
        <v>2661</v>
      </c>
      <c r="J13" t="str">
        <f>IF(0 = IFERROR(VLOOKUP(DBL_FullList!I13, ContactsDbl!B:D, 2, FALSE), ""), "", IFERROR(VLOOKUP(DBL_FullList!I13, ContactsDbl!B:D, 2, FALSE), ""))</f>
        <v>dbladmin_intl@sil.org</v>
      </c>
      <c r="K13" t="str">
        <f>IF(0 = IFERROR(VLOOKUP(DBL_FullList!I13,ContactsDbl!B:D, 3, FALSE), ""), "", IFERROR(VLOOKUP(DBL_FullList!I13, ContactsDbl!B:D, 3, FALSE), ""))</f>
        <v>http://www.wycliffe.org</v>
      </c>
      <c r="L13">
        <f t="shared" si="1"/>
        <v>2</v>
      </c>
    </row>
    <row r="14" spans="1:13" x14ac:dyDescent="0.25">
      <c r="A14" t="s">
        <v>2770</v>
      </c>
      <c r="B14" t="str">
        <f>IF(ISERROR(VLOOKUP(F14,STEP!A:A, 1, FALSE)), "N", "Y")</f>
        <v>Y</v>
      </c>
      <c r="C14" t="str">
        <f>IF(ISERROR(VLOOKUP(E14, BibleInEveryLanguageTexts!A:A, 1, FALSE)), "N", "Y")</f>
        <v>N</v>
      </c>
      <c r="D14" t="str">
        <f t="shared" si="0"/>
        <v/>
      </c>
      <c r="E14" t="s">
        <v>2771</v>
      </c>
      <c r="F14" t="s">
        <v>2772</v>
      </c>
      <c r="G14" t="s">
        <v>48</v>
      </c>
      <c r="H14" t="s">
        <v>2773</v>
      </c>
      <c r="I14" t="s">
        <v>2661</v>
      </c>
      <c r="J14" t="str">
        <f>IF(0 = IFERROR(VLOOKUP(DBL_FullList!I14, ContactsDbl!B:D, 2, FALSE), ""), "", IFERROR(VLOOKUP(DBL_FullList!I14, ContactsDbl!B:D, 2, FALSE), ""))</f>
        <v>dbladmin_intl@sil.org</v>
      </c>
      <c r="K14" t="str">
        <f>IF(0 = IFERROR(VLOOKUP(DBL_FullList!I14,ContactsDbl!B:D, 3, FALSE), ""), "", IFERROR(VLOOKUP(DBL_FullList!I14, ContactsDbl!B:D, 3, FALSE), ""))</f>
        <v>http://www.wycliffe.org</v>
      </c>
      <c r="L14">
        <f t="shared" si="1"/>
        <v>2</v>
      </c>
    </row>
    <row r="15" spans="1:13" x14ac:dyDescent="0.25">
      <c r="A15" t="s">
        <v>2774</v>
      </c>
      <c r="B15" t="str">
        <f>IF(ISERROR(VLOOKUP(F15,STEP!A:A, 1, FALSE)), "N", "Y")</f>
        <v>Y</v>
      </c>
      <c r="C15" t="str">
        <f>IF(ISERROR(VLOOKUP(E15, BibleInEveryLanguageTexts!A:A, 1, FALSE)), "N", "Y")</f>
        <v>N</v>
      </c>
      <c r="D15" t="str">
        <f t="shared" si="0"/>
        <v/>
      </c>
      <c r="E15" t="s">
        <v>2775</v>
      </c>
      <c r="F15" t="s">
        <v>2776</v>
      </c>
      <c r="G15" t="s">
        <v>48</v>
      </c>
      <c r="H15" t="s">
        <v>2777</v>
      </c>
      <c r="I15" t="s">
        <v>2661</v>
      </c>
      <c r="J15" t="str">
        <f>IF(0 = IFERROR(VLOOKUP(DBL_FullList!I15, ContactsDbl!B:D, 2, FALSE), ""), "", IFERROR(VLOOKUP(DBL_FullList!I15, ContactsDbl!B:D, 2, FALSE), ""))</f>
        <v>dbladmin_intl@sil.org</v>
      </c>
      <c r="K15" t="str">
        <f>IF(0 = IFERROR(VLOOKUP(DBL_FullList!I15,ContactsDbl!B:D, 3, FALSE), ""), "", IFERROR(VLOOKUP(DBL_FullList!I15, ContactsDbl!B:D, 3, FALSE), ""))</f>
        <v>http://www.wycliffe.org</v>
      </c>
      <c r="L15">
        <f t="shared" si="1"/>
        <v>2</v>
      </c>
    </row>
    <row r="16" spans="1:13" x14ac:dyDescent="0.25">
      <c r="A16" t="s">
        <v>2778</v>
      </c>
      <c r="B16" t="str">
        <f>IF(ISERROR(VLOOKUP(F16,STEP!A:A, 1, FALSE)), "N", "Y")</f>
        <v>Y</v>
      </c>
      <c r="C16" t="str">
        <f>IF(ISERROR(VLOOKUP(E16, BibleInEveryLanguageTexts!A:A, 1, FALSE)), "N", "Y")</f>
        <v>N</v>
      </c>
      <c r="D16" t="str">
        <f t="shared" si="0"/>
        <v/>
      </c>
      <c r="E16" t="s">
        <v>2779</v>
      </c>
      <c r="F16" t="s">
        <v>2780</v>
      </c>
      <c r="G16" t="s">
        <v>48</v>
      </c>
      <c r="H16" t="s">
        <v>2781</v>
      </c>
      <c r="I16" t="s">
        <v>2661</v>
      </c>
      <c r="J16" t="str">
        <f>IF(0 = IFERROR(VLOOKUP(DBL_FullList!I16, ContactsDbl!B:D, 2, FALSE), ""), "", IFERROR(VLOOKUP(DBL_FullList!I16, ContactsDbl!B:D, 2, FALSE), ""))</f>
        <v>dbladmin_intl@sil.org</v>
      </c>
      <c r="K16" t="str">
        <f>IF(0 = IFERROR(VLOOKUP(DBL_FullList!I16,ContactsDbl!B:D, 3, FALSE), ""), "", IFERROR(VLOOKUP(DBL_FullList!I16, ContactsDbl!B:D, 3, FALSE), ""))</f>
        <v>http://www.wycliffe.org</v>
      </c>
      <c r="L16">
        <f t="shared" si="1"/>
        <v>2</v>
      </c>
    </row>
    <row r="17" spans="1:12" x14ac:dyDescent="0.25">
      <c r="A17" t="s">
        <v>2782</v>
      </c>
      <c r="B17" t="str">
        <f>IF(ISERROR(VLOOKUP(F17,STEP!A:A, 1, FALSE)), "N", "Y")</f>
        <v>Y</v>
      </c>
      <c r="C17" t="str">
        <f>IF(ISERROR(VLOOKUP(E17, BibleInEveryLanguageTexts!A:A, 1, FALSE)), "N", "Y")</f>
        <v>N</v>
      </c>
      <c r="D17" t="str">
        <f t="shared" si="0"/>
        <v/>
      </c>
      <c r="E17" t="s">
        <v>2783</v>
      </c>
      <c r="F17" t="s">
        <v>2784</v>
      </c>
      <c r="G17" t="s">
        <v>48</v>
      </c>
      <c r="H17" t="s">
        <v>2785</v>
      </c>
      <c r="I17" t="s">
        <v>2661</v>
      </c>
      <c r="J17" t="str">
        <f>IF(0 = IFERROR(VLOOKUP(DBL_FullList!I17, ContactsDbl!B:D, 2, FALSE), ""), "", IFERROR(VLOOKUP(DBL_FullList!I17, ContactsDbl!B:D, 2, FALSE), ""))</f>
        <v>dbladmin_intl@sil.org</v>
      </c>
      <c r="K17" t="str">
        <f>IF(0 = IFERROR(VLOOKUP(DBL_FullList!I17,ContactsDbl!B:D, 3, FALSE), ""), "", IFERROR(VLOOKUP(DBL_FullList!I17, ContactsDbl!B:D, 3, FALSE), ""))</f>
        <v>http://www.wycliffe.org</v>
      </c>
      <c r="L17">
        <f t="shared" si="1"/>
        <v>2</v>
      </c>
    </row>
    <row r="18" spans="1:12" x14ac:dyDescent="0.25">
      <c r="A18" t="s">
        <v>2786</v>
      </c>
      <c r="B18" t="str">
        <f>IF(ISERROR(VLOOKUP(F18,STEP!A:A, 1, FALSE)), "N", "Y")</f>
        <v>N</v>
      </c>
      <c r="C18" t="str">
        <f>IF(ISERROR(VLOOKUP(E18, BibleInEveryLanguageTexts!A:A, 1, FALSE)), "N", "Y")</f>
        <v>N</v>
      </c>
      <c r="D18" t="str">
        <f t="shared" si="0"/>
        <v>X</v>
      </c>
      <c r="E18" t="s">
        <v>2787</v>
      </c>
      <c r="F18" t="s">
        <v>2788</v>
      </c>
      <c r="G18" t="s">
        <v>20</v>
      </c>
      <c r="H18" t="s">
        <v>2789</v>
      </c>
      <c r="I18" t="s">
        <v>2329</v>
      </c>
      <c r="J18" t="str">
        <f>IF(0 = IFERROR(VLOOKUP(DBL_FullList!I18, ContactsDbl!B:D, 2, FALSE), ""), "", IFERROR(VLOOKUP(DBL_FullList!I18, ContactsDbl!B:D, 2, FALSE), ""))</f>
        <v/>
      </c>
      <c r="K18" t="str">
        <f>IF(0 = IFERROR(VLOOKUP(DBL_FullList!I18,ContactsDbl!B:D, 3, FALSE), ""), "", IFERROR(VLOOKUP(DBL_FullList!I18, ContactsDbl!B:D, 3, FALSE), ""))</f>
        <v>http://www.bsind.org/</v>
      </c>
      <c r="L18">
        <f t="shared" si="1"/>
        <v>1</v>
      </c>
    </row>
    <row r="19" spans="1:12" x14ac:dyDescent="0.25">
      <c r="A19" t="s">
        <v>2790</v>
      </c>
      <c r="B19" t="str">
        <f>IF(ISERROR(VLOOKUP(F19,STEP!A:A, 1, FALSE)), "N", "Y")</f>
        <v>Y</v>
      </c>
      <c r="C19" t="str">
        <f>IF(ISERROR(VLOOKUP(E19, BibleInEveryLanguageTexts!A:A, 1, FALSE)), "N", "Y")</f>
        <v>N</v>
      </c>
      <c r="D19" t="str">
        <f t="shared" si="0"/>
        <v/>
      </c>
      <c r="E19" t="s">
        <v>2791</v>
      </c>
      <c r="F19" t="s">
        <v>2792</v>
      </c>
      <c r="G19" t="s">
        <v>2793</v>
      </c>
      <c r="H19" t="s">
        <v>2794</v>
      </c>
      <c r="I19" t="s">
        <v>2661</v>
      </c>
      <c r="J19" t="str">
        <f>IF(0 = IFERROR(VLOOKUP(DBL_FullList!I19, ContactsDbl!B:D, 2, FALSE), ""), "", IFERROR(VLOOKUP(DBL_FullList!I19, ContactsDbl!B:D, 2, FALSE), ""))</f>
        <v>dbladmin_intl@sil.org</v>
      </c>
      <c r="K19" t="str">
        <f>IF(0 = IFERROR(VLOOKUP(DBL_FullList!I19,ContactsDbl!B:D, 3, FALSE), ""), "", IFERROR(VLOOKUP(DBL_FullList!I19, ContactsDbl!B:D, 3, FALSE), ""))</f>
        <v>http://www.wycliffe.org</v>
      </c>
      <c r="L19">
        <f t="shared" si="1"/>
        <v>2</v>
      </c>
    </row>
    <row r="20" spans="1:12" x14ac:dyDescent="0.25">
      <c r="A20" t="s">
        <v>2795</v>
      </c>
      <c r="B20" t="str">
        <f>IF(ISERROR(VLOOKUP(F20,STEP!A:A, 1, FALSE)), "N", "Y")</f>
        <v>N</v>
      </c>
      <c r="C20" t="str">
        <f>IF(ISERROR(VLOOKUP(E20, BibleInEveryLanguageTexts!A:A, 1, FALSE)), "N", "Y")</f>
        <v>N</v>
      </c>
      <c r="D20" t="str">
        <f t="shared" si="0"/>
        <v>X</v>
      </c>
      <c r="E20" t="s">
        <v>334</v>
      </c>
      <c r="F20" t="s">
        <v>332</v>
      </c>
      <c r="G20" t="s">
        <v>333</v>
      </c>
      <c r="H20" t="s">
        <v>2796</v>
      </c>
      <c r="I20" t="s">
        <v>2534</v>
      </c>
      <c r="J20" t="str">
        <f>IF(0 = IFERROR(VLOOKUP(DBL_FullList!I20, ContactsDbl!B:D, 2, FALSE), ""), "", IFERROR(VLOOKUP(DBL_FullList!I20, ContactsDbl!B:D, 2, FALSE), ""))</f>
        <v>elismar@sbb.org.br</v>
      </c>
      <c r="K20" t="str">
        <f>IF(0 = IFERROR(VLOOKUP(DBL_FullList!I20,ContactsDbl!B:D, 3, FALSE), ""), "", IFERROR(VLOOKUP(DBL_FullList!I20, ContactsDbl!B:D, 3, FALSE), ""))</f>
        <v>http://www.sbb.org.br</v>
      </c>
      <c r="L20">
        <f t="shared" si="1"/>
        <v>2</v>
      </c>
    </row>
    <row r="21" spans="1:12" x14ac:dyDescent="0.25">
      <c r="A21" t="s">
        <v>2797</v>
      </c>
      <c r="B21" t="str">
        <f>IF(ISERROR(VLOOKUP(F21,STEP!A:A, 1, FALSE)), "N", "Y")</f>
        <v>N</v>
      </c>
      <c r="C21" t="str">
        <f>IF(ISERROR(VLOOKUP(E21, BibleInEveryLanguageTexts!A:A, 1, FALSE)), "N", "Y")</f>
        <v>N</v>
      </c>
      <c r="D21" t="str">
        <f t="shared" si="0"/>
        <v>X</v>
      </c>
      <c r="E21" t="s">
        <v>2798</v>
      </c>
      <c r="F21" t="s">
        <v>2799</v>
      </c>
      <c r="G21" t="s">
        <v>2756</v>
      </c>
      <c r="H21" t="s">
        <v>2800</v>
      </c>
      <c r="I21" t="s">
        <v>2661</v>
      </c>
      <c r="J21" t="str">
        <f>IF(0 = IFERROR(VLOOKUP(DBL_FullList!I21, ContactsDbl!B:D, 2, FALSE), ""), "", IFERROR(VLOOKUP(DBL_FullList!I21, ContactsDbl!B:D, 2, FALSE), ""))</f>
        <v>dbladmin_intl@sil.org</v>
      </c>
      <c r="K21" t="str">
        <f>IF(0 = IFERROR(VLOOKUP(DBL_FullList!I21,ContactsDbl!B:D, 3, FALSE), ""), "", IFERROR(VLOOKUP(DBL_FullList!I21, ContactsDbl!B:D, 3, FALSE), ""))</f>
        <v>http://www.wycliffe.org</v>
      </c>
      <c r="L21">
        <f t="shared" si="1"/>
        <v>2</v>
      </c>
    </row>
    <row r="22" spans="1:12" x14ac:dyDescent="0.25">
      <c r="A22" t="s">
        <v>2801</v>
      </c>
      <c r="B22" t="str">
        <f>IF(ISERROR(VLOOKUP(F22,STEP!A:A, 1, FALSE)), "N", "Y")</f>
        <v>Y</v>
      </c>
      <c r="C22" t="str">
        <f>IF(ISERROR(VLOOKUP(E22, BibleInEveryLanguageTexts!A:A, 1, FALSE)), "N", "Y")</f>
        <v>N</v>
      </c>
      <c r="D22" t="str">
        <f t="shared" si="0"/>
        <v/>
      </c>
      <c r="E22" t="s">
        <v>2802</v>
      </c>
      <c r="F22" t="s">
        <v>2803</v>
      </c>
      <c r="G22" t="s">
        <v>48</v>
      </c>
      <c r="H22" t="s">
        <v>2804</v>
      </c>
      <c r="I22" t="s">
        <v>2661</v>
      </c>
      <c r="J22" t="str">
        <f>IF(0 = IFERROR(VLOOKUP(DBL_FullList!I22, ContactsDbl!B:D, 2, FALSE), ""), "", IFERROR(VLOOKUP(DBL_FullList!I22, ContactsDbl!B:D, 2, FALSE), ""))</f>
        <v>dbladmin_intl@sil.org</v>
      </c>
      <c r="K22" t="str">
        <f>IF(0 = IFERROR(VLOOKUP(DBL_FullList!I22,ContactsDbl!B:D, 3, FALSE), ""), "", IFERROR(VLOOKUP(DBL_FullList!I22, ContactsDbl!B:D, 3, FALSE), ""))</f>
        <v>http://www.wycliffe.org</v>
      </c>
      <c r="L22">
        <f t="shared" si="1"/>
        <v>2</v>
      </c>
    </row>
    <row r="23" spans="1:12" x14ac:dyDescent="0.25">
      <c r="A23" t="s">
        <v>2805</v>
      </c>
      <c r="B23" t="str">
        <f>IF(ISERROR(VLOOKUP(F23,STEP!A:A, 1, FALSE)), "N", "Y")</f>
        <v>N</v>
      </c>
      <c r="C23" t="str">
        <f>IF(ISERROR(VLOOKUP(E23, BibleInEveryLanguageTexts!A:A, 1, FALSE)), "N", "Y")</f>
        <v>N</v>
      </c>
      <c r="D23" t="str">
        <f t="shared" si="0"/>
        <v>X</v>
      </c>
      <c r="E23" t="s">
        <v>2806</v>
      </c>
      <c r="F23" t="s">
        <v>2807</v>
      </c>
      <c r="G23" t="s">
        <v>2808</v>
      </c>
      <c r="H23" t="s">
        <v>2809</v>
      </c>
      <c r="I23" t="s">
        <v>2448</v>
      </c>
      <c r="J23" t="str">
        <f>IF(0 = IFERROR(VLOOKUP(DBL_FullList!I23, ContactsDbl!B:D, 2, FALSE), ""), "", IFERROR(VLOOKUP(DBL_FullList!I23, ContactsDbl!B:D, 2, FALSE), ""))</f>
        <v>mubsociety@gmail.com</v>
      </c>
      <c r="K23" t="str">
        <f>IF(0 = IFERROR(VLOOKUP(DBL_FullList!I23,ContactsDbl!B:D, 3, FALSE), ""), "", IFERROR(VLOOKUP(DBL_FullList!I23, ContactsDbl!B:D, 3, FALSE), ""))</f>
        <v>www.mongol.bible</v>
      </c>
      <c r="L23">
        <f t="shared" si="1"/>
        <v>2</v>
      </c>
    </row>
    <row r="24" spans="1:12" x14ac:dyDescent="0.25">
      <c r="A24" t="s">
        <v>2810</v>
      </c>
      <c r="B24" t="str">
        <f>IF(ISERROR(VLOOKUP(F24,STEP!A:A, 1, FALSE)), "N", "Y")</f>
        <v>N</v>
      </c>
      <c r="C24" t="str">
        <f>IF(ISERROR(VLOOKUP(E24, BibleInEveryLanguageTexts!A:A, 1, FALSE)), "N", "Y")</f>
        <v>Y</v>
      </c>
      <c r="D24" t="str">
        <f t="shared" si="0"/>
        <v/>
      </c>
      <c r="E24" t="s">
        <v>291</v>
      </c>
      <c r="F24" t="s">
        <v>290</v>
      </c>
      <c r="G24" t="s">
        <v>20</v>
      </c>
      <c r="H24" t="s">
        <v>2811</v>
      </c>
      <c r="I24" t="s">
        <v>1997</v>
      </c>
      <c r="J24" t="str">
        <f>IF(0 = IFERROR(VLOOKUP(DBL_FullList!I24, ContactsDbl!B:D, 2, FALSE), ""), "", IFERROR(VLOOKUP(DBL_FullList!I24, ContactsDbl!B:D, 2, FALSE), ""))</f>
        <v>Lee.Harris@biblica.com</v>
      </c>
      <c r="K24" t="str">
        <f>IF(0 = IFERROR(VLOOKUP(DBL_FullList!I24,ContactsDbl!B:D, 3, FALSE), ""), "", IFERROR(VLOOKUP(DBL_FullList!I24, ContactsDbl!B:D, 3, FALSE), ""))</f>
        <v>http://www.Biblica.com</v>
      </c>
      <c r="L24">
        <f t="shared" si="1"/>
        <v>2</v>
      </c>
    </row>
    <row r="25" spans="1:12" x14ac:dyDescent="0.25">
      <c r="A25" t="s">
        <v>2812</v>
      </c>
      <c r="B25" t="str">
        <f>IF(ISERROR(VLOOKUP(F25,STEP!A:A, 1, FALSE)), "N", "Y")</f>
        <v>N</v>
      </c>
      <c r="C25" t="str">
        <f>IF(ISERROR(VLOOKUP(E25, BibleInEveryLanguageTexts!A:A, 1, FALSE)), "N", "Y")</f>
        <v>N</v>
      </c>
      <c r="D25" t="str">
        <f t="shared" si="0"/>
        <v>X</v>
      </c>
      <c r="E25" t="s">
        <v>2813</v>
      </c>
      <c r="F25" t="s">
        <v>2814</v>
      </c>
      <c r="G25" t="s">
        <v>2815</v>
      </c>
      <c r="H25" t="s">
        <v>2816</v>
      </c>
      <c r="I25" t="s">
        <v>2661</v>
      </c>
      <c r="J25" t="str">
        <f>IF(0 = IFERROR(VLOOKUP(DBL_FullList!I25, ContactsDbl!B:D, 2, FALSE), ""), "", IFERROR(VLOOKUP(DBL_FullList!I25, ContactsDbl!B:D, 2, FALSE), ""))</f>
        <v>dbladmin_intl@sil.org</v>
      </c>
      <c r="K25" t="str">
        <f>IF(0 = IFERROR(VLOOKUP(DBL_FullList!I25,ContactsDbl!B:D, 3, FALSE), ""), "", IFERROR(VLOOKUP(DBL_FullList!I25, ContactsDbl!B:D, 3, FALSE), ""))</f>
        <v>http://www.wycliffe.org</v>
      </c>
      <c r="L25">
        <f t="shared" si="1"/>
        <v>2</v>
      </c>
    </row>
    <row r="26" spans="1:12" x14ac:dyDescent="0.25">
      <c r="A26" t="s">
        <v>2817</v>
      </c>
      <c r="B26" t="str">
        <f>IF(ISERROR(VLOOKUP(F26,STEP!A:A, 1, FALSE)), "N", "Y")</f>
        <v>Y</v>
      </c>
      <c r="C26" t="str">
        <f>IF(ISERROR(VLOOKUP(E26, BibleInEveryLanguageTexts!A:A, 1, FALSE)), "N", "Y")</f>
        <v>N</v>
      </c>
      <c r="D26" t="str">
        <f t="shared" si="0"/>
        <v/>
      </c>
      <c r="E26" t="s">
        <v>2818</v>
      </c>
      <c r="F26" t="s">
        <v>2819</v>
      </c>
      <c r="G26" t="s">
        <v>48</v>
      </c>
      <c r="H26" t="s">
        <v>2820</v>
      </c>
      <c r="I26" t="s">
        <v>2661</v>
      </c>
      <c r="J26" t="str">
        <f>IF(0 = IFERROR(VLOOKUP(DBL_FullList!I26, ContactsDbl!B:D, 2, FALSE), ""), "", IFERROR(VLOOKUP(DBL_FullList!I26, ContactsDbl!B:D, 2, FALSE), ""))</f>
        <v>dbladmin_intl@sil.org</v>
      </c>
      <c r="K26" t="str">
        <f>IF(0 = IFERROR(VLOOKUP(DBL_FullList!I26,ContactsDbl!B:D, 3, FALSE), ""), "", IFERROR(VLOOKUP(DBL_FullList!I26, ContactsDbl!B:D, 3, FALSE), ""))</f>
        <v>http://www.wycliffe.org</v>
      </c>
      <c r="L26">
        <f t="shared" si="1"/>
        <v>2</v>
      </c>
    </row>
    <row r="27" spans="1:12" x14ac:dyDescent="0.25">
      <c r="A27" t="s">
        <v>2821</v>
      </c>
      <c r="B27" t="str">
        <f>IF(ISERROR(VLOOKUP(F27,STEP!A:A, 1, FALSE)), "N", "Y")</f>
        <v>N</v>
      </c>
      <c r="C27" t="str">
        <f>IF(ISERROR(VLOOKUP(E27, BibleInEveryLanguageTexts!A:A, 1, FALSE)), "N", "Y")</f>
        <v>N</v>
      </c>
      <c r="D27" t="str">
        <f t="shared" si="0"/>
        <v>X</v>
      </c>
      <c r="E27" t="s">
        <v>2822</v>
      </c>
      <c r="F27" t="s">
        <v>2823</v>
      </c>
      <c r="G27" t="s">
        <v>2824</v>
      </c>
      <c r="H27" t="s">
        <v>2825</v>
      </c>
      <c r="I27" t="s">
        <v>2493</v>
      </c>
      <c r="J27" t="str">
        <f>IF(0 = IFERROR(VLOOKUP(DBL_FullList!I27, ContactsDbl!B:D, 2, FALSE), ""), "", IFERROR(VLOOKUP(DBL_FullList!I27, ContactsDbl!B:D, 2, FALSE), ""))</f>
        <v/>
      </c>
      <c r="K27" t="str">
        <f>IF(0 = IFERROR(VLOOKUP(DBL_FullList!I27,ContactsDbl!B:D, 3, FALSE), ""), "", IFERROR(VLOOKUP(DBL_FullList!I27, ContactsDbl!B:D, 3, FALSE), ""))</f>
        <v>http://sbp.org.py</v>
      </c>
      <c r="L27">
        <f t="shared" si="1"/>
        <v>1</v>
      </c>
    </row>
    <row r="28" spans="1:12" x14ac:dyDescent="0.25">
      <c r="A28" t="s">
        <v>2826</v>
      </c>
      <c r="B28" t="str">
        <f>IF(ISERROR(VLOOKUP(F28,STEP!A:A, 1, FALSE)), "N", "Y")</f>
        <v>Y</v>
      </c>
      <c r="C28" t="str">
        <f>IF(ISERROR(VLOOKUP(E28, BibleInEveryLanguageTexts!A:A, 1, FALSE)), "N", "Y")</f>
        <v>N</v>
      </c>
      <c r="D28" t="str">
        <f t="shared" si="0"/>
        <v/>
      </c>
      <c r="E28" t="s">
        <v>2827</v>
      </c>
      <c r="F28" t="s">
        <v>2828</v>
      </c>
      <c r="G28" t="s">
        <v>48</v>
      </c>
      <c r="H28" t="s">
        <v>2829</v>
      </c>
      <c r="I28" t="s">
        <v>2661</v>
      </c>
      <c r="J28" t="str">
        <f>IF(0 = IFERROR(VLOOKUP(DBL_FullList!I28, ContactsDbl!B:D, 2, FALSE), ""), "", IFERROR(VLOOKUP(DBL_FullList!I28, ContactsDbl!B:D, 2, FALSE), ""))</f>
        <v>dbladmin_intl@sil.org</v>
      </c>
      <c r="K28" t="str">
        <f>IF(0 = IFERROR(VLOOKUP(DBL_FullList!I28,ContactsDbl!B:D, 3, FALSE), ""), "", IFERROR(VLOOKUP(DBL_FullList!I28, ContactsDbl!B:D, 3, FALSE), ""))</f>
        <v>http://www.wycliffe.org</v>
      </c>
      <c r="L28">
        <f t="shared" si="1"/>
        <v>2</v>
      </c>
    </row>
    <row r="29" spans="1:12" x14ac:dyDescent="0.25">
      <c r="A29" t="s">
        <v>2830</v>
      </c>
      <c r="B29" t="str">
        <f>IF(ISERROR(VLOOKUP(F29,STEP!A:A, 1, FALSE)), "N", "Y")</f>
        <v>N</v>
      </c>
      <c r="C29" t="str">
        <f>IF(ISERROR(VLOOKUP(E29, BibleInEveryLanguageTexts!A:A, 1, FALSE)), "N", "Y")</f>
        <v>N</v>
      </c>
      <c r="D29" t="str">
        <f t="shared" si="0"/>
        <v>X</v>
      </c>
      <c r="E29" t="s">
        <v>2831</v>
      </c>
      <c r="F29" t="s">
        <v>2832</v>
      </c>
      <c r="G29" t="s">
        <v>2833</v>
      </c>
      <c r="H29" t="s">
        <v>2834</v>
      </c>
      <c r="I29" t="s">
        <v>2647</v>
      </c>
      <c r="J29" t="str">
        <f>IF(0 = IFERROR(VLOOKUP(DBL_FullList!I29, ContactsDbl!B:D, 2, FALSE), ""), "", IFERROR(VLOOKUP(DBL_FullList!I29, ContactsDbl!B:D, 2, FALSE), ""))</f>
        <v>info@biblesociety-uganda.org</v>
      </c>
      <c r="K29" t="str">
        <f>IF(0 = IFERROR(VLOOKUP(DBL_FullList!I29,ContactsDbl!B:D, 3, FALSE), ""), "", IFERROR(VLOOKUP(DBL_FullList!I29, ContactsDbl!B:D, 3, FALSE), ""))</f>
        <v>http://www.biblesociety-uganda.org/</v>
      </c>
      <c r="L29">
        <f t="shared" si="1"/>
        <v>2</v>
      </c>
    </row>
    <row r="30" spans="1:12" x14ac:dyDescent="0.25">
      <c r="A30" t="s">
        <v>2835</v>
      </c>
      <c r="B30" t="str">
        <f>IF(ISERROR(VLOOKUP(F30,STEP!A:A, 1, FALSE)), "N", "Y")</f>
        <v>N</v>
      </c>
      <c r="C30" t="str">
        <f>IF(ISERROR(VLOOKUP(E30, BibleInEveryLanguageTexts!A:A, 1, FALSE)), "N", "Y")</f>
        <v>N</v>
      </c>
      <c r="D30" t="str">
        <f t="shared" si="0"/>
        <v>X</v>
      </c>
      <c r="E30" t="s">
        <v>2836</v>
      </c>
      <c r="F30" t="s">
        <v>2837</v>
      </c>
      <c r="G30" t="s">
        <v>2838</v>
      </c>
      <c r="H30" t="s">
        <v>2839</v>
      </c>
      <c r="I30" t="s">
        <v>2661</v>
      </c>
      <c r="J30" t="str">
        <f>IF(0 = IFERROR(VLOOKUP(DBL_FullList!I30, ContactsDbl!B:D, 2, FALSE), ""), "", IFERROR(VLOOKUP(DBL_FullList!I30, ContactsDbl!B:D, 2, FALSE), ""))</f>
        <v>dbladmin_intl@sil.org</v>
      </c>
      <c r="K30" t="str">
        <f>IF(0 = IFERROR(VLOOKUP(DBL_FullList!I30,ContactsDbl!B:D, 3, FALSE), ""), "", IFERROR(VLOOKUP(DBL_FullList!I30, ContactsDbl!B:D, 3, FALSE), ""))</f>
        <v>http://www.wycliffe.org</v>
      </c>
      <c r="L30">
        <f t="shared" si="1"/>
        <v>2</v>
      </c>
    </row>
    <row r="31" spans="1:12" x14ac:dyDescent="0.25">
      <c r="A31" t="s">
        <v>2840</v>
      </c>
      <c r="B31" t="str">
        <f>IF(ISERROR(VLOOKUP(F31,STEP!A:A, 1, FALSE)), "N", "Y")</f>
        <v>N</v>
      </c>
      <c r="C31" t="str">
        <f>IF(ISERROR(VLOOKUP(E31, BibleInEveryLanguageTexts!A:A, 1, FALSE)), "N", "Y")</f>
        <v>N</v>
      </c>
      <c r="D31" t="str">
        <f t="shared" si="0"/>
        <v>X</v>
      </c>
      <c r="E31" t="s">
        <v>2841</v>
      </c>
      <c r="F31" t="s">
        <v>2842</v>
      </c>
      <c r="G31" t="s">
        <v>2843</v>
      </c>
      <c r="H31" t="s">
        <v>2844</v>
      </c>
      <c r="I31" t="s">
        <v>2661</v>
      </c>
      <c r="J31" t="str">
        <f>IF(0 = IFERROR(VLOOKUP(DBL_FullList!I31, ContactsDbl!B:D, 2, FALSE), ""), "", IFERROR(VLOOKUP(DBL_FullList!I31, ContactsDbl!B:D, 2, FALSE), ""))</f>
        <v>dbladmin_intl@sil.org</v>
      </c>
      <c r="K31" t="str">
        <f>IF(0 = IFERROR(VLOOKUP(DBL_FullList!I31,ContactsDbl!B:D, 3, FALSE), ""), "", IFERROR(VLOOKUP(DBL_FullList!I31, ContactsDbl!B:D, 3, FALSE), ""))</f>
        <v>http://www.wycliffe.org</v>
      </c>
      <c r="L31">
        <f t="shared" si="1"/>
        <v>2</v>
      </c>
    </row>
    <row r="32" spans="1:12" x14ac:dyDescent="0.25">
      <c r="A32" t="s">
        <v>2845</v>
      </c>
      <c r="B32" t="str">
        <f>IF(ISERROR(VLOOKUP(F32,STEP!A:A, 1, FALSE)), "N", "Y")</f>
        <v>N</v>
      </c>
      <c r="C32" t="str">
        <f>IF(ISERROR(VLOOKUP(E32, BibleInEveryLanguageTexts!A:A, 1, FALSE)), "N", "Y")</f>
        <v>N</v>
      </c>
      <c r="D32" t="str">
        <f t="shared" si="0"/>
        <v>X</v>
      </c>
      <c r="E32" t="s">
        <v>2846</v>
      </c>
      <c r="F32" t="s">
        <v>2847</v>
      </c>
      <c r="G32" t="s">
        <v>2848</v>
      </c>
      <c r="H32" t="s">
        <v>2849</v>
      </c>
      <c r="I32" t="s">
        <v>2661</v>
      </c>
      <c r="J32" t="str">
        <f>IF(0 = IFERROR(VLOOKUP(DBL_FullList!I32, ContactsDbl!B:D, 2, FALSE), ""), "", IFERROR(VLOOKUP(DBL_FullList!I32, ContactsDbl!B:D, 2, FALSE), ""))</f>
        <v>dbladmin_intl@sil.org</v>
      </c>
      <c r="K32" t="str">
        <f>IF(0 = IFERROR(VLOOKUP(DBL_FullList!I32,ContactsDbl!B:D, 3, FALSE), ""), "", IFERROR(VLOOKUP(DBL_FullList!I32, ContactsDbl!B:D, 3, FALSE), ""))</f>
        <v>http://www.wycliffe.org</v>
      </c>
      <c r="L32">
        <f t="shared" si="1"/>
        <v>2</v>
      </c>
    </row>
    <row r="33" spans="1:12" x14ac:dyDescent="0.25">
      <c r="A33" t="s">
        <v>2850</v>
      </c>
      <c r="B33" t="str">
        <f>IF(ISERROR(VLOOKUP(F33,STEP!A:A, 1, FALSE)), "N", "Y")</f>
        <v>N</v>
      </c>
      <c r="C33" t="str">
        <f>IF(ISERROR(VLOOKUP(E33, BibleInEveryLanguageTexts!A:A, 1, FALSE)), "N", "Y")</f>
        <v>N</v>
      </c>
      <c r="D33" t="str">
        <f t="shared" si="0"/>
        <v>X</v>
      </c>
      <c r="E33" t="s">
        <v>2851</v>
      </c>
      <c r="F33" t="s">
        <v>2852</v>
      </c>
      <c r="G33" t="s">
        <v>2853</v>
      </c>
      <c r="H33" t="s">
        <v>2854</v>
      </c>
      <c r="I33" t="s">
        <v>2409</v>
      </c>
      <c r="J33" t="str">
        <f>IF(0 = IFERROR(VLOOKUP(DBL_FullList!I33, ContactsDbl!B:D, 2, FALSE), ""), "", IFERROR(VLOOKUP(DBL_FullList!I33, ContactsDbl!B:D, 2, FALSE), ""))</f>
        <v>ombanasoa@biblesociety-malagasy.org</v>
      </c>
      <c r="K33" t="str">
        <f>IF(0 = IFERROR(VLOOKUP(DBL_FullList!I33,ContactsDbl!B:D, 3, FALSE), ""), "", IFERROR(VLOOKUP(DBL_FullList!I33, ContactsDbl!B:D, 3, FALSE), ""))</f>
        <v>http://www.mampielybaiboly.mg/</v>
      </c>
      <c r="L33">
        <f t="shared" si="1"/>
        <v>2</v>
      </c>
    </row>
    <row r="34" spans="1:12" x14ac:dyDescent="0.25">
      <c r="A34" t="s">
        <v>2855</v>
      </c>
      <c r="B34" t="str">
        <f>IF(ISERROR(VLOOKUP(F34,STEP!A:A, 1, FALSE)), "N", "Y")</f>
        <v>N</v>
      </c>
      <c r="C34" t="str">
        <f>IF(ISERROR(VLOOKUP(E34, BibleInEveryLanguageTexts!A:A, 1, FALSE)), "N", "Y")</f>
        <v>N</v>
      </c>
      <c r="D34" t="str">
        <f t="shared" si="0"/>
        <v>X</v>
      </c>
      <c r="E34" t="s">
        <v>2856</v>
      </c>
      <c r="F34" t="s">
        <v>2857</v>
      </c>
      <c r="G34" t="s">
        <v>2858</v>
      </c>
      <c r="H34" t="s">
        <v>2859</v>
      </c>
      <c r="I34" t="s">
        <v>2661</v>
      </c>
      <c r="J34" t="str">
        <f>IF(0 = IFERROR(VLOOKUP(DBL_FullList!I34, ContactsDbl!B:D, 2, FALSE), ""), "", IFERROR(VLOOKUP(DBL_FullList!I34, ContactsDbl!B:D, 2, FALSE), ""))</f>
        <v>dbladmin_intl@sil.org</v>
      </c>
      <c r="K34" t="str">
        <f>IF(0 = IFERROR(VLOOKUP(DBL_FullList!I34,ContactsDbl!B:D, 3, FALSE), ""), "", IFERROR(VLOOKUP(DBL_FullList!I34, ContactsDbl!B:D, 3, FALSE), ""))</f>
        <v>http://www.wycliffe.org</v>
      </c>
      <c r="L34">
        <f t="shared" si="1"/>
        <v>2</v>
      </c>
    </row>
    <row r="35" spans="1:12" x14ac:dyDescent="0.25">
      <c r="A35" t="s">
        <v>2860</v>
      </c>
      <c r="B35" t="str">
        <f>IF(ISERROR(VLOOKUP(F35,STEP!A:A, 1, FALSE)), "N", "Y")</f>
        <v>N</v>
      </c>
      <c r="C35" t="str">
        <f>IF(ISERROR(VLOOKUP(E35, BibleInEveryLanguageTexts!A:A, 1, FALSE)), "N", "Y")</f>
        <v>N</v>
      </c>
      <c r="D35" t="str">
        <f t="shared" si="0"/>
        <v>X</v>
      </c>
      <c r="E35" t="s">
        <v>477</v>
      </c>
      <c r="F35" t="s">
        <v>476</v>
      </c>
      <c r="G35" t="s">
        <v>2861</v>
      </c>
      <c r="H35" t="s">
        <v>2862</v>
      </c>
      <c r="I35" t="s">
        <v>2490</v>
      </c>
      <c r="J35" t="str">
        <f>IF(0 = IFERROR(VLOOKUP(DBL_FullList!I35, ContactsDbl!B:D, 2, FALSE), ""), "", IFERROR(VLOOKUP(DBL_FullList!I35, ContactsDbl!B:D, 2, FALSE), ""))</f>
        <v/>
      </c>
      <c r="K35" t="str">
        <f>IF(0 = IFERROR(VLOOKUP(DBL_FullList!I35,ContactsDbl!B:D, 3, FALSE), ""), "", IFERROR(VLOOKUP(DBL_FullList!I35, ContactsDbl!B:D, 3, FALSE), ""))</f>
        <v>http://pakistanbiblesociety.org/</v>
      </c>
      <c r="L35">
        <f t="shared" si="1"/>
        <v>1</v>
      </c>
    </row>
    <row r="36" spans="1:12" x14ac:dyDescent="0.25">
      <c r="A36" t="s">
        <v>2863</v>
      </c>
      <c r="B36" t="str">
        <f>IF(ISERROR(VLOOKUP(F36,STEP!A:A, 1, FALSE)), "N", "Y")</f>
        <v>N</v>
      </c>
      <c r="C36" t="str">
        <f>IF(ISERROR(VLOOKUP(E36, BibleInEveryLanguageTexts!A:A, 1, FALSE)), "N", "Y")</f>
        <v>N</v>
      </c>
      <c r="D36" t="str">
        <f t="shared" si="0"/>
        <v>X</v>
      </c>
      <c r="E36" t="s">
        <v>334</v>
      </c>
      <c r="F36" t="s">
        <v>332</v>
      </c>
      <c r="G36" t="s">
        <v>333</v>
      </c>
      <c r="H36" t="s">
        <v>2864</v>
      </c>
      <c r="I36" t="s">
        <v>2534</v>
      </c>
      <c r="J36" t="str">
        <f>IF(0 = IFERROR(VLOOKUP(DBL_FullList!I36, ContactsDbl!B:D, 2, FALSE), ""), "", IFERROR(VLOOKUP(DBL_FullList!I36, ContactsDbl!B:D, 2, FALSE), ""))</f>
        <v>elismar@sbb.org.br</v>
      </c>
      <c r="K36" t="str">
        <f>IF(0 = IFERROR(VLOOKUP(DBL_FullList!I36,ContactsDbl!B:D, 3, FALSE), ""), "", IFERROR(VLOOKUP(DBL_FullList!I36, ContactsDbl!B:D, 3, FALSE), ""))</f>
        <v>http://www.sbb.org.br</v>
      </c>
      <c r="L36">
        <f t="shared" si="1"/>
        <v>2</v>
      </c>
    </row>
    <row r="37" spans="1:12" x14ac:dyDescent="0.25">
      <c r="A37" t="s">
        <v>2865</v>
      </c>
      <c r="B37" t="str">
        <f>IF(ISERROR(VLOOKUP(F37,STEP!A:A, 1, FALSE)), "N", "Y")</f>
        <v>N</v>
      </c>
      <c r="C37" t="str">
        <f>IF(ISERROR(VLOOKUP(E37, BibleInEveryLanguageTexts!A:A, 1, FALSE)), "N", "Y")</f>
        <v>N</v>
      </c>
      <c r="D37" t="str">
        <f t="shared" si="0"/>
        <v>X</v>
      </c>
      <c r="E37" t="s">
        <v>2866</v>
      </c>
      <c r="F37" t="s">
        <v>2867</v>
      </c>
      <c r="G37" t="s">
        <v>2733</v>
      </c>
      <c r="H37" t="s">
        <v>2868</v>
      </c>
      <c r="I37" t="s">
        <v>2661</v>
      </c>
      <c r="J37" t="str">
        <f>IF(0 = IFERROR(VLOOKUP(DBL_FullList!I37, ContactsDbl!B:D, 2, FALSE), ""), "", IFERROR(VLOOKUP(DBL_FullList!I37, ContactsDbl!B:D, 2, FALSE), ""))</f>
        <v>dbladmin_intl@sil.org</v>
      </c>
      <c r="K37" t="str">
        <f>IF(0 = IFERROR(VLOOKUP(DBL_FullList!I37,ContactsDbl!B:D, 3, FALSE), ""), "", IFERROR(VLOOKUP(DBL_FullList!I37, ContactsDbl!B:D, 3, FALSE), ""))</f>
        <v>http://www.wycliffe.org</v>
      </c>
      <c r="L37">
        <f t="shared" si="1"/>
        <v>2</v>
      </c>
    </row>
    <row r="38" spans="1:12" x14ac:dyDescent="0.25">
      <c r="A38" t="s">
        <v>2869</v>
      </c>
      <c r="B38" t="str">
        <f>IF(ISERROR(VLOOKUP(F38,STEP!A:A, 1, FALSE)), "N", "Y")</f>
        <v>N</v>
      </c>
      <c r="C38" t="str">
        <f>IF(ISERROR(VLOOKUP(E38, BibleInEveryLanguageTexts!A:A, 1, FALSE)), "N", "Y")</f>
        <v>N</v>
      </c>
      <c r="D38" t="str">
        <f t="shared" si="0"/>
        <v>X</v>
      </c>
      <c r="E38" t="s">
        <v>2870</v>
      </c>
      <c r="F38" t="s">
        <v>2871</v>
      </c>
      <c r="G38" t="s">
        <v>2756</v>
      </c>
      <c r="H38" t="s">
        <v>2872</v>
      </c>
      <c r="I38" t="s">
        <v>2661</v>
      </c>
      <c r="J38" t="str">
        <f>IF(0 = IFERROR(VLOOKUP(DBL_FullList!I38, ContactsDbl!B:D, 2, FALSE), ""), "", IFERROR(VLOOKUP(DBL_FullList!I38, ContactsDbl!B:D, 2, FALSE), ""))</f>
        <v>dbladmin_intl@sil.org</v>
      </c>
      <c r="K38" t="str">
        <f>IF(0 = IFERROR(VLOOKUP(DBL_FullList!I38,ContactsDbl!B:D, 3, FALSE), ""), "", IFERROR(VLOOKUP(DBL_FullList!I38, ContactsDbl!B:D, 3, FALSE), ""))</f>
        <v>http://www.wycliffe.org</v>
      </c>
      <c r="L38">
        <f t="shared" si="1"/>
        <v>2</v>
      </c>
    </row>
    <row r="39" spans="1:12" x14ac:dyDescent="0.25">
      <c r="A39" t="s">
        <v>2873</v>
      </c>
      <c r="B39" t="str">
        <f>IF(ISERROR(VLOOKUP(F39,STEP!A:A, 1, FALSE)), "N", "Y")</f>
        <v>N</v>
      </c>
      <c r="C39" t="str">
        <f>IF(ISERROR(VLOOKUP(E39, BibleInEveryLanguageTexts!A:A, 1, FALSE)), "N", "Y")</f>
        <v>N</v>
      </c>
      <c r="D39" t="str">
        <f t="shared" si="0"/>
        <v>X</v>
      </c>
      <c r="E39" t="s">
        <v>2874</v>
      </c>
      <c r="F39" t="s">
        <v>2875</v>
      </c>
      <c r="G39" t="s">
        <v>268</v>
      </c>
      <c r="H39" t="s">
        <v>2876</v>
      </c>
      <c r="I39" t="s">
        <v>2661</v>
      </c>
      <c r="J39" t="str">
        <f>IF(0 = IFERROR(VLOOKUP(DBL_FullList!I39, ContactsDbl!B:D, 2, FALSE), ""), "", IFERROR(VLOOKUP(DBL_FullList!I39, ContactsDbl!B:D, 2, FALSE), ""))</f>
        <v>dbladmin_intl@sil.org</v>
      </c>
      <c r="K39" t="str">
        <f>IF(0 = IFERROR(VLOOKUP(DBL_FullList!I39,ContactsDbl!B:D, 3, FALSE), ""), "", IFERROR(VLOOKUP(DBL_FullList!I39, ContactsDbl!B:D, 3, FALSE), ""))</f>
        <v>http://www.wycliffe.org</v>
      </c>
      <c r="L39">
        <f t="shared" si="1"/>
        <v>2</v>
      </c>
    </row>
    <row r="40" spans="1:12" x14ac:dyDescent="0.25">
      <c r="A40" t="s">
        <v>2877</v>
      </c>
      <c r="B40" t="str">
        <f>IF(ISERROR(VLOOKUP(F40,STEP!A:A, 1, FALSE)), "N", "Y")</f>
        <v>N</v>
      </c>
      <c r="C40" t="str">
        <f>IF(ISERROR(VLOOKUP(E40, BibleInEveryLanguageTexts!A:A, 1, FALSE)), "N", "Y")</f>
        <v>N</v>
      </c>
      <c r="D40" t="str">
        <f t="shared" si="0"/>
        <v>X</v>
      </c>
      <c r="E40" t="s">
        <v>2878</v>
      </c>
      <c r="F40" t="s">
        <v>2879</v>
      </c>
      <c r="G40" t="s">
        <v>2880</v>
      </c>
      <c r="H40" t="s">
        <v>2881</v>
      </c>
      <c r="I40" t="s">
        <v>2661</v>
      </c>
      <c r="J40" t="str">
        <f>IF(0 = IFERROR(VLOOKUP(DBL_FullList!I40, ContactsDbl!B:D, 2, FALSE), ""), "", IFERROR(VLOOKUP(DBL_FullList!I40, ContactsDbl!B:D, 2, FALSE), ""))</f>
        <v>dbladmin_intl@sil.org</v>
      </c>
      <c r="K40" t="str">
        <f>IF(0 = IFERROR(VLOOKUP(DBL_FullList!I40,ContactsDbl!B:D, 3, FALSE), ""), "", IFERROR(VLOOKUP(DBL_FullList!I40, ContactsDbl!B:D, 3, FALSE), ""))</f>
        <v>http://www.wycliffe.org</v>
      </c>
      <c r="L40">
        <f t="shared" si="1"/>
        <v>2</v>
      </c>
    </row>
    <row r="41" spans="1:12" x14ac:dyDescent="0.25">
      <c r="A41" t="s">
        <v>2882</v>
      </c>
      <c r="B41" t="str">
        <f>IF(ISERROR(VLOOKUP(F41,STEP!A:A, 1, FALSE)), "N", "Y")</f>
        <v>N</v>
      </c>
      <c r="C41" t="str">
        <f>IF(ISERROR(VLOOKUP(E41, BibleInEveryLanguageTexts!A:A, 1, FALSE)), "N", "Y")</f>
        <v>N</v>
      </c>
      <c r="D41" t="str">
        <f t="shared" si="0"/>
        <v>X</v>
      </c>
      <c r="E41" t="s">
        <v>2883</v>
      </c>
      <c r="F41" t="s">
        <v>2884</v>
      </c>
      <c r="G41" t="s">
        <v>2885</v>
      </c>
      <c r="H41" t="s">
        <v>2886</v>
      </c>
      <c r="I41" t="s">
        <v>2182</v>
      </c>
      <c r="J41" t="str">
        <f>IF(0 = IFERROR(VLOOKUP(DBL_FullList!I41, ContactsDbl!B:D, 2, FALSE), ""), "", IFERROR(VLOOKUP(DBL_FullList!I41, ContactsDbl!B:D, 2, FALSE), ""))</f>
        <v/>
      </c>
      <c r="K41" t="str">
        <f>IF(0 = IFERROR(VLOOKUP(DBL_FullList!I41,ContactsDbl!B:D, 3, FALSE), ""), "", IFERROR(VLOOKUP(DBL_FullList!I41, ContactsDbl!B:D, 3, FALSE), ""))</f>
        <v>http://www.biblesociety-cd.org/</v>
      </c>
      <c r="L41">
        <f t="shared" si="1"/>
        <v>1</v>
      </c>
    </row>
    <row r="42" spans="1:12" x14ac:dyDescent="0.25">
      <c r="A42" t="s">
        <v>2887</v>
      </c>
      <c r="B42" t="str">
        <f>IF(ISERROR(VLOOKUP(F42,STEP!A:A, 1, FALSE)), "N", "Y")</f>
        <v>N</v>
      </c>
      <c r="C42" t="str">
        <f>IF(ISERROR(VLOOKUP(E42, BibleInEveryLanguageTexts!A:A, 1, FALSE)), "N", "Y")</f>
        <v>N</v>
      </c>
      <c r="D42" t="str">
        <f t="shared" si="0"/>
        <v>X</v>
      </c>
      <c r="E42" t="s">
        <v>2888</v>
      </c>
      <c r="F42" t="s">
        <v>2889</v>
      </c>
      <c r="G42" t="s">
        <v>2890</v>
      </c>
      <c r="H42" t="s">
        <v>2891</v>
      </c>
      <c r="I42" t="s">
        <v>2209</v>
      </c>
      <c r="J42" t="str">
        <f>IF(0 = IFERROR(VLOOKUP(DBL_FullList!I42, ContactsDbl!B:D, 2, FALSE), ""), "", IFERROR(VLOOKUP(DBL_FullList!I42, ContactsDbl!B:D, 2, FALSE), ""))</f>
        <v>contact@elam.com</v>
      </c>
      <c r="K42" t="str">
        <f>IF(0 = IFERROR(VLOOKUP(DBL_FullList!I42,ContactsDbl!B:D, 3, FALSE), ""), "", IFERROR(VLOOKUP(DBL_FullList!I42, ContactsDbl!B:D, 3, FALSE), ""))</f>
        <v>http://www.elam.com/</v>
      </c>
      <c r="L42">
        <f t="shared" si="1"/>
        <v>2</v>
      </c>
    </row>
    <row r="43" spans="1:12" x14ac:dyDescent="0.25">
      <c r="A43" t="s">
        <v>2892</v>
      </c>
      <c r="B43" t="str">
        <f>IF(ISERROR(VLOOKUP(F43,STEP!A:A, 1, FALSE)), "N", "Y")</f>
        <v>Y</v>
      </c>
      <c r="C43" t="str">
        <f>IF(ISERROR(VLOOKUP(E43, BibleInEveryLanguageTexts!A:A, 1, FALSE)), "N", "Y")</f>
        <v>N</v>
      </c>
      <c r="D43" t="str">
        <f t="shared" si="0"/>
        <v/>
      </c>
      <c r="E43" t="s">
        <v>2893</v>
      </c>
      <c r="F43" t="s">
        <v>2894</v>
      </c>
      <c r="G43" t="s">
        <v>48</v>
      </c>
      <c r="H43" t="s">
        <v>2895</v>
      </c>
      <c r="I43" t="s">
        <v>2661</v>
      </c>
      <c r="J43" t="str">
        <f>IF(0 = IFERROR(VLOOKUP(DBL_FullList!I43, ContactsDbl!B:D, 2, FALSE), ""), "", IFERROR(VLOOKUP(DBL_FullList!I43, ContactsDbl!B:D, 2, FALSE), ""))</f>
        <v>dbladmin_intl@sil.org</v>
      </c>
      <c r="K43" t="str">
        <f>IF(0 = IFERROR(VLOOKUP(DBL_FullList!I43,ContactsDbl!B:D, 3, FALSE), ""), "", IFERROR(VLOOKUP(DBL_FullList!I43, ContactsDbl!B:D, 3, FALSE), ""))</f>
        <v>http://www.wycliffe.org</v>
      </c>
      <c r="L43">
        <f t="shared" si="1"/>
        <v>2</v>
      </c>
    </row>
    <row r="44" spans="1:12" x14ac:dyDescent="0.25">
      <c r="A44" t="s">
        <v>2896</v>
      </c>
      <c r="B44" t="str">
        <f>IF(ISERROR(VLOOKUP(F44,STEP!A:A, 1, FALSE)), "N", "Y")</f>
        <v>N</v>
      </c>
      <c r="C44" t="str">
        <f>IF(ISERROR(VLOOKUP(E44, BibleInEveryLanguageTexts!A:A, 1, FALSE)), "N", "Y")</f>
        <v>N</v>
      </c>
      <c r="D44" t="str">
        <f t="shared" si="0"/>
        <v>X</v>
      </c>
      <c r="E44" t="s">
        <v>2897</v>
      </c>
      <c r="F44" t="s">
        <v>2898</v>
      </c>
      <c r="G44" t="s">
        <v>48</v>
      </c>
      <c r="H44" t="s">
        <v>2899</v>
      </c>
      <c r="I44" t="s">
        <v>2661</v>
      </c>
      <c r="J44" t="str">
        <f>IF(0 = IFERROR(VLOOKUP(DBL_FullList!I44, ContactsDbl!B:D, 2, FALSE), ""), "", IFERROR(VLOOKUP(DBL_FullList!I44, ContactsDbl!B:D, 2, FALSE), ""))</f>
        <v>dbladmin_intl@sil.org</v>
      </c>
      <c r="K44" t="str">
        <f>IF(0 = IFERROR(VLOOKUP(DBL_FullList!I44,ContactsDbl!B:D, 3, FALSE), ""), "", IFERROR(VLOOKUP(DBL_FullList!I44, ContactsDbl!B:D, 3, FALSE), ""))</f>
        <v>http://www.wycliffe.org</v>
      </c>
      <c r="L44">
        <f t="shared" si="1"/>
        <v>2</v>
      </c>
    </row>
    <row r="45" spans="1:12" x14ac:dyDescent="0.25">
      <c r="A45" t="s">
        <v>2900</v>
      </c>
      <c r="B45" t="str">
        <f>IF(ISERROR(VLOOKUP(F45,STEP!A:A, 1, FALSE)), "N", "Y")</f>
        <v>N</v>
      </c>
      <c r="C45" t="str">
        <f>IF(ISERROR(VLOOKUP(E45, BibleInEveryLanguageTexts!A:A, 1, FALSE)), "N", "Y")</f>
        <v>N</v>
      </c>
      <c r="D45" t="str">
        <f t="shared" si="0"/>
        <v>X</v>
      </c>
      <c r="E45" t="s">
        <v>2901</v>
      </c>
      <c r="F45" t="s">
        <v>2902</v>
      </c>
      <c r="G45" t="s">
        <v>2903</v>
      </c>
      <c r="H45" t="s">
        <v>2904</v>
      </c>
      <c r="I45" t="s">
        <v>1982</v>
      </c>
      <c r="J45" t="str">
        <f>IF(0 = IFERROR(VLOOKUP(DBL_FullList!I45, ContactsDbl!B:D, 2, FALSE), ""), "", IFERROR(VLOOKUP(DBL_FullList!I45, ContactsDbl!B:D, 2, FALSE), ""))</f>
        <v>abbenin@intnet.bj</v>
      </c>
      <c r="K45" t="str">
        <f>IF(0 = IFERROR(VLOOKUP(DBL_FullList!I45,ContactsDbl!B:D, 3, FALSE), ""), "", IFERROR(VLOOKUP(DBL_FullList!I45, ContactsDbl!B:D, 3, FALSE), ""))</f>
        <v>http://www.biblesociety-benin.org/</v>
      </c>
      <c r="L45">
        <f t="shared" si="1"/>
        <v>2</v>
      </c>
    </row>
    <row r="46" spans="1:12" x14ac:dyDescent="0.25">
      <c r="A46" t="s">
        <v>2905</v>
      </c>
      <c r="B46" t="str">
        <f>IF(ISERROR(VLOOKUP(F46,STEP!A:A, 1, FALSE)), "N", "Y")</f>
        <v>N</v>
      </c>
      <c r="C46" t="str">
        <f>IF(ISERROR(VLOOKUP(E46, BibleInEveryLanguageTexts!A:A, 1, FALSE)), "N", "Y")</f>
        <v>N</v>
      </c>
      <c r="D46" t="str">
        <f t="shared" si="0"/>
        <v>X</v>
      </c>
      <c r="E46" t="s">
        <v>2906</v>
      </c>
      <c r="F46" t="s">
        <v>2907</v>
      </c>
      <c r="G46" t="s">
        <v>2908</v>
      </c>
      <c r="H46" t="s">
        <v>2909</v>
      </c>
      <c r="I46" t="s">
        <v>2182</v>
      </c>
      <c r="J46" t="str">
        <f>IF(0 = IFERROR(VLOOKUP(DBL_FullList!I46, ContactsDbl!B:D, 2, FALSE), ""), "", IFERROR(VLOOKUP(DBL_FullList!I46, ContactsDbl!B:D, 2, FALSE), ""))</f>
        <v/>
      </c>
      <c r="K46" t="str">
        <f>IF(0 = IFERROR(VLOOKUP(DBL_FullList!I46,ContactsDbl!B:D, 3, FALSE), ""), "", IFERROR(VLOOKUP(DBL_FullList!I46, ContactsDbl!B:D, 3, FALSE), ""))</f>
        <v>http://www.biblesociety-cd.org/</v>
      </c>
      <c r="L46">
        <f t="shared" si="1"/>
        <v>1</v>
      </c>
    </row>
    <row r="47" spans="1:12" x14ac:dyDescent="0.25">
      <c r="A47" t="s">
        <v>2910</v>
      </c>
      <c r="B47" t="str">
        <f>IF(ISERROR(VLOOKUP(F47,STEP!A:A, 1, FALSE)), "N", "Y")</f>
        <v>Y</v>
      </c>
      <c r="C47" t="str">
        <f>IF(ISERROR(VLOOKUP(E47, BibleInEveryLanguageTexts!A:A, 1, FALSE)), "N", "Y")</f>
        <v>N</v>
      </c>
      <c r="D47" t="str">
        <f t="shared" si="0"/>
        <v/>
      </c>
      <c r="E47" t="s">
        <v>2911</v>
      </c>
      <c r="F47" t="s">
        <v>2912</v>
      </c>
      <c r="G47" t="s">
        <v>48</v>
      </c>
      <c r="H47" t="s">
        <v>2913</v>
      </c>
      <c r="I47" t="s">
        <v>2661</v>
      </c>
      <c r="J47" t="str">
        <f>IF(0 = IFERROR(VLOOKUP(DBL_FullList!I47, ContactsDbl!B:D, 2, FALSE), ""), "", IFERROR(VLOOKUP(DBL_FullList!I47, ContactsDbl!B:D, 2, FALSE), ""))</f>
        <v>dbladmin_intl@sil.org</v>
      </c>
      <c r="K47" t="str">
        <f>IF(0 = IFERROR(VLOOKUP(DBL_FullList!I47,ContactsDbl!B:D, 3, FALSE), ""), "", IFERROR(VLOOKUP(DBL_FullList!I47, ContactsDbl!B:D, 3, FALSE), ""))</f>
        <v>http://www.wycliffe.org</v>
      </c>
      <c r="L47">
        <f t="shared" si="1"/>
        <v>2</v>
      </c>
    </row>
    <row r="48" spans="1:12" x14ac:dyDescent="0.25">
      <c r="A48" s="1" t="s">
        <v>2914</v>
      </c>
      <c r="B48" t="str">
        <f>IF(ISERROR(VLOOKUP(F48,STEP!A:A, 1, FALSE)), "N", "Y")</f>
        <v>Y</v>
      </c>
      <c r="C48" t="str">
        <f>IF(ISERROR(VLOOKUP(E48, BibleInEveryLanguageTexts!A:A, 1, FALSE)), "N", "Y")</f>
        <v>N</v>
      </c>
      <c r="D48" t="str">
        <f t="shared" si="0"/>
        <v/>
      </c>
      <c r="E48" t="s">
        <v>2915</v>
      </c>
      <c r="F48" t="s">
        <v>2916</v>
      </c>
      <c r="G48" t="s">
        <v>48</v>
      </c>
      <c r="H48" t="s">
        <v>2917</v>
      </c>
      <c r="I48" t="s">
        <v>2661</v>
      </c>
      <c r="J48" t="str">
        <f>IF(0 = IFERROR(VLOOKUP(DBL_FullList!I48, ContactsDbl!B:D, 2, FALSE), ""), "", IFERROR(VLOOKUP(DBL_FullList!I48, ContactsDbl!B:D, 2, FALSE), ""))</f>
        <v>dbladmin_intl@sil.org</v>
      </c>
      <c r="K48" t="str">
        <f>IF(0 = IFERROR(VLOOKUP(DBL_FullList!I48,ContactsDbl!B:D, 3, FALSE), ""), "", IFERROR(VLOOKUP(DBL_FullList!I48, ContactsDbl!B:D, 3, FALSE), ""))</f>
        <v>http://www.wycliffe.org</v>
      </c>
      <c r="L48">
        <f t="shared" si="1"/>
        <v>2</v>
      </c>
    </row>
    <row r="49" spans="1:12" x14ac:dyDescent="0.25">
      <c r="A49" s="1" t="s">
        <v>2918</v>
      </c>
      <c r="B49" t="str">
        <f>IF(ISERROR(VLOOKUP(F49,STEP!A:A, 1, FALSE)), "N", "Y")</f>
        <v>N</v>
      </c>
      <c r="C49" t="str">
        <f>IF(ISERROR(VLOOKUP(E49, BibleInEveryLanguageTexts!A:A, 1, FALSE)), "N", "Y")</f>
        <v>Y</v>
      </c>
      <c r="D49" t="str">
        <f t="shared" si="0"/>
        <v/>
      </c>
      <c r="E49" t="s">
        <v>12</v>
      </c>
      <c r="F49" t="s">
        <v>10</v>
      </c>
      <c r="G49" t="s">
        <v>11</v>
      </c>
      <c r="H49" t="s">
        <v>2919</v>
      </c>
      <c r="I49" t="s">
        <v>2350</v>
      </c>
      <c r="J49" t="str">
        <f>IF(0 = IFERROR(VLOOKUP(DBL_FullList!I49, ContactsDbl!B:D, 2, FALSE), ""), "", IFERROR(VLOOKUP(DBL_FullList!I49, ContactsDbl!B:D, 2, FALSE), ""))</f>
        <v>lmilliken2@unl.edu</v>
      </c>
      <c r="K49" t="str">
        <f>IF(0 = IFERROR(VLOOKUP(DBL_FullList!I49,ContactsDbl!B:D, 3, FALSE), ""), "", IFERROR(VLOOKUP(DBL_FullList!I49, ContactsDbl!B:D, 3, FALSE), ""))</f>
        <v>http://www.jps.org/</v>
      </c>
      <c r="L49">
        <f t="shared" si="1"/>
        <v>2</v>
      </c>
    </row>
    <row r="50" spans="1:12" x14ac:dyDescent="0.25">
      <c r="A50" t="s">
        <v>2920</v>
      </c>
      <c r="B50" t="str">
        <f>IF(ISERROR(VLOOKUP(F50,STEP!A:A, 1, FALSE)), "N", "Y")</f>
        <v>N</v>
      </c>
      <c r="C50" t="str">
        <f>IF(ISERROR(VLOOKUP(E50, BibleInEveryLanguageTexts!A:A, 1, FALSE)), "N", "Y")</f>
        <v>N</v>
      </c>
      <c r="D50" t="str">
        <f t="shared" si="0"/>
        <v>X</v>
      </c>
      <c r="E50" t="s">
        <v>2921</v>
      </c>
      <c r="F50" t="s">
        <v>2922</v>
      </c>
      <c r="G50" t="s">
        <v>2923</v>
      </c>
      <c r="H50" t="s">
        <v>2924</v>
      </c>
      <c r="I50" t="s">
        <v>2091</v>
      </c>
      <c r="J50" t="str">
        <f>IF(0 = IFERROR(VLOOKUP(DBL_FullList!I50, ContactsDbl!B:D, 2, FALSE), ""), "", IFERROR(VLOOKUP(DBL_FullList!I50, ContactsDbl!B:D, 2, FALSE), ""))</f>
        <v>geldenhuys@biblesociety.co.za</v>
      </c>
      <c r="K50" t="str">
        <f>IF(0 = IFERROR(VLOOKUP(DBL_FullList!I50,ContactsDbl!B:D, 3, FALSE), ""), "", IFERROR(VLOOKUP(DBL_FullList!I50, ContactsDbl!B:D, 3, FALSE), ""))</f>
        <v>http://www.biblesociety.co.za/</v>
      </c>
      <c r="L50">
        <f t="shared" si="1"/>
        <v>2</v>
      </c>
    </row>
    <row r="51" spans="1:12" x14ac:dyDescent="0.25">
      <c r="A51" t="s">
        <v>2925</v>
      </c>
      <c r="B51" t="str">
        <f>IF(ISERROR(VLOOKUP(F51,STEP!A:A, 1, FALSE)), "N", "Y")</f>
        <v>N</v>
      </c>
      <c r="C51" t="str">
        <f>IF(ISERROR(VLOOKUP(E51, BibleInEveryLanguageTexts!A:A, 1, FALSE)), "N", "Y")</f>
        <v>N</v>
      </c>
      <c r="D51" t="str">
        <f t="shared" si="0"/>
        <v>X</v>
      </c>
      <c r="E51" t="s">
        <v>2926</v>
      </c>
      <c r="F51" t="s">
        <v>2927</v>
      </c>
      <c r="G51" t="s">
        <v>2743</v>
      </c>
      <c r="H51" t="s">
        <v>2928</v>
      </c>
      <c r="I51" t="s">
        <v>2073</v>
      </c>
      <c r="J51" t="str">
        <f>IF(0 = IFERROR(VLOOKUP(DBL_FullList!I51, ContactsDbl!B:D, 2, FALSE), ""), "", IFERROR(VLOOKUP(DBL_FullList!I51, ContactsDbl!B:D, 2, FALSE), ""))</f>
        <v>ajiboye@biblesociety-nigeria.org</v>
      </c>
      <c r="K51" t="str">
        <f>IF(0 = IFERROR(VLOOKUP(DBL_FullList!I51,ContactsDbl!B:D, 3, FALSE), ""), "", IFERROR(VLOOKUP(DBL_FullList!I51, ContactsDbl!B:D, 3, FALSE), ""))</f>
        <v>http://www.biblesociety-nigeria.org/</v>
      </c>
      <c r="L51">
        <f t="shared" si="1"/>
        <v>2</v>
      </c>
    </row>
    <row r="52" spans="1:12" x14ac:dyDescent="0.25">
      <c r="A52" t="s">
        <v>2929</v>
      </c>
      <c r="B52" t="str">
        <f>IF(ISERROR(VLOOKUP(F52,STEP!A:A, 1, FALSE)), "N", "Y")</f>
        <v>Y</v>
      </c>
      <c r="C52" t="str">
        <f>IF(ISERROR(VLOOKUP(E52, BibleInEveryLanguageTexts!A:A, 1, FALSE)), "N", "Y")</f>
        <v>N</v>
      </c>
      <c r="D52" t="str">
        <f t="shared" si="0"/>
        <v/>
      </c>
      <c r="E52" t="s">
        <v>2930</v>
      </c>
      <c r="F52" t="s">
        <v>2931</v>
      </c>
      <c r="G52" t="s">
        <v>48</v>
      </c>
      <c r="H52" t="s">
        <v>2932</v>
      </c>
      <c r="I52" t="s">
        <v>2661</v>
      </c>
      <c r="J52" t="str">
        <f>IF(0 = IFERROR(VLOOKUP(DBL_FullList!I52, ContactsDbl!B:D, 2, FALSE), ""), "", IFERROR(VLOOKUP(DBL_FullList!I52, ContactsDbl!B:D, 2, FALSE), ""))</f>
        <v>dbladmin_intl@sil.org</v>
      </c>
      <c r="K52" t="str">
        <f>IF(0 = IFERROR(VLOOKUP(DBL_FullList!I52,ContactsDbl!B:D, 3, FALSE), ""), "", IFERROR(VLOOKUP(DBL_FullList!I52, ContactsDbl!B:D, 3, FALSE), ""))</f>
        <v>http://www.wycliffe.org</v>
      </c>
      <c r="L52">
        <f t="shared" si="1"/>
        <v>2</v>
      </c>
    </row>
    <row r="53" spans="1:12" x14ac:dyDescent="0.25">
      <c r="A53" t="s">
        <v>2933</v>
      </c>
      <c r="B53" t="str">
        <f>IF(ISERROR(VLOOKUP(F53,STEP!A:A, 1, FALSE)), "N", "Y")</f>
        <v>N</v>
      </c>
      <c r="C53" t="str">
        <f>IF(ISERROR(VLOOKUP(E53, BibleInEveryLanguageTexts!A:A, 1, FALSE)), "N", "Y")</f>
        <v>N</v>
      </c>
      <c r="D53" t="str">
        <f t="shared" si="0"/>
        <v>X</v>
      </c>
      <c r="E53" t="s">
        <v>2934</v>
      </c>
      <c r="F53" t="s">
        <v>2935</v>
      </c>
      <c r="G53" t="s">
        <v>2880</v>
      </c>
      <c r="H53" t="s">
        <v>2936</v>
      </c>
      <c r="I53" t="s">
        <v>2661</v>
      </c>
      <c r="J53" t="str">
        <f>IF(0 = IFERROR(VLOOKUP(DBL_FullList!I53, ContactsDbl!B:D, 2, FALSE), ""), "", IFERROR(VLOOKUP(DBL_FullList!I53, ContactsDbl!B:D, 2, FALSE), ""))</f>
        <v>dbladmin_intl@sil.org</v>
      </c>
      <c r="K53" t="str">
        <f>IF(0 = IFERROR(VLOOKUP(DBL_FullList!I53,ContactsDbl!B:D, 3, FALSE), ""), "", IFERROR(VLOOKUP(DBL_FullList!I53, ContactsDbl!B:D, 3, FALSE), ""))</f>
        <v>http://www.wycliffe.org</v>
      </c>
      <c r="L53">
        <f t="shared" si="1"/>
        <v>2</v>
      </c>
    </row>
    <row r="54" spans="1:12" x14ac:dyDescent="0.25">
      <c r="A54" t="s">
        <v>2937</v>
      </c>
      <c r="B54" t="str">
        <f>IF(ISERROR(VLOOKUP(F54,STEP!A:A, 1, FALSE)), "N", "Y")</f>
        <v>N</v>
      </c>
      <c r="C54" t="str">
        <f>IF(ISERROR(VLOOKUP(E54, BibleInEveryLanguageTexts!A:A, 1, FALSE)), "N", "Y")</f>
        <v>N</v>
      </c>
      <c r="D54" t="str">
        <f t="shared" si="0"/>
        <v>X</v>
      </c>
      <c r="E54" t="s">
        <v>2759</v>
      </c>
      <c r="F54" t="s">
        <v>2760</v>
      </c>
      <c r="G54" t="s">
        <v>48</v>
      </c>
      <c r="H54" t="s">
        <v>2938</v>
      </c>
      <c r="I54" t="s">
        <v>2661</v>
      </c>
      <c r="J54" t="str">
        <f>IF(0 = IFERROR(VLOOKUP(DBL_FullList!I54, ContactsDbl!B:D, 2, FALSE), ""), "", IFERROR(VLOOKUP(DBL_FullList!I54, ContactsDbl!B:D, 2, FALSE), ""))</f>
        <v>dbladmin_intl@sil.org</v>
      </c>
      <c r="K54" t="str">
        <f>IF(0 = IFERROR(VLOOKUP(DBL_FullList!I54,ContactsDbl!B:D, 3, FALSE), ""), "", IFERROR(VLOOKUP(DBL_FullList!I54, ContactsDbl!B:D, 3, FALSE), ""))</f>
        <v>http://www.wycliffe.org</v>
      </c>
      <c r="L54">
        <f t="shared" si="1"/>
        <v>2</v>
      </c>
    </row>
    <row r="55" spans="1:12" x14ac:dyDescent="0.25">
      <c r="A55" t="s">
        <v>2939</v>
      </c>
      <c r="B55" t="str">
        <f>IF(ISERROR(VLOOKUP(F55,STEP!A:A, 1, FALSE)), "N", "Y")</f>
        <v>N</v>
      </c>
      <c r="C55" t="str">
        <f>IF(ISERROR(VLOOKUP(E55, BibleInEveryLanguageTexts!A:A, 1, FALSE)), "N", "Y")</f>
        <v>N</v>
      </c>
      <c r="D55" t="str">
        <f t="shared" si="0"/>
        <v>X</v>
      </c>
      <c r="E55" t="s">
        <v>2940</v>
      </c>
      <c r="F55" t="s">
        <v>2941</v>
      </c>
      <c r="G55" t="s">
        <v>2942</v>
      </c>
      <c r="H55" t="s">
        <v>2943</v>
      </c>
      <c r="I55" t="s">
        <v>1975</v>
      </c>
      <c r="J55" t="str">
        <f>IF(0 = IFERROR(VLOOKUP(DBL_FullList!I55, ContactsDbl!B:D, 2, FALSE), ""), "", IFERROR(VLOOKUP(DBL_FullList!I55, ContactsDbl!B:D, 2, FALSE), ""))</f>
        <v/>
      </c>
      <c r="K55" t="str">
        <f>IF(0 = IFERROR(VLOOKUP(DBL_FullList!I55,ContactsDbl!B:D, 3, FALSE), ""), "", IFERROR(VLOOKUP(DBL_FullList!I55, ContactsDbl!B:D, 3, FALSE), ""))</f>
        <v>http://www.sba.org.ar/</v>
      </c>
      <c r="L55">
        <f t="shared" si="1"/>
        <v>1</v>
      </c>
    </row>
    <row r="56" spans="1:12" x14ac:dyDescent="0.25">
      <c r="A56" t="s">
        <v>2944</v>
      </c>
      <c r="B56" t="str">
        <f>IF(ISERROR(VLOOKUP(F56,STEP!A:A, 1, FALSE)), "N", "Y")</f>
        <v>N</v>
      </c>
      <c r="C56" t="str">
        <f>IF(ISERROR(VLOOKUP(E56, BibleInEveryLanguageTexts!A:A, 1, FALSE)), "N", "Y")</f>
        <v>N</v>
      </c>
      <c r="D56" t="str">
        <f t="shared" si="0"/>
        <v>X</v>
      </c>
      <c r="E56" t="s">
        <v>2945</v>
      </c>
      <c r="F56" t="s">
        <v>2946</v>
      </c>
      <c r="G56" t="s">
        <v>2947</v>
      </c>
      <c r="H56" t="s">
        <v>2948</v>
      </c>
      <c r="I56" t="s">
        <v>2661</v>
      </c>
      <c r="J56" t="str">
        <f>IF(0 = IFERROR(VLOOKUP(DBL_FullList!I56, ContactsDbl!B:D, 2, FALSE), ""), "", IFERROR(VLOOKUP(DBL_FullList!I56, ContactsDbl!B:D, 2, FALSE), ""))</f>
        <v>dbladmin_intl@sil.org</v>
      </c>
      <c r="K56" t="str">
        <f>IF(0 = IFERROR(VLOOKUP(DBL_FullList!I56,ContactsDbl!B:D, 3, FALSE), ""), "", IFERROR(VLOOKUP(DBL_FullList!I56, ContactsDbl!B:D, 3, FALSE), ""))</f>
        <v>http://www.wycliffe.org</v>
      </c>
      <c r="L56">
        <f t="shared" si="1"/>
        <v>2</v>
      </c>
    </row>
    <row r="57" spans="1:12" x14ac:dyDescent="0.25">
      <c r="A57" t="s">
        <v>2949</v>
      </c>
      <c r="B57" t="str">
        <f>IF(ISERROR(VLOOKUP(F57,STEP!A:A, 1, FALSE)), "N", "Y")</f>
        <v>Y</v>
      </c>
      <c r="C57" t="str">
        <f>IF(ISERROR(VLOOKUP(E57, BibleInEveryLanguageTexts!A:A, 1, FALSE)), "N", "Y")</f>
        <v>N</v>
      </c>
      <c r="D57" t="str">
        <f t="shared" si="0"/>
        <v/>
      </c>
      <c r="E57" t="s">
        <v>2950</v>
      </c>
      <c r="F57" t="s">
        <v>2951</v>
      </c>
      <c r="G57" t="s">
        <v>48</v>
      </c>
      <c r="H57" t="s">
        <v>2952</v>
      </c>
      <c r="I57" t="s">
        <v>2661</v>
      </c>
      <c r="J57" t="str">
        <f>IF(0 = IFERROR(VLOOKUP(DBL_FullList!I57, ContactsDbl!B:D, 2, FALSE), ""), "", IFERROR(VLOOKUP(DBL_FullList!I57, ContactsDbl!B:D, 2, FALSE), ""))</f>
        <v>dbladmin_intl@sil.org</v>
      </c>
      <c r="K57" t="str">
        <f>IF(0 = IFERROR(VLOOKUP(DBL_FullList!I57,ContactsDbl!B:D, 3, FALSE), ""), "", IFERROR(VLOOKUP(DBL_FullList!I57, ContactsDbl!B:D, 3, FALSE), ""))</f>
        <v>http://www.wycliffe.org</v>
      </c>
      <c r="L57">
        <f t="shared" si="1"/>
        <v>2</v>
      </c>
    </row>
    <row r="58" spans="1:12" x14ac:dyDescent="0.25">
      <c r="A58" t="s">
        <v>2953</v>
      </c>
      <c r="B58" t="str">
        <f>IF(ISERROR(VLOOKUP(F58,STEP!A:A, 1, FALSE)), "N", "Y")</f>
        <v>N</v>
      </c>
      <c r="C58" t="str">
        <f>IF(ISERROR(VLOOKUP(E58, BibleInEveryLanguageTexts!A:A, 1, FALSE)), "N", "Y")</f>
        <v>Y</v>
      </c>
      <c r="D58" t="str">
        <f t="shared" si="0"/>
        <v/>
      </c>
      <c r="E58" t="s">
        <v>2683</v>
      </c>
      <c r="F58" t="s">
        <v>2954</v>
      </c>
      <c r="G58" t="s">
        <v>2955</v>
      </c>
      <c r="H58" t="s">
        <v>2956</v>
      </c>
      <c r="I58" t="s">
        <v>2151</v>
      </c>
      <c r="J58" t="str">
        <f>IF(0 = IFERROR(VLOOKUP(DBL_FullList!I58, ContactsDbl!B:D, 2, FALSE), ""), "", IFERROR(VLOOKUP(DBL_FullList!I58, ContactsDbl!B:D, 2, FALSE), ""))</f>
        <v/>
      </c>
      <c r="K58" t="str">
        <f>IF(0 = IFERROR(VLOOKUP(DBL_FullList!I58,ContactsDbl!B:D, 3, FALSE), ""), "", IFERROR(VLOOKUP(DBL_FullList!I58, ContactsDbl!B:D, 3, FALSE), ""))</f>
        <v>wwww.hbd.hr</v>
      </c>
      <c r="L58">
        <f t="shared" si="1"/>
        <v>1</v>
      </c>
    </row>
    <row r="59" spans="1:12" x14ac:dyDescent="0.25">
      <c r="A59" t="s">
        <v>2957</v>
      </c>
      <c r="B59" t="str">
        <f>IF(ISERROR(VLOOKUP(F59,STEP!A:A, 1, FALSE)), "N", "Y")</f>
        <v>Y</v>
      </c>
      <c r="C59" t="str">
        <f>IF(ISERROR(VLOOKUP(E59, BibleInEveryLanguageTexts!A:A, 1, FALSE)), "N", "Y")</f>
        <v>N</v>
      </c>
      <c r="D59" t="str">
        <f t="shared" si="0"/>
        <v/>
      </c>
      <c r="E59" t="s">
        <v>2958</v>
      </c>
      <c r="F59" t="s">
        <v>2959</v>
      </c>
      <c r="G59" t="s">
        <v>48</v>
      </c>
      <c r="H59" t="s">
        <v>2960</v>
      </c>
      <c r="I59" t="s">
        <v>2661</v>
      </c>
      <c r="J59" t="str">
        <f>IF(0 = IFERROR(VLOOKUP(DBL_FullList!I59, ContactsDbl!B:D, 2, FALSE), ""), "", IFERROR(VLOOKUP(DBL_FullList!I59, ContactsDbl!B:D, 2, FALSE), ""))</f>
        <v>dbladmin_intl@sil.org</v>
      </c>
      <c r="K59" t="str">
        <f>IF(0 = IFERROR(VLOOKUP(DBL_FullList!I59,ContactsDbl!B:D, 3, FALSE), ""), "", IFERROR(VLOOKUP(DBL_FullList!I59, ContactsDbl!B:D, 3, FALSE), ""))</f>
        <v>http://www.wycliffe.org</v>
      </c>
      <c r="L59">
        <f t="shared" si="1"/>
        <v>2</v>
      </c>
    </row>
    <row r="60" spans="1:12" x14ac:dyDescent="0.25">
      <c r="A60" t="s">
        <v>2961</v>
      </c>
      <c r="B60" t="str">
        <f>IF(ISERROR(VLOOKUP(F60,STEP!A:A, 1, FALSE)), "N", "Y")</f>
        <v>N</v>
      </c>
      <c r="C60" t="str">
        <f>IF(ISERROR(VLOOKUP(E60, BibleInEveryLanguageTexts!A:A, 1, FALSE)), "N", "Y")</f>
        <v>N</v>
      </c>
      <c r="D60" t="str">
        <f t="shared" si="0"/>
        <v>X</v>
      </c>
      <c r="E60" t="s">
        <v>2962</v>
      </c>
      <c r="F60" t="s">
        <v>2963</v>
      </c>
      <c r="G60" t="s">
        <v>110</v>
      </c>
      <c r="H60" t="s">
        <v>2964</v>
      </c>
      <c r="I60" t="s">
        <v>2661</v>
      </c>
      <c r="J60" t="str">
        <f>IF(0 = IFERROR(VLOOKUP(DBL_FullList!I60, ContactsDbl!B:D, 2, FALSE), ""), "", IFERROR(VLOOKUP(DBL_FullList!I60, ContactsDbl!B:D, 2, FALSE), ""))</f>
        <v>dbladmin_intl@sil.org</v>
      </c>
      <c r="K60" t="str">
        <f>IF(0 = IFERROR(VLOOKUP(DBL_FullList!I60,ContactsDbl!B:D, 3, FALSE), ""), "", IFERROR(VLOOKUP(DBL_FullList!I60, ContactsDbl!B:D, 3, FALSE), ""))</f>
        <v>http://www.wycliffe.org</v>
      </c>
      <c r="L60">
        <f t="shared" si="1"/>
        <v>2</v>
      </c>
    </row>
    <row r="61" spans="1:12" x14ac:dyDescent="0.25">
      <c r="A61" t="s">
        <v>2965</v>
      </c>
      <c r="B61" t="str">
        <f>IF(ISERROR(VLOOKUP(F61,STEP!A:A, 1, FALSE)), "N", "Y")</f>
        <v>N</v>
      </c>
      <c r="C61" t="str">
        <f>IF(ISERROR(VLOOKUP(E61, BibleInEveryLanguageTexts!A:A, 1, FALSE)), "N", "Y")</f>
        <v>N</v>
      </c>
      <c r="D61" t="str">
        <f t="shared" si="0"/>
        <v>X</v>
      </c>
      <c r="E61" t="s">
        <v>2966</v>
      </c>
      <c r="F61" t="s">
        <v>2967</v>
      </c>
      <c r="G61" t="s">
        <v>2880</v>
      </c>
      <c r="H61" t="s">
        <v>2968</v>
      </c>
      <c r="I61" t="s">
        <v>2661</v>
      </c>
      <c r="J61" t="str">
        <f>IF(0 = IFERROR(VLOOKUP(DBL_FullList!I61, ContactsDbl!B:D, 2, FALSE), ""), "", IFERROR(VLOOKUP(DBL_FullList!I61, ContactsDbl!B:D, 2, FALSE), ""))</f>
        <v>dbladmin_intl@sil.org</v>
      </c>
      <c r="K61" t="str">
        <f>IF(0 = IFERROR(VLOOKUP(DBL_FullList!I61,ContactsDbl!B:D, 3, FALSE), ""), "", IFERROR(VLOOKUP(DBL_FullList!I61, ContactsDbl!B:D, 3, FALSE), ""))</f>
        <v>http://www.wycliffe.org</v>
      </c>
      <c r="L61">
        <f t="shared" si="1"/>
        <v>2</v>
      </c>
    </row>
    <row r="62" spans="1:12" x14ac:dyDescent="0.25">
      <c r="A62" t="s">
        <v>2969</v>
      </c>
      <c r="B62" t="str">
        <f>IF(ISERROR(VLOOKUP(F62,STEP!A:A, 1, FALSE)), "N", "Y")</f>
        <v>N</v>
      </c>
      <c r="C62" t="str">
        <f>IF(ISERROR(VLOOKUP(E62, BibleInEveryLanguageTexts!A:A, 1, FALSE)), "N", "Y")</f>
        <v>N</v>
      </c>
      <c r="D62" t="str">
        <f t="shared" si="0"/>
        <v>X</v>
      </c>
      <c r="E62" t="s">
        <v>2970</v>
      </c>
      <c r="F62" t="s">
        <v>2971</v>
      </c>
      <c r="G62" t="s">
        <v>333</v>
      </c>
      <c r="H62" t="s">
        <v>2972</v>
      </c>
      <c r="I62" t="s">
        <v>2661</v>
      </c>
      <c r="J62" t="str">
        <f>IF(0 = IFERROR(VLOOKUP(DBL_FullList!I62, ContactsDbl!B:D, 2, FALSE), ""), "", IFERROR(VLOOKUP(DBL_FullList!I62, ContactsDbl!B:D, 2, FALSE), ""))</f>
        <v>dbladmin_intl@sil.org</v>
      </c>
      <c r="K62" t="str">
        <f>IF(0 = IFERROR(VLOOKUP(DBL_FullList!I62,ContactsDbl!B:D, 3, FALSE), ""), "", IFERROR(VLOOKUP(DBL_FullList!I62, ContactsDbl!B:D, 3, FALSE), ""))</f>
        <v>http://www.wycliffe.org</v>
      </c>
      <c r="L62">
        <f t="shared" si="1"/>
        <v>2</v>
      </c>
    </row>
    <row r="63" spans="1:12" x14ac:dyDescent="0.25">
      <c r="A63" t="s">
        <v>2973</v>
      </c>
      <c r="B63" t="str">
        <f>IF(ISERROR(VLOOKUP(F63,STEP!A:A, 1, FALSE)), "N", "Y")</f>
        <v>Y</v>
      </c>
      <c r="C63" t="str">
        <f>IF(ISERROR(VLOOKUP(E63, BibleInEveryLanguageTexts!A:A, 1, FALSE)), "N", "Y")</f>
        <v>N</v>
      </c>
      <c r="D63" t="str">
        <f t="shared" si="0"/>
        <v/>
      </c>
      <c r="E63" t="s">
        <v>2974</v>
      </c>
      <c r="F63" t="s">
        <v>2975</v>
      </c>
      <c r="G63" t="s">
        <v>48</v>
      </c>
      <c r="H63" t="s">
        <v>2976</v>
      </c>
      <c r="I63" t="s">
        <v>2661</v>
      </c>
      <c r="J63" t="str">
        <f>IF(0 = IFERROR(VLOOKUP(DBL_FullList!I63, ContactsDbl!B:D, 2, FALSE), ""), "", IFERROR(VLOOKUP(DBL_FullList!I63, ContactsDbl!B:D, 2, FALSE), ""))</f>
        <v>dbladmin_intl@sil.org</v>
      </c>
      <c r="K63" t="str">
        <f>IF(0 = IFERROR(VLOOKUP(DBL_FullList!I63,ContactsDbl!B:D, 3, FALSE), ""), "", IFERROR(VLOOKUP(DBL_FullList!I63, ContactsDbl!B:D, 3, FALSE), ""))</f>
        <v>http://www.wycliffe.org</v>
      </c>
      <c r="L63">
        <f t="shared" si="1"/>
        <v>2</v>
      </c>
    </row>
    <row r="64" spans="1:12" x14ac:dyDescent="0.25">
      <c r="A64" t="s">
        <v>2977</v>
      </c>
      <c r="B64" t="str">
        <f>IF(ISERROR(VLOOKUP(F64,STEP!A:A, 1, FALSE)), "N", "Y")</f>
        <v>N</v>
      </c>
      <c r="C64" t="str">
        <f>IF(ISERROR(VLOOKUP(E64, BibleInEveryLanguageTexts!A:A, 1, FALSE)), "N", "Y")</f>
        <v>N</v>
      </c>
      <c r="D64" t="str">
        <f t="shared" si="0"/>
        <v>X</v>
      </c>
      <c r="E64" t="s">
        <v>2978</v>
      </c>
      <c r="F64" t="s">
        <v>2979</v>
      </c>
      <c r="G64" t="s">
        <v>2880</v>
      </c>
      <c r="H64" t="s">
        <v>2980</v>
      </c>
      <c r="I64" t="s">
        <v>2661</v>
      </c>
      <c r="J64" t="str">
        <f>IF(0 = IFERROR(VLOOKUP(DBL_FullList!I64, ContactsDbl!B:D, 2, FALSE), ""), "", IFERROR(VLOOKUP(DBL_FullList!I64, ContactsDbl!B:D, 2, FALSE), ""))</f>
        <v>dbladmin_intl@sil.org</v>
      </c>
      <c r="K64" t="str">
        <f>IF(0 = IFERROR(VLOOKUP(DBL_FullList!I64,ContactsDbl!B:D, 3, FALSE), ""), "", IFERROR(VLOOKUP(DBL_FullList!I64, ContactsDbl!B:D, 3, FALSE), ""))</f>
        <v>http://www.wycliffe.org</v>
      </c>
      <c r="L64">
        <f t="shared" si="1"/>
        <v>2</v>
      </c>
    </row>
    <row r="65" spans="1:12" x14ac:dyDescent="0.25">
      <c r="A65" t="s">
        <v>2981</v>
      </c>
      <c r="B65" t="str">
        <f>IF(ISERROR(VLOOKUP(F65,STEP!A:A, 1, FALSE)), "N", "Y")</f>
        <v>N</v>
      </c>
      <c r="C65" t="str">
        <f>IF(ISERROR(VLOOKUP(E65, BibleInEveryLanguageTexts!A:A, 1, FALSE)), "N", "Y")</f>
        <v>N</v>
      </c>
      <c r="D65" t="str">
        <f t="shared" si="0"/>
        <v>X</v>
      </c>
      <c r="E65" t="s">
        <v>2982</v>
      </c>
      <c r="F65" t="s">
        <v>2983</v>
      </c>
      <c r="G65" t="s">
        <v>2984</v>
      </c>
      <c r="H65" t="s">
        <v>2985</v>
      </c>
      <c r="I65" t="s">
        <v>183</v>
      </c>
      <c r="J65" t="str">
        <f>IF(0 = IFERROR(VLOOKUP(DBL_FullList!I65, ContactsDbl!B:D, 2, FALSE), ""), "", IFERROR(VLOOKUP(DBL_FullList!I65, ContactsDbl!B:D, 2, FALSE), ""))</f>
        <v>dbl@biblesocieties.org</v>
      </c>
      <c r="K65" t="str">
        <f>IF(0 = IFERROR(VLOOKUP(DBL_FullList!I65,ContactsDbl!B:D, 3, FALSE), ""), "", IFERROR(VLOOKUP(DBL_FullList!I65, ContactsDbl!B:D, 3, FALSE), ""))</f>
        <v>http://www.unitedbiblesocieties.org/</v>
      </c>
      <c r="L65">
        <f t="shared" si="1"/>
        <v>2</v>
      </c>
    </row>
    <row r="66" spans="1:12" x14ac:dyDescent="0.25">
      <c r="A66" t="s">
        <v>2986</v>
      </c>
      <c r="B66" t="str">
        <f>IF(ISERROR(VLOOKUP(F66,STEP!A:A, 1, FALSE)), "N", "Y")</f>
        <v>N</v>
      </c>
      <c r="C66" t="str">
        <f>IF(ISERROR(VLOOKUP(E66, BibleInEveryLanguageTexts!A:A, 1, FALSE)), "N", "Y")</f>
        <v>N</v>
      </c>
      <c r="D66" t="str">
        <f t="shared" si="0"/>
        <v>X</v>
      </c>
      <c r="E66" t="s">
        <v>2987</v>
      </c>
      <c r="F66" t="s">
        <v>2988</v>
      </c>
      <c r="G66" t="s">
        <v>48</v>
      </c>
      <c r="H66" t="s">
        <v>2989</v>
      </c>
      <c r="I66" t="s">
        <v>2661</v>
      </c>
      <c r="J66" t="str">
        <f>IF(0 = IFERROR(VLOOKUP(DBL_FullList!I66, ContactsDbl!B:D, 2, FALSE), ""), "", IFERROR(VLOOKUP(DBL_FullList!I66, ContactsDbl!B:D, 2, FALSE), ""))</f>
        <v>dbladmin_intl@sil.org</v>
      </c>
      <c r="K66" t="str">
        <f>IF(0 = IFERROR(VLOOKUP(DBL_FullList!I66,ContactsDbl!B:D, 3, FALSE), ""), "", IFERROR(VLOOKUP(DBL_FullList!I66, ContactsDbl!B:D, 3, FALSE), ""))</f>
        <v>http://www.wycliffe.org</v>
      </c>
      <c r="L66">
        <f t="shared" si="1"/>
        <v>2</v>
      </c>
    </row>
    <row r="67" spans="1:12" x14ac:dyDescent="0.25">
      <c r="A67" t="s">
        <v>2990</v>
      </c>
      <c r="B67" t="str">
        <f>IF(ISERROR(VLOOKUP(F67,STEP!A:A, 1, FALSE)), "N", "Y")</f>
        <v>Y</v>
      </c>
      <c r="C67" t="str">
        <f>IF(ISERROR(VLOOKUP(E67, BibleInEveryLanguageTexts!A:A, 1, FALSE)), "N", "Y")</f>
        <v>N</v>
      </c>
      <c r="D67" t="str">
        <f t="shared" ref="D67:D130" si="2">IF(AND("N" = B67, "N" = C67), "X", "")</f>
        <v/>
      </c>
      <c r="E67" t="s">
        <v>2991</v>
      </c>
      <c r="F67" t="s">
        <v>2992</v>
      </c>
      <c r="G67" t="s">
        <v>48</v>
      </c>
      <c r="H67" t="s">
        <v>2993</v>
      </c>
      <c r="I67" t="s">
        <v>2661</v>
      </c>
      <c r="J67" t="str">
        <f>IF(0 = IFERROR(VLOOKUP(DBL_FullList!I67, ContactsDbl!B:D, 2, FALSE), ""), "", IFERROR(VLOOKUP(DBL_FullList!I67, ContactsDbl!B:D, 2, FALSE), ""))</f>
        <v>dbladmin_intl@sil.org</v>
      </c>
      <c r="K67" t="str">
        <f>IF(0 = IFERROR(VLOOKUP(DBL_FullList!I67,ContactsDbl!B:D, 3, FALSE), ""), "", IFERROR(VLOOKUP(DBL_FullList!I67, ContactsDbl!B:D, 3, FALSE), ""))</f>
        <v>http://www.wycliffe.org</v>
      </c>
      <c r="L67">
        <f t="shared" ref="L67:L130" si="3">IF("" &lt;&gt; J67, 2, IF("" &lt;&gt; K67, 1, 0))</f>
        <v>2</v>
      </c>
    </row>
    <row r="68" spans="1:12" x14ac:dyDescent="0.25">
      <c r="A68" t="s">
        <v>2994</v>
      </c>
      <c r="B68" t="str">
        <f>IF(ISERROR(VLOOKUP(F68,STEP!A:A, 1, FALSE)), "N", "Y")</f>
        <v>N</v>
      </c>
      <c r="C68" t="str">
        <f>IF(ISERROR(VLOOKUP(E68, BibleInEveryLanguageTexts!A:A, 1, FALSE)), "N", "Y")</f>
        <v>N</v>
      </c>
      <c r="D68" t="str">
        <f t="shared" si="2"/>
        <v>X</v>
      </c>
      <c r="E68" t="s">
        <v>2995</v>
      </c>
      <c r="F68" t="s">
        <v>2996</v>
      </c>
      <c r="G68" t="s">
        <v>2997</v>
      </c>
      <c r="H68" t="s">
        <v>2998</v>
      </c>
      <c r="I68" t="s">
        <v>2661</v>
      </c>
      <c r="J68" t="str">
        <f>IF(0 = IFERROR(VLOOKUP(DBL_FullList!I68, ContactsDbl!B:D, 2, FALSE), ""), "", IFERROR(VLOOKUP(DBL_FullList!I68, ContactsDbl!B:D, 2, FALSE), ""))</f>
        <v>dbladmin_intl@sil.org</v>
      </c>
      <c r="K68" t="str">
        <f>IF(0 = IFERROR(VLOOKUP(DBL_FullList!I68,ContactsDbl!B:D, 3, FALSE), ""), "", IFERROR(VLOOKUP(DBL_FullList!I68, ContactsDbl!B:D, 3, FALSE), ""))</f>
        <v>http://www.wycliffe.org</v>
      </c>
      <c r="L68">
        <f t="shared" si="3"/>
        <v>2</v>
      </c>
    </row>
    <row r="69" spans="1:12" x14ac:dyDescent="0.25">
      <c r="A69" t="s">
        <v>2999</v>
      </c>
      <c r="B69" t="str">
        <f>IF(ISERROR(VLOOKUP(F69,STEP!A:A, 1, FALSE)), "N", "Y")</f>
        <v>N</v>
      </c>
      <c r="C69" t="str">
        <f>IF(ISERROR(VLOOKUP(E69, BibleInEveryLanguageTexts!A:A, 1, FALSE)), "N", "Y")</f>
        <v>N</v>
      </c>
      <c r="D69" t="str">
        <f t="shared" si="2"/>
        <v>X</v>
      </c>
      <c r="E69" t="s">
        <v>3000</v>
      </c>
      <c r="F69" t="s">
        <v>3001</v>
      </c>
      <c r="G69" t="s">
        <v>2723</v>
      </c>
      <c r="H69" t="s">
        <v>3002</v>
      </c>
      <c r="I69" t="s">
        <v>2661</v>
      </c>
      <c r="J69" t="str">
        <f>IF(0 = IFERROR(VLOOKUP(DBL_FullList!I69, ContactsDbl!B:D, 2, FALSE), ""), "", IFERROR(VLOOKUP(DBL_FullList!I69, ContactsDbl!B:D, 2, FALSE), ""))</f>
        <v>dbladmin_intl@sil.org</v>
      </c>
      <c r="K69" t="str">
        <f>IF(0 = IFERROR(VLOOKUP(DBL_FullList!I69,ContactsDbl!B:D, 3, FALSE), ""), "", IFERROR(VLOOKUP(DBL_FullList!I69, ContactsDbl!B:D, 3, FALSE), ""))</f>
        <v>http://www.wycliffe.org</v>
      </c>
      <c r="L69">
        <f t="shared" si="3"/>
        <v>2</v>
      </c>
    </row>
    <row r="70" spans="1:12" x14ac:dyDescent="0.25">
      <c r="A70" t="s">
        <v>3003</v>
      </c>
      <c r="B70" t="str">
        <f>IF(ISERROR(VLOOKUP(F70,STEP!A:A, 1, FALSE)), "N", "Y")</f>
        <v>N</v>
      </c>
      <c r="C70" t="str">
        <f>IF(ISERROR(VLOOKUP(E70, BibleInEveryLanguageTexts!A:A, 1, FALSE)), "N", "Y")</f>
        <v>N</v>
      </c>
      <c r="D70" t="str">
        <f t="shared" si="2"/>
        <v>X</v>
      </c>
      <c r="E70" t="s">
        <v>3004</v>
      </c>
      <c r="F70" t="s">
        <v>3005</v>
      </c>
      <c r="G70" t="s">
        <v>110</v>
      </c>
      <c r="H70" t="s">
        <v>3006</v>
      </c>
      <c r="I70" t="s">
        <v>2661</v>
      </c>
      <c r="J70" t="str">
        <f>IF(0 = IFERROR(VLOOKUP(DBL_FullList!I70, ContactsDbl!B:D, 2, FALSE), ""), "", IFERROR(VLOOKUP(DBL_FullList!I70, ContactsDbl!B:D, 2, FALSE), ""))</f>
        <v>dbladmin_intl@sil.org</v>
      </c>
      <c r="K70" t="str">
        <f>IF(0 = IFERROR(VLOOKUP(DBL_FullList!I70,ContactsDbl!B:D, 3, FALSE), ""), "", IFERROR(VLOOKUP(DBL_FullList!I70, ContactsDbl!B:D, 3, FALSE), ""))</f>
        <v>http://www.wycliffe.org</v>
      </c>
      <c r="L70">
        <f t="shared" si="3"/>
        <v>2</v>
      </c>
    </row>
    <row r="71" spans="1:12" x14ac:dyDescent="0.25">
      <c r="A71" t="s">
        <v>3007</v>
      </c>
      <c r="B71" t="str">
        <f>IF(ISERROR(VLOOKUP(F71,STEP!A:A, 1, FALSE)), "N", "Y")</f>
        <v>N</v>
      </c>
      <c r="C71" t="str">
        <f>IF(ISERROR(VLOOKUP(E71, BibleInEveryLanguageTexts!A:A, 1, FALSE)), "N", "Y")</f>
        <v>N</v>
      </c>
      <c r="D71" t="str">
        <f t="shared" si="2"/>
        <v>X</v>
      </c>
      <c r="E71" t="s">
        <v>3008</v>
      </c>
      <c r="F71" t="s">
        <v>3009</v>
      </c>
      <c r="G71" t="s">
        <v>2984</v>
      </c>
      <c r="H71" t="s">
        <v>3010</v>
      </c>
      <c r="I71" t="s">
        <v>2623</v>
      </c>
      <c r="J71" t="str">
        <f>IF(0 = IFERROR(VLOOKUP(DBL_FullList!I71, ContactsDbl!B:D, 2, FALSE), ""), "", IFERROR(VLOOKUP(DBL_FullList!I71, ContactsDbl!B:D, 2, FALSE), ""))</f>
        <v>seree@thaibible.or.th</v>
      </c>
      <c r="K71" t="str">
        <f>IF(0 = IFERROR(VLOOKUP(DBL_FullList!I71,ContactsDbl!B:D, 3, FALSE), ""), "", IFERROR(VLOOKUP(DBL_FullList!I71, ContactsDbl!B:D, 3, FALSE), ""))</f>
        <v>http://www.thaibible.or.th/</v>
      </c>
      <c r="L71">
        <f t="shared" si="3"/>
        <v>2</v>
      </c>
    </row>
    <row r="72" spans="1:12" x14ac:dyDescent="0.25">
      <c r="A72" t="s">
        <v>3011</v>
      </c>
      <c r="B72" t="str">
        <f>IF(ISERROR(VLOOKUP(F72,STEP!A:A, 1, FALSE)), "N", "Y")</f>
        <v>N</v>
      </c>
      <c r="C72" t="str">
        <f>IF(ISERROR(VLOOKUP(E72, BibleInEveryLanguageTexts!A:A, 1, FALSE)), "N", "Y")</f>
        <v>N</v>
      </c>
      <c r="D72" t="str">
        <f t="shared" si="2"/>
        <v>X</v>
      </c>
      <c r="E72" t="s">
        <v>3012</v>
      </c>
      <c r="F72" t="s">
        <v>3013</v>
      </c>
      <c r="G72" t="s">
        <v>2756</v>
      </c>
      <c r="H72" t="s">
        <v>3014</v>
      </c>
      <c r="I72" t="s">
        <v>2661</v>
      </c>
      <c r="J72" t="str">
        <f>IF(0 = IFERROR(VLOOKUP(DBL_FullList!I72, ContactsDbl!B:D, 2, FALSE), ""), "", IFERROR(VLOOKUP(DBL_FullList!I72, ContactsDbl!B:D, 2, FALSE), ""))</f>
        <v>dbladmin_intl@sil.org</v>
      </c>
      <c r="K72" t="str">
        <f>IF(0 = IFERROR(VLOOKUP(DBL_FullList!I72,ContactsDbl!B:D, 3, FALSE), ""), "", IFERROR(VLOOKUP(DBL_FullList!I72, ContactsDbl!B:D, 3, FALSE), ""))</f>
        <v>http://www.wycliffe.org</v>
      </c>
      <c r="L72">
        <f t="shared" si="3"/>
        <v>2</v>
      </c>
    </row>
    <row r="73" spans="1:12" x14ac:dyDescent="0.25">
      <c r="A73" t="s">
        <v>3015</v>
      </c>
      <c r="B73" t="str">
        <f>IF(ISERROR(VLOOKUP(F73,STEP!A:A, 1, FALSE)), "N", "Y")</f>
        <v>N</v>
      </c>
      <c r="C73" t="str">
        <f>IF(ISERROR(VLOOKUP(E73, BibleInEveryLanguageTexts!A:A, 1, FALSE)), "N", "Y")</f>
        <v>N</v>
      </c>
      <c r="D73" t="str">
        <f t="shared" si="2"/>
        <v>X</v>
      </c>
      <c r="E73" t="s">
        <v>3016</v>
      </c>
      <c r="F73" t="s">
        <v>3017</v>
      </c>
      <c r="G73" t="s">
        <v>2880</v>
      </c>
      <c r="H73" t="s">
        <v>3018</v>
      </c>
      <c r="I73" t="s">
        <v>2661</v>
      </c>
      <c r="J73" t="str">
        <f>IF(0 = IFERROR(VLOOKUP(DBL_FullList!I73, ContactsDbl!B:D, 2, FALSE), ""), "", IFERROR(VLOOKUP(DBL_FullList!I73, ContactsDbl!B:D, 2, FALSE), ""))</f>
        <v>dbladmin_intl@sil.org</v>
      </c>
      <c r="K73" t="str">
        <f>IF(0 = IFERROR(VLOOKUP(DBL_FullList!I73,ContactsDbl!B:D, 3, FALSE), ""), "", IFERROR(VLOOKUP(DBL_FullList!I73, ContactsDbl!B:D, 3, FALSE), ""))</f>
        <v>http://www.wycliffe.org</v>
      </c>
      <c r="L73">
        <f t="shared" si="3"/>
        <v>2</v>
      </c>
    </row>
    <row r="74" spans="1:12" x14ac:dyDescent="0.25">
      <c r="A74" t="s">
        <v>3019</v>
      </c>
      <c r="B74" t="str">
        <f>IF(ISERROR(VLOOKUP(F74,STEP!A:A, 1, FALSE)), "N", "Y")</f>
        <v>Y</v>
      </c>
      <c r="C74" t="str">
        <f>IF(ISERROR(VLOOKUP(E74, BibleInEveryLanguageTexts!A:A, 1, FALSE)), "N", "Y")</f>
        <v>N</v>
      </c>
      <c r="D74" t="str">
        <f t="shared" si="2"/>
        <v/>
      </c>
      <c r="E74" t="s">
        <v>3020</v>
      </c>
      <c r="F74" t="s">
        <v>3021</v>
      </c>
      <c r="G74" t="s">
        <v>48</v>
      </c>
      <c r="H74" t="s">
        <v>3022</v>
      </c>
      <c r="I74" t="s">
        <v>2661</v>
      </c>
      <c r="J74" t="str">
        <f>IF(0 = IFERROR(VLOOKUP(DBL_FullList!I74, ContactsDbl!B:D, 2, FALSE), ""), "", IFERROR(VLOOKUP(DBL_FullList!I74, ContactsDbl!B:D, 2, FALSE), ""))</f>
        <v>dbladmin_intl@sil.org</v>
      </c>
      <c r="K74" t="str">
        <f>IF(0 = IFERROR(VLOOKUP(DBL_FullList!I74,ContactsDbl!B:D, 3, FALSE), ""), "", IFERROR(VLOOKUP(DBL_FullList!I74, ContactsDbl!B:D, 3, FALSE), ""))</f>
        <v>http://www.wycliffe.org</v>
      </c>
      <c r="L74">
        <f t="shared" si="3"/>
        <v>2</v>
      </c>
    </row>
    <row r="75" spans="1:12" x14ac:dyDescent="0.25">
      <c r="A75" t="s">
        <v>3023</v>
      </c>
      <c r="B75" t="str">
        <f>IF(ISERROR(VLOOKUP(F75,STEP!A:A, 1, FALSE)), "N", "Y")</f>
        <v>N</v>
      </c>
      <c r="C75" t="str">
        <f>IF(ISERROR(VLOOKUP(E75, BibleInEveryLanguageTexts!A:A, 1, FALSE)), "N", "Y")</f>
        <v>N</v>
      </c>
      <c r="D75" t="str">
        <f t="shared" si="2"/>
        <v>X</v>
      </c>
      <c r="E75" t="s">
        <v>116</v>
      </c>
      <c r="F75" t="s">
        <v>114</v>
      </c>
      <c r="G75" t="s">
        <v>115</v>
      </c>
      <c r="H75" t="s">
        <v>3024</v>
      </c>
      <c r="I75" t="s">
        <v>2623</v>
      </c>
      <c r="J75" t="str">
        <f>IF(0 = IFERROR(VLOOKUP(DBL_FullList!I75, ContactsDbl!B:D, 2, FALSE), ""), "", IFERROR(VLOOKUP(DBL_FullList!I75, ContactsDbl!B:D, 2, FALSE), ""))</f>
        <v>seree@thaibible.or.th</v>
      </c>
      <c r="K75" t="str">
        <f>IF(0 = IFERROR(VLOOKUP(DBL_FullList!I75,ContactsDbl!B:D, 3, FALSE), ""), "", IFERROR(VLOOKUP(DBL_FullList!I75, ContactsDbl!B:D, 3, FALSE), ""))</f>
        <v>http://www.thaibible.or.th/</v>
      </c>
      <c r="L75">
        <f t="shared" si="3"/>
        <v>2</v>
      </c>
    </row>
    <row r="76" spans="1:12" x14ac:dyDescent="0.25">
      <c r="A76" t="s">
        <v>3025</v>
      </c>
      <c r="B76" t="str">
        <f>IF(ISERROR(VLOOKUP(F76,STEP!A:A, 1, FALSE)), "N", "Y")</f>
        <v>N</v>
      </c>
      <c r="C76" t="str">
        <f>IF(ISERROR(VLOOKUP(E76, BibleInEveryLanguageTexts!A:A, 1, FALSE)), "N", "Y")</f>
        <v>N</v>
      </c>
      <c r="D76" t="str">
        <f t="shared" si="2"/>
        <v>X</v>
      </c>
      <c r="E76" t="s">
        <v>3026</v>
      </c>
      <c r="F76" t="s">
        <v>3027</v>
      </c>
      <c r="G76" t="s">
        <v>115</v>
      </c>
      <c r="H76" t="s">
        <v>3028</v>
      </c>
      <c r="I76" t="s">
        <v>2623</v>
      </c>
      <c r="J76" t="str">
        <f>IF(0 = IFERROR(VLOOKUP(DBL_FullList!I76, ContactsDbl!B:D, 2, FALSE), ""), "", IFERROR(VLOOKUP(DBL_FullList!I76, ContactsDbl!B:D, 2, FALSE), ""))</f>
        <v>seree@thaibible.or.th</v>
      </c>
      <c r="K76" t="str">
        <f>IF(0 = IFERROR(VLOOKUP(DBL_FullList!I76,ContactsDbl!B:D, 3, FALSE), ""), "", IFERROR(VLOOKUP(DBL_FullList!I76, ContactsDbl!B:D, 3, FALSE), ""))</f>
        <v>http://www.thaibible.or.th/</v>
      </c>
      <c r="L76">
        <f t="shared" si="3"/>
        <v>2</v>
      </c>
    </row>
    <row r="77" spans="1:12" x14ac:dyDescent="0.25">
      <c r="A77" t="s">
        <v>3029</v>
      </c>
      <c r="B77" t="str">
        <f>IF(ISERROR(VLOOKUP(F77,STEP!A:A, 1, FALSE)), "N", "Y")</f>
        <v>N</v>
      </c>
      <c r="C77" t="str">
        <f>IF(ISERROR(VLOOKUP(E77, BibleInEveryLanguageTexts!A:A, 1, FALSE)), "N", "Y")</f>
        <v>N</v>
      </c>
      <c r="D77" t="str">
        <f t="shared" si="2"/>
        <v>X</v>
      </c>
      <c r="E77" t="s">
        <v>3030</v>
      </c>
      <c r="F77" t="s">
        <v>3031</v>
      </c>
      <c r="G77" t="s">
        <v>171</v>
      </c>
      <c r="H77" t="s">
        <v>3032</v>
      </c>
      <c r="I77" t="s">
        <v>168</v>
      </c>
      <c r="J77" t="str">
        <f>IF(0 = IFERROR(VLOOKUP(DBL_FullList!I77, ContactsDbl!B:D, 2, FALSE), ""), "", IFERROR(VLOOKUP(DBL_FullList!I77, ContactsDbl!B:D, 2, FALSE), ""))</f>
        <v>admin@biblesociety-ethiopia.org</v>
      </c>
      <c r="K77" t="str">
        <f>IF(0 = IFERROR(VLOOKUP(DBL_FullList!I77,ContactsDbl!B:D, 3, FALSE), ""), "", IFERROR(VLOOKUP(DBL_FullList!I77, ContactsDbl!B:D, 3, FALSE), ""))</f>
        <v>http://biblesociety-ethiopia.org</v>
      </c>
      <c r="L77">
        <f t="shared" si="3"/>
        <v>2</v>
      </c>
    </row>
    <row r="78" spans="1:12" x14ac:dyDescent="0.25">
      <c r="A78" t="s">
        <v>3033</v>
      </c>
      <c r="B78" t="str">
        <f>IF(ISERROR(VLOOKUP(F78,STEP!A:A, 1, FALSE)), "N", "Y")</f>
        <v>N</v>
      </c>
      <c r="C78" t="str">
        <f>IF(ISERROR(VLOOKUP(E78, BibleInEveryLanguageTexts!A:A, 1, FALSE)), "N", "Y")</f>
        <v>N</v>
      </c>
      <c r="D78" t="str">
        <f t="shared" si="2"/>
        <v>X</v>
      </c>
      <c r="E78" t="s">
        <v>3034</v>
      </c>
      <c r="F78" t="s">
        <v>3035</v>
      </c>
      <c r="G78" t="s">
        <v>48</v>
      </c>
      <c r="H78" t="s">
        <v>3036</v>
      </c>
      <c r="I78" t="s">
        <v>2661</v>
      </c>
      <c r="J78" t="str">
        <f>IF(0 = IFERROR(VLOOKUP(DBL_FullList!I78, ContactsDbl!B:D, 2, FALSE), ""), "", IFERROR(VLOOKUP(DBL_FullList!I78, ContactsDbl!B:D, 2, FALSE), ""))</f>
        <v>dbladmin_intl@sil.org</v>
      </c>
      <c r="K78" t="str">
        <f>IF(0 = IFERROR(VLOOKUP(DBL_FullList!I78,ContactsDbl!B:D, 3, FALSE), ""), "", IFERROR(VLOOKUP(DBL_FullList!I78, ContactsDbl!B:D, 3, FALSE), ""))</f>
        <v>http://www.wycliffe.org</v>
      </c>
      <c r="L78">
        <f t="shared" si="3"/>
        <v>2</v>
      </c>
    </row>
    <row r="79" spans="1:12" x14ac:dyDescent="0.25">
      <c r="A79" t="s">
        <v>3037</v>
      </c>
      <c r="B79" t="str">
        <f>IF(ISERROR(VLOOKUP(F79,STEP!A:A, 1, FALSE)), "N", "Y")</f>
        <v>N</v>
      </c>
      <c r="C79" t="str">
        <f>IF(ISERROR(VLOOKUP(E79, BibleInEveryLanguageTexts!A:A, 1, FALSE)), "N", "Y")</f>
        <v>N</v>
      </c>
      <c r="D79" t="str">
        <f t="shared" si="2"/>
        <v>X</v>
      </c>
      <c r="E79" t="s">
        <v>3038</v>
      </c>
      <c r="F79" t="s">
        <v>3039</v>
      </c>
      <c r="G79" t="s">
        <v>2843</v>
      </c>
      <c r="H79" t="s">
        <v>3040</v>
      </c>
      <c r="I79" t="s">
        <v>2661</v>
      </c>
      <c r="J79" t="str">
        <f>IF(0 = IFERROR(VLOOKUP(DBL_FullList!I79, ContactsDbl!B:D, 2, FALSE), ""), "", IFERROR(VLOOKUP(DBL_FullList!I79, ContactsDbl!B:D, 2, FALSE), ""))</f>
        <v>dbladmin_intl@sil.org</v>
      </c>
      <c r="K79" t="str">
        <f>IF(0 = IFERROR(VLOOKUP(DBL_FullList!I79,ContactsDbl!B:D, 3, FALSE), ""), "", IFERROR(VLOOKUP(DBL_FullList!I79, ContactsDbl!B:D, 3, FALSE), ""))</f>
        <v>http://www.wycliffe.org</v>
      </c>
      <c r="L79">
        <f t="shared" si="3"/>
        <v>2</v>
      </c>
    </row>
    <row r="80" spans="1:12" x14ac:dyDescent="0.25">
      <c r="A80" t="s">
        <v>3041</v>
      </c>
      <c r="B80" t="str">
        <f>IF(ISERROR(VLOOKUP(F80,STEP!A:A, 1, FALSE)), "N", "Y")</f>
        <v>N</v>
      </c>
      <c r="C80" t="str">
        <f>IF(ISERROR(VLOOKUP(E80, BibleInEveryLanguageTexts!A:A, 1, FALSE)), "N", "Y")</f>
        <v>N</v>
      </c>
      <c r="D80" t="str">
        <f t="shared" si="2"/>
        <v>X</v>
      </c>
      <c r="E80" t="s">
        <v>1703</v>
      </c>
      <c r="F80" t="s">
        <v>3042</v>
      </c>
      <c r="G80" t="s">
        <v>20</v>
      </c>
      <c r="H80" t="s">
        <v>3043</v>
      </c>
      <c r="I80" t="s">
        <v>1997</v>
      </c>
      <c r="J80" t="str">
        <f>IF(0 = IFERROR(VLOOKUP(DBL_FullList!I80, ContactsDbl!B:D, 2, FALSE), ""), "", IFERROR(VLOOKUP(DBL_FullList!I80, ContactsDbl!B:D, 2, FALSE), ""))</f>
        <v>Lee.Harris@biblica.com</v>
      </c>
      <c r="K80" t="str">
        <f>IF(0 = IFERROR(VLOOKUP(DBL_FullList!I80,ContactsDbl!B:D, 3, FALSE), ""), "", IFERROR(VLOOKUP(DBL_FullList!I80, ContactsDbl!B:D, 3, FALSE), ""))</f>
        <v>http://www.Biblica.com</v>
      </c>
      <c r="L80">
        <f t="shared" si="3"/>
        <v>2</v>
      </c>
    </row>
    <row r="81" spans="1:12" x14ac:dyDescent="0.25">
      <c r="A81" t="s">
        <v>3044</v>
      </c>
      <c r="B81" t="str">
        <f>IF(ISERROR(VLOOKUP(F81,STEP!A:A, 1, FALSE)), "N", "Y")</f>
        <v>N</v>
      </c>
      <c r="C81" t="str">
        <f>IF(ISERROR(VLOOKUP(E81, BibleInEveryLanguageTexts!A:A, 1, FALSE)), "N", "Y")</f>
        <v>N</v>
      </c>
      <c r="D81" t="str">
        <f t="shared" si="2"/>
        <v>X</v>
      </c>
      <c r="E81" t="s">
        <v>3045</v>
      </c>
      <c r="F81" t="s">
        <v>3046</v>
      </c>
      <c r="G81" t="s">
        <v>2997</v>
      </c>
      <c r="H81" t="s">
        <v>3047</v>
      </c>
      <c r="I81" t="s">
        <v>2661</v>
      </c>
      <c r="J81" t="str">
        <f>IF(0 = IFERROR(VLOOKUP(DBL_FullList!I81, ContactsDbl!B:D, 2, FALSE), ""), "", IFERROR(VLOOKUP(DBL_FullList!I81, ContactsDbl!B:D, 2, FALSE), ""))</f>
        <v>dbladmin_intl@sil.org</v>
      </c>
      <c r="K81" t="str">
        <f>IF(0 = IFERROR(VLOOKUP(DBL_FullList!I81,ContactsDbl!B:D, 3, FALSE), ""), "", IFERROR(VLOOKUP(DBL_FullList!I81, ContactsDbl!B:D, 3, FALSE), ""))</f>
        <v>http://www.wycliffe.org</v>
      </c>
      <c r="L81">
        <f t="shared" si="3"/>
        <v>2</v>
      </c>
    </row>
    <row r="82" spans="1:12" x14ac:dyDescent="0.25">
      <c r="A82" t="s">
        <v>3048</v>
      </c>
      <c r="B82" t="str">
        <f>IF(ISERROR(VLOOKUP(F82,STEP!A:A, 1, FALSE)), "N", "Y")</f>
        <v>N</v>
      </c>
      <c r="C82" t="str">
        <f>IF(ISERROR(VLOOKUP(E82, BibleInEveryLanguageTexts!A:A, 1, FALSE)), "N", "Y")</f>
        <v>Y</v>
      </c>
      <c r="D82" t="str">
        <f t="shared" si="2"/>
        <v/>
      </c>
      <c r="E82" t="s">
        <v>291</v>
      </c>
      <c r="F82" t="s">
        <v>290</v>
      </c>
      <c r="G82" t="s">
        <v>20</v>
      </c>
      <c r="H82" t="s">
        <v>3049</v>
      </c>
      <c r="I82" t="s">
        <v>2329</v>
      </c>
      <c r="J82" t="str">
        <f>IF(0 = IFERROR(VLOOKUP(DBL_FullList!I82, ContactsDbl!B:D, 2, FALSE), ""), "", IFERROR(VLOOKUP(DBL_FullList!I82, ContactsDbl!B:D, 2, FALSE), ""))</f>
        <v/>
      </c>
      <c r="K82" t="str">
        <f>IF(0 = IFERROR(VLOOKUP(DBL_FullList!I82,ContactsDbl!B:D, 3, FALSE), ""), "", IFERROR(VLOOKUP(DBL_FullList!I82, ContactsDbl!B:D, 3, FALSE), ""))</f>
        <v>http://www.bsind.org/</v>
      </c>
      <c r="L82">
        <f t="shared" si="3"/>
        <v>1</v>
      </c>
    </row>
    <row r="83" spans="1:12" x14ac:dyDescent="0.25">
      <c r="A83" t="s">
        <v>3050</v>
      </c>
      <c r="B83" t="str">
        <f>IF(ISERROR(VLOOKUP(F83,STEP!A:A, 1, FALSE)), "N", "Y")</f>
        <v>N</v>
      </c>
      <c r="C83" t="str">
        <f>IF(ISERROR(VLOOKUP(E83, BibleInEveryLanguageTexts!A:A, 1, FALSE)), "N", "Y")</f>
        <v>N</v>
      </c>
      <c r="D83" t="str">
        <f t="shared" si="2"/>
        <v>X</v>
      </c>
      <c r="E83" t="s">
        <v>3051</v>
      </c>
      <c r="F83" t="s">
        <v>3052</v>
      </c>
      <c r="G83" t="s">
        <v>2984</v>
      </c>
      <c r="H83" t="s">
        <v>3053</v>
      </c>
      <c r="I83" t="s">
        <v>2456</v>
      </c>
      <c r="J83" t="str">
        <f>IF(0 = IFERROR(VLOOKUP(DBL_FullList!I83, ContactsDbl!B:D, 2, FALSE), ""), "", IFERROR(VLOOKUP(DBL_FullList!I83, ContactsDbl!B:D, 2, FALSE), ""))</f>
        <v/>
      </c>
      <c r="K83" t="str">
        <f>IF(0 = IFERROR(VLOOKUP(DBL_FullList!I83,ContactsDbl!B:D, 3, FALSE), ""), "", IFERROR(VLOOKUP(DBL_FullList!I83, ContactsDbl!B:D, 3, FALSE), ""))</f>
        <v>http://www.myanmarbible.com/</v>
      </c>
      <c r="L83">
        <f t="shared" si="3"/>
        <v>1</v>
      </c>
    </row>
    <row r="84" spans="1:12" x14ac:dyDescent="0.25">
      <c r="A84" t="s">
        <v>3054</v>
      </c>
      <c r="B84" t="str">
        <f>IF(ISERROR(VLOOKUP(F84,STEP!A:A, 1, FALSE)), "N", "Y")</f>
        <v>N</v>
      </c>
      <c r="C84" t="str">
        <f>IF(ISERROR(VLOOKUP(E84, BibleInEveryLanguageTexts!A:A, 1, FALSE)), "N", "Y")</f>
        <v>N</v>
      </c>
      <c r="D84" t="str">
        <f t="shared" si="2"/>
        <v>X</v>
      </c>
      <c r="E84" t="s">
        <v>3055</v>
      </c>
      <c r="F84" t="s">
        <v>3056</v>
      </c>
      <c r="G84" t="s">
        <v>2756</v>
      </c>
      <c r="H84" t="s">
        <v>3057</v>
      </c>
      <c r="I84" t="s">
        <v>2126</v>
      </c>
      <c r="J84" t="str">
        <f>IF(0 = IFERROR(VLOOKUP(DBL_FullList!I84, ContactsDbl!B:D, 2, FALSE), ""), "", IFERROR(VLOOKUP(DBL_FullList!I84, ContactsDbl!B:D, 2, FALSE), ""))</f>
        <v>gluke@biblesocieties.org</v>
      </c>
      <c r="K84" t="str">
        <f>IF(0 = IFERROR(VLOOKUP(DBL_FullList!I84,ContactsDbl!B:D, 3, FALSE), ""), "", IFERROR(VLOOKUP(DBL_FullList!I84, ContactsDbl!B:D, 3, FALSE), ""))</f>
        <v>http://www.biblesociety-cameroon.org/</v>
      </c>
      <c r="L84">
        <f t="shared" si="3"/>
        <v>2</v>
      </c>
    </row>
    <row r="85" spans="1:12" x14ac:dyDescent="0.25">
      <c r="A85" t="s">
        <v>3058</v>
      </c>
      <c r="B85" t="str">
        <f>IF(ISERROR(VLOOKUP(F85,STEP!A:A, 1, FALSE)), "N", "Y")</f>
        <v>Y</v>
      </c>
      <c r="C85" t="str">
        <f>IF(ISERROR(VLOOKUP(E85, BibleInEveryLanguageTexts!A:A, 1, FALSE)), "N", "Y")</f>
        <v>N</v>
      </c>
      <c r="D85" t="str">
        <f t="shared" si="2"/>
        <v/>
      </c>
      <c r="E85" t="s">
        <v>3059</v>
      </c>
      <c r="F85" t="s">
        <v>3060</v>
      </c>
      <c r="G85" t="s">
        <v>48</v>
      </c>
      <c r="H85" t="s">
        <v>3061</v>
      </c>
      <c r="I85" t="s">
        <v>2661</v>
      </c>
      <c r="J85" t="str">
        <f>IF(0 = IFERROR(VLOOKUP(DBL_FullList!I85, ContactsDbl!B:D, 2, FALSE), ""), "", IFERROR(VLOOKUP(DBL_FullList!I85, ContactsDbl!B:D, 2, FALSE), ""))</f>
        <v>dbladmin_intl@sil.org</v>
      </c>
      <c r="K85" t="str">
        <f>IF(0 = IFERROR(VLOOKUP(DBL_FullList!I85,ContactsDbl!B:D, 3, FALSE), ""), "", IFERROR(VLOOKUP(DBL_FullList!I85, ContactsDbl!B:D, 3, FALSE), ""))</f>
        <v>http://www.wycliffe.org</v>
      </c>
      <c r="L85">
        <f t="shared" si="3"/>
        <v>2</v>
      </c>
    </row>
    <row r="86" spans="1:12" x14ac:dyDescent="0.25">
      <c r="A86" t="s">
        <v>3062</v>
      </c>
      <c r="B86" t="str">
        <f>IF(ISERROR(VLOOKUP(F86,STEP!A:A, 1, FALSE)), "N", "Y")</f>
        <v>N</v>
      </c>
      <c r="C86" t="str">
        <f>IF(ISERROR(VLOOKUP(E86, BibleInEveryLanguageTexts!A:A, 1, FALSE)), "N", "Y")</f>
        <v>N</v>
      </c>
      <c r="D86" t="str">
        <f t="shared" si="2"/>
        <v>X</v>
      </c>
      <c r="E86" t="s">
        <v>3063</v>
      </c>
      <c r="F86" t="s">
        <v>3064</v>
      </c>
      <c r="G86" t="s">
        <v>3065</v>
      </c>
      <c r="H86" t="s">
        <v>3066</v>
      </c>
      <c r="I86" t="s">
        <v>2661</v>
      </c>
      <c r="J86" t="str">
        <f>IF(0 = IFERROR(VLOOKUP(DBL_FullList!I86, ContactsDbl!B:D, 2, FALSE), ""), "", IFERROR(VLOOKUP(DBL_FullList!I86, ContactsDbl!B:D, 2, FALSE), ""))</f>
        <v>dbladmin_intl@sil.org</v>
      </c>
      <c r="K86" t="str">
        <f>IF(0 = IFERROR(VLOOKUP(DBL_FullList!I86,ContactsDbl!B:D, 3, FALSE), ""), "", IFERROR(VLOOKUP(DBL_FullList!I86, ContactsDbl!B:D, 3, FALSE), ""))</f>
        <v>http://www.wycliffe.org</v>
      </c>
      <c r="L86">
        <f t="shared" si="3"/>
        <v>2</v>
      </c>
    </row>
    <row r="87" spans="1:12" x14ac:dyDescent="0.25">
      <c r="A87" t="s">
        <v>3067</v>
      </c>
      <c r="B87" t="str">
        <f>IF(ISERROR(VLOOKUP(F87,STEP!A:A, 1, FALSE)), "N", "Y")</f>
        <v>N</v>
      </c>
      <c r="C87" t="str">
        <f>IF(ISERROR(VLOOKUP(E87, BibleInEveryLanguageTexts!A:A, 1, FALSE)), "N", "Y")</f>
        <v>N</v>
      </c>
      <c r="D87" t="str">
        <f t="shared" si="2"/>
        <v>X</v>
      </c>
      <c r="E87" t="s">
        <v>3068</v>
      </c>
      <c r="F87" t="s">
        <v>3069</v>
      </c>
      <c r="G87" t="s">
        <v>20</v>
      </c>
      <c r="H87" t="s">
        <v>3070</v>
      </c>
      <c r="I87" t="s">
        <v>2329</v>
      </c>
      <c r="J87" t="str">
        <f>IF(0 = IFERROR(VLOOKUP(DBL_FullList!I87, ContactsDbl!B:D, 2, FALSE), ""), "", IFERROR(VLOOKUP(DBL_FullList!I87, ContactsDbl!B:D, 2, FALSE), ""))</f>
        <v/>
      </c>
      <c r="K87" t="str">
        <f>IF(0 = IFERROR(VLOOKUP(DBL_FullList!I87,ContactsDbl!B:D, 3, FALSE), ""), "", IFERROR(VLOOKUP(DBL_FullList!I87, ContactsDbl!B:D, 3, FALSE), ""))</f>
        <v>http://www.bsind.org/</v>
      </c>
      <c r="L87">
        <f t="shared" si="3"/>
        <v>1</v>
      </c>
    </row>
    <row r="88" spans="1:12" x14ac:dyDescent="0.25">
      <c r="A88" t="s">
        <v>3071</v>
      </c>
      <c r="B88" t="str">
        <f>IF(ISERROR(VLOOKUP(F88,STEP!A:A, 1, FALSE)), "N", "Y")</f>
        <v>N</v>
      </c>
      <c r="C88" t="str">
        <f>IF(ISERROR(VLOOKUP(E88, BibleInEveryLanguageTexts!A:A, 1, FALSE)), "N", "Y")</f>
        <v>N</v>
      </c>
      <c r="D88" t="str">
        <f t="shared" si="2"/>
        <v>X</v>
      </c>
      <c r="E88" t="s">
        <v>3072</v>
      </c>
      <c r="F88" t="s">
        <v>3073</v>
      </c>
      <c r="G88" t="s">
        <v>3074</v>
      </c>
      <c r="H88" t="s">
        <v>3075</v>
      </c>
      <c r="I88" t="s">
        <v>2673</v>
      </c>
      <c r="J88" t="str">
        <f>IF(0 = IFERROR(VLOOKUP(DBL_FullList!I88, ContactsDbl!B:D, 2, FALSE), ""), "", IFERROR(VLOOKUP(DBL_FullList!I88, ContactsDbl!B:D, 2, FALSE), ""))</f>
        <v>gnyirenda@biblesociety-zambia.org</v>
      </c>
      <c r="K88" t="str">
        <f>IF(0 = IFERROR(VLOOKUP(DBL_FullList!I88,ContactsDbl!B:D, 3, FALSE), ""), "", IFERROR(VLOOKUP(DBL_FullList!I88, ContactsDbl!B:D, 3, FALSE), ""))</f>
        <v>www.biblesociety-zambia.org</v>
      </c>
      <c r="L88">
        <f t="shared" si="3"/>
        <v>2</v>
      </c>
    </row>
    <row r="89" spans="1:12" x14ac:dyDescent="0.25">
      <c r="A89" t="s">
        <v>3076</v>
      </c>
      <c r="B89" t="str">
        <f>IF(ISERROR(VLOOKUP(F89,STEP!A:A, 1, FALSE)), "N", "Y")</f>
        <v>N</v>
      </c>
      <c r="C89" t="str">
        <f>IF(ISERROR(VLOOKUP(E89, BibleInEveryLanguageTexts!A:A, 1, FALSE)), "N", "Y")</f>
        <v>N</v>
      </c>
      <c r="D89" t="str">
        <f t="shared" si="2"/>
        <v>X</v>
      </c>
      <c r="E89" t="s">
        <v>3077</v>
      </c>
      <c r="F89" t="s">
        <v>3078</v>
      </c>
      <c r="G89" t="s">
        <v>2843</v>
      </c>
      <c r="H89" t="s">
        <v>3079</v>
      </c>
      <c r="I89" t="s">
        <v>2661</v>
      </c>
      <c r="J89" t="str">
        <f>IF(0 = IFERROR(VLOOKUP(DBL_FullList!I89, ContactsDbl!B:D, 2, FALSE), ""), "", IFERROR(VLOOKUP(DBL_FullList!I89, ContactsDbl!B:D, 2, FALSE), ""))</f>
        <v>dbladmin_intl@sil.org</v>
      </c>
      <c r="K89" t="str">
        <f>IF(0 = IFERROR(VLOOKUP(DBL_FullList!I89,ContactsDbl!B:D, 3, FALSE), ""), "", IFERROR(VLOOKUP(DBL_FullList!I89, ContactsDbl!B:D, 3, FALSE), ""))</f>
        <v>http://www.wycliffe.org</v>
      </c>
      <c r="L89">
        <f t="shared" si="3"/>
        <v>2</v>
      </c>
    </row>
    <row r="90" spans="1:12" x14ac:dyDescent="0.25">
      <c r="A90" t="s">
        <v>3080</v>
      </c>
      <c r="B90" t="str">
        <f>IF(ISERROR(VLOOKUP(F90,STEP!A:A, 1, FALSE)), "N", "Y")</f>
        <v>N</v>
      </c>
      <c r="C90" t="str">
        <f>IF(ISERROR(VLOOKUP(E90, BibleInEveryLanguageTexts!A:A, 1, FALSE)), "N", "Y")</f>
        <v>N</v>
      </c>
      <c r="D90" t="str">
        <f t="shared" si="2"/>
        <v>X</v>
      </c>
      <c r="E90" t="s">
        <v>3081</v>
      </c>
      <c r="F90" t="s">
        <v>3082</v>
      </c>
      <c r="G90" t="s">
        <v>3083</v>
      </c>
      <c r="H90" t="s">
        <v>3084</v>
      </c>
      <c r="I90" t="s">
        <v>2413</v>
      </c>
      <c r="J90" t="str">
        <f>IF(0 = IFERROR(VLOOKUP(DBL_FullList!I90, ContactsDbl!B:D, 2, FALSE), ""), "", IFERROR(VLOOKUP(DBL_FullList!I90, ContactsDbl!B:D, 2, FALSE), ""))</f>
        <v>info@biblesociety-mali.org</v>
      </c>
      <c r="K90" t="str">
        <f>IF(0 = IFERROR(VLOOKUP(DBL_FullList!I90,ContactsDbl!B:D, 3, FALSE), ""), "", IFERROR(VLOOKUP(DBL_FullList!I90, ContactsDbl!B:D, 3, FALSE), ""))</f>
        <v>http://www.biblesociety-mali.org</v>
      </c>
      <c r="L90">
        <f t="shared" si="3"/>
        <v>2</v>
      </c>
    </row>
    <row r="91" spans="1:12" x14ac:dyDescent="0.25">
      <c r="A91" t="s">
        <v>3085</v>
      </c>
      <c r="B91" t="str">
        <f>IF(ISERROR(VLOOKUP(F91,STEP!A:A, 1, FALSE)), "N", "Y")</f>
        <v>N</v>
      </c>
      <c r="C91" t="str">
        <f>IF(ISERROR(VLOOKUP(E91, BibleInEveryLanguageTexts!A:A, 1, FALSE)), "N", "Y")</f>
        <v>Y</v>
      </c>
      <c r="D91" t="str">
        <f t="shared" si="2"/>
        <v/>
      </c>
      <c r="E91" t="s">
        <v>246</v>
      </c>
      <c r="F91" t="s">
        <v>245</v>
      </c>
      <c r="G91" t="s">
        <v>20</v>
      </c>
      <c r="H91" t="s">
        <v>3086</v>
      </c>
      <c r="I91" t="s">
        <v>2329</v>
      </c>
      <c r="J91" t="str">
        <f>IF(0 = IFERROR(VLOOKUP(DBL_FullList!I91, ContactsDbl!B:D, 2, FALSE), ""), "", IFERROR(VLOOKUP(DBL_FullList!I91, ContactsDbl!B:D, 2, FALSE), ""))</f>
        <v/>
      </c>
      <c r="K91" t="str">
        <f>IF(0 = IFERROR(VLOOKUP(DBL_FullList!I91,ContactsDbl!B:D, 3, FALSE), ""), "", IFERROR(VLOOKUP(DBL_FullList!I91, ContactsDbl!B:D, 3, FALSE), ""))</f>
        <v>http://www.bsind.org/</v>
      </c>
      <c r="L91">
        <f t="shared" si="3"/>
        <v>1</v>
      </c>
    </row>
    <row r="92" spans="1:12" x14ac:dyDescent="0.25">
      <c r="A92" t="s">
        <v>3087</v>
      </c>
      <c r="B92" t="str">
        <f>IF(ISERROR(VLOOKUP(F92,STEP!A:A, 1, FALSE)), "N", "Y")</f>
        <v>N</v>
      </c>
      <c r="C92" t="str">
        <f>IF(ISERROR(VLOOKUP(E92, BibleInEveryLanguageTexts!A:A, 1, FALSE)), "N", "Y")</f>
        <v>N</v>
      </c>
      <c r="D92" t="str">
        <f t="shared" si="2"/>
        <v>X</v>
      </c>
      <c r="E92" t="s">
        <v>3088</v>
      </c>
      <c r="F92" t="s">
        <v>3089</v>
      </c>
      <c r="G92" t="s">
        <v>3090</v>
      </c>
      <c r="H92" t="s">
        <v>3091</v>
      </c>
      <c r="I92" t="s">
        <v>2222</v>
      </c>
      <c r="J92" t="str">
        <f>IF(0 = IFERROR(VLOOKUP(DBL_FullList!I92, ContactsDbl!B:D, 2, FALSE), ""), "", IFERROR(VLOOKUP(DBL_FullList!I92, ContactsDbl!B:D, 2, FALSE), ""))</f>
        <v>info@piplia.fi</v>
      </c>
      <c r="K92" t="str">
        <f>IF(0 = IFERROR(VLOOKUP(DBL_FullList!I92,ContactsDbl!B:D, 3, FALSE), ""), "", IFERROR(VLOOKUP(DBL_FullList!I92, ContactsDbl!B:D, 3, FALSE), ""))</f>
        <v>http://www.bible.fi/</v>
      </c>
      <c r="L92">
        <f t="shared" si="3"/>
        <v>2</v>
      </c>
    </row>
    <row r="93" spans="1:12" x14ac:dyDescent="0.25">
      <c r="A93" t="s">
        <v>3092</v>
      </c>
      <c r="B93" t="str">
        <f>IF(ISERROR(VLOOKUP(F93,STEP!A:A, 1, FALSE)), "N", "Y")</f>
        <v>N</v>
      </c>
      <c r="C93" t="str">
        <f>IF(ISERROR(VLOOKUP(E93, BibleInEveryLanguageTexts!A:A, 1, FALSE)), "N", "Y")</f>
        <v>N</v>
      </c>
      <c r="D93" t="str">
        <f t="shared" si="2"/>
        <v>X</v>
      </c>
      <c r="E93" t="s">
        <v>3093</v>
      </c>
      <c r="F93" t="s">
        <v>3094</v>
      </c>
      <c r="G93" t="s">
        <v>3095</v>
      </c>
      <c r="H93" t="s">
        <v>3096</v>
      </c>
      <c r="I93" t="s">
        <v>2544</v>
      </c>
      <c r="J93" t="str">
        <f>IF(0 = IFERROR(VLOOKUP(DBL_FullList!I93, ContactsDbl!B:D, 2, FALSE), ""), "", IFERROR(VLOOKUP(DBL_FullList!I93, ContactsDbl!B:D, 2, FALSE), ""))</f>
        <v>mugalde@crbiblica.com</v>
      </c>
      <c r="K93" t="str">
        <f>IF(0 = IFERROR(VLOOKUP(DBL_FullList!I93,ContactsDbl!B:D, 3, FALSE), ""), "", IFERROR(VLOOKUP(DBL_FullList!I93, ContactsDbl!B:D, 3, FALSE), ""))</f>
        <v>www.crbiblica.com</v>
      </c>
      <c r="L93">
        <f t="shared" si="3"/>
        <v>2</v>
      </c>
    </row>
    <row r="94" spans="1:12" x14ac:dyDescent="0.25">
      <c r="A94" t="s">
        <v>3097</v>
      </c>
      <c r="B94" t="str">
        <f>IF(ISERROR(VLOOKUP(F94,STEP!A:A, 1, FALSE)), "N", "Y")</f>
        <v>N</v>
      </c>
      <c r="C94" t="str">
        <f>IF(ISERROR(VLOOKUP(E94, BibleInEveryLanguageTexts!A:A, 1, FALSE)), "N", "Y")</f>
        <v>N</v>
      </c>
      <c r="D94" t="str">
        <f t="shared" si="2"/>
        <v>X</v>
      </c>
      <c r="E94" t="s">
        <v>3098</v>
      </c>
      <c r="F94" t="s">
        <v>3099</v>
      </c>
      <c r="G94" t="s">
        <v>2880</v>
      </c>
      <c r="H94" t="s">
        <v>3100</v>
      </c>
      <c r="I94" t="s">
        <v>2661</v>
      </c>
      <c r="J94" t="str">
        <f>IF(0 = IFERROR(VLOOKUP(DBL_FullList!I94, ContactsDbl!B:D, 2, FALSE), ""), "", IFERROR(VLOOKUP(DBL_FullList!I94, ContactsDbl!B:D, 2, FALSE), ""))</f>
        <v>dbladmin_intl@sil.org</v>
      </c>
      <c r="K94" t="str">
        <f>IF(0 = IFERROR(VLOOKUP(DBL_FullList!I94,ContactsDbl!B:D, 3, FALSE), ""), "", IFERROR(VLOOKUP(DBL_FullList!I94, ContactsDbl!B:D, 3, FALSE), ""))</f>
        <v>http://www.wycliffe.org</v>
      </c>
      <c r="L94">
        <f t="shared" si="3"/>
        <v>2</v>
      </c>
    </row>
    <row r="95" spans="1:12" x14ac:dyDescent="0.25">
      <c r="A95" t="s">
        <v>3101</v>
      </c>
      <c r="B95" t="str">
        <f>IF(ISERROR(VLOOKUP(F95,STEP!A:A, 1, FALSE)), "N", "Y")</f>
        <v>N</v>
      </c>
      <c r="C95" t="str">
        <f>IF(ISERROR(VLOOKUP(E95, BibleInEveryLanguageTexts!A:A, 1, FALSE)), "N", "Y")</f>
        <v>Y</v>
      </c>
      <c r="D95" t="str">
        <f t="shared" si="2"/>
        <v/>
      </c>
      <c r="E95" t="s">
        <v>12</v>
      </c>
      <c r="F95" t="s">
        <v>10</v>
      </c>
      <c r="G95" t="s">
        <v>3102</v>
      </c>
      <c r="H95" t="s">
        <v>3103</v>
      </c>
      <c r="I95" t="s">
        <v>3104</v>
      </c>
      <c r="J95" t="str">
        <f>IF(0 = IFERROR(VLOOKUP(DBL_FullList!I95, ContactsDbl!B:D, 2, FALSE), ""), "", IFERROR(VLOOKUP(DBL_FullList!I95, ContactsDbl!B:D, 2, FALSE), ""))</f>
        <v/>
      </c>
      <c r="K95" t="str">
        <f>IF(0 = IFERROR(VLOOKUP(DBL_FullList!I95,ContactsDbl!B:D, 3, FALSE), ""), "", IFERROR(VLOOKUP(DBL_FullList!I95, ContactsDbl!B:D, 3, FALSE), ""))</f>
        <v/>
      </c>
      <c r="L95">
        <f t="shared" si="3"/>
        <v>0</v>
      </c>
    </row>
    <row r="96" spans="1:12" x14ac:dyDescent="0.25">
      <c r="A96" t="s">
        <v>3105</v>
      </c>
      <c r="B96" t="str">
        <f>IF(ISERROR(VLOOKUP(F96,STEP!A:A, 1, FALSE)), "N", "Y")</f>
        <v>Y</v>
      </c>
      <c r="C96" t="str">
        <f>IF(ISERROR(VLOOKUP(E96, BibleInEveryLanguageTexts!A:A, 1, FALSE)), "N", "Y")</f>
        <v>N</v>
      </c>
      <c r="D96" t="str">
        <f t="shared" si="2"/>
        <v/>
      </c>
      <c r="E96" t="s">
        <v>3106</v>
      </c>
      <c r="F96" t="s">
        <v>3107</v>
      </c>
      <c r="G96" t="s">
        <v>48</v>
      </c>
      <c r="H96" t="s">
        <v>3108</v>
      </c>
      <c r="I96" t="s">
        <v>2380</v>
      </c>
      <c r="J96" t="str">
        <f>IF(0 = IFERROR(VLOOKUP(DBL_FullList!I96, ContactsDbl!B:D, 2, FALSE), ""), "", IFERROR(VLOOKUP(DBL_FullList!I96, ContactsDbl!B:D, 2, FALSE), ""))</f>
        <v/>
      </c>
      <c r="K96" t="str">
        <f>IF(0 = IFERROR(VLOOKUP(DBL_FullList!I96,ContactsDbl!B:D, 3, FALSE), ""), "", IFERROR(VLOOKUP(DBL_FullList!I96, ContactsDbl!B:D, 3, FALSE), ""))</f>
        <v>http://www.lca.org.au/</v>
      </c>
      <c r="L96">
        <f t="shared" si="3"/>
        <v>1</v>
      </c>
    </row>
    <row r="97" spans="1:12" x14ac:dyDescent="0.25">
      <c r="A97" t="s">
        <v>3109</v>
      </c>
      <c r="B97" t="str">
        <f>IF(ISERROR(VLOOKUP(F97,STEP!A:A, 1, FALSE)), "N", "Y")</f>
        <v>N</v>
      </c>
      <c r="C97" t="str">
        <f>IF(ISERROR(VLOOKUP(E97, BibleInEveryLanguageTexts!A:A, 1, FALSE)), "N", "Y")</f>
        <v>N</v>
      </c>
      <c r="D97" t="str">
        <f t="shared" si="2"/>
        <v>X</v>
      </c>
      <c r="E97" t="s">
        <v>3110</v>
      </c>
      <c r="F97" t="s">
        <v>3111</v>
      </c>
      <c r="G97" t="s">
        <v>2756</v>
      </c>
      <c r="H97" t="s">
        <v>3112</v>
      </c>
      <c r="I97" t="s">
        <v>2126</v>
      </c>
      <c r="J97" t="str">
        <f>IF(0 = IFERROR(VLOOKUP(DBL_FullList!I97, ContactsDbl!B:D, 2, FALSE), ""), "", IFERROR(VLOOKUP(DBL_FullList!I97, ContactsDbl!B:D, 2, FALSE), ""))</f>
        <v>gluke@biblesocieties.org</v>
      </c>
      <c r="K97" t="str">
        <f>IF(0 = IFERROR(VLOOKUP(DBL_FullList!I97,ContactsDbl!B:D, 3, FALSE), ""), "", IFERROR(VLOOKUP(DBL_FullList!I97, ContactsDbl!B:D, 3, FALSE), ""))</f>
        <v>http://www.biblesociety-cameroon.org/</v>
      </c>
      <c r="L97">
        <f t="shared" si="3"/>
        <v>2</v>
      </c>
    </row>
    <row r="98" spans="1:12" x14ac:dyDescent="0.25">
      <c r="A98" s="1" t="s">
        <v>3113</v>
      </c>
      <c r="B98" t="str">
        <f>IF(ISERROR(VLOOKUP(F98,STEP!A:A, 1, FALSE)), "N", "Y")</f>
        <v>N</v>
      </c>
      <c r="C98" t="str">
        <f>IF(ISERROR(VLOOKUP(E98, BibleInEveryLanguageTexts!A:A, 1, FALSE)), "N", "Y")</f>
        <v>N</v>
      </c>
      <c r="D98" t="str">
        <f t="shared" si="2"/>
        <v>X</v>
      </c>
      <c r="E98" t="s">
        <v>3114</v>
      </c>
      <c r="F98" t="s">
        <v>3115</v>
      </c>
      <c r="G98" t="s">
        <v>2984</v>
      </c>
      <c r="H98" t="s">
        <v>3116</v>
      </c>
      <c r="I98" t="s">
        <v>2456</v>
      </c>
      <c r="J98" t="str">
        <f>IF(0 = IFERROR(VLOOKUP(DBL_FullList!I98, ContactsDbl!B:D, 2, FALSE), ""), "", IFERROR(VLOOKUP(DBL_FullList!I98, ContactsDbl!B:D, 2, FALSE), ""))</f>
        <v/>
      </c>
      <c r="K98" t="str">
        <f>IF(0 = IFERROR(VLOOKUP(DBL_FullList!I98,ContactsDbl!B:D, 3, FALSE), ""), "", IFERROR(VLOOKUP(DBL_FullList!I98, ContactsDbl!B:D, 3, FALSE), ""))</f>
        <v>http://www.myanmarbible.com/</v>
      </c>
      <c r="L98">
        <f t="shared" si="3"/>
        <v>1</v>
      </c>
    </row>
    <row r="99" spans="1:12" x14ac:dyDescent="0.25">
      <c r="A99" t="s">
        <v>3117</v>
      </c>
      <c r="B99" t="str">
        <f>IF(ISERROR(VLOOKUP(F99,STEP!A:A, 1, FALSE)), "N", "Y")</f>
        <v>N</v>
      </c>
      <c r="C99" t="str">
        <f>IF(ISERROR(VLOOKUP(E99, BibleInEveryLanguageTexts!A:A, 1, FALSE)), "N", "Y")</f>
        <v>N</v>
      </c>
      <c r="D99" t="str">
        <f t="shared" si="2"/>
        <v>X</v>
      </c>
      <c r="E99" t="s">
        <v>3118</v>
      </c>
      <c r="F99" t="s">
        <v>3119</v>
      </c>
      <c r="G99" t="s">
        <v>11</v>
      </c>
      <c r="H99" t="s">
        <v>3120</v>
      </c>
      <c r="I99" t="s">
        <v>2661</v>
      </c>
      <c r="J99" t="str">
        <f>IF(0 = IFERROR(VLOOKUP(DBL_FullList!I99, ContactsDbl!B:D, 2, FALSE), ""), "", IFERROR(VLOOKUP(DBL_FullList!I99, ContactsDbl!B:D, 2, FALSE), ""))</f>
        <v>dbladmin_intl@sil.org</v>
      </c>
      <c r="K99" t="str">
        <f>IF(0 = IFERROR(VLOOKUP(DBL_FullList!I99,ContactsDbl!B:D, 3, FALSE), ""), "", IFERROR(VLOOKUP(DBL_FullList!I99, ContactsDbl!B:D, 3, FALSE), ""))</f>
        <v>http://www.wycliffe.org</v>
      </c>
      <c r="L99">
        <f t="shared" si="3"/>
        <v>2</v>
      </c>
    </row>
    <row r="100" spans="1:12" x14ac:dyDescent="0.25">
      <c r="A100" t="s">
        <v>3121</v>
      </c>
      <c r="B100" t="str">
        <f>IF(ISERROR(VLOOKUP(F100,STEP!A:A, 1, FALSE)), "N", "Y")</f>
        <v>N</v>
      </c>
      <c r="C100" t="str">
        <f>IF(ISERROR(VLOOKUP(E100, BibleInEveryLanguageTexts!A:A, 1, FALSE)), "N", "Y")</f>
        <v>N</v>
      </c>
      <c r="D100" t="str">
        <f t="shared" si="2"/>
        <v>X</v>
      </c>
      <c r="E100" t="s">
        <v>3122</v>
      </c>
      <c r="F100" t="s">
        <v>3123</v>
      </c>
      <c r="G100" t="s">
        <v>3124</v>
      </c>
      <c r="H100" t="s">
        <v>3125</v>
      </c>
      <c r="I100" t="s">
        <v>2661</v>
      </c>
      <c r="J100" t="str">
        <f>IF(0 = IFERROR(VLOOKUP(DBL_FullList!I100, ContactsDbl!B:D, 2, FALSE), ""), "", IFERROR(VLOOKUP(DBL_FullList!I100, ContactsDbl!B:D, 2, FALSE), ""))</f>
        <v>dbladmin_intl@sil.org</v>
      </c>
      <c r="K100" t="str">
        <f>IF(0 = IFERROR(VLOOKUP(DBL_FullList!I100,ContactsDbl!B:D, 3, FALSE), ""), "", IFERROR(VLOOKUP(DBL_FullList!I100, ContactsDbl!B:D, 3, FALSE), ""))</f>
        <v>http://www.wycliffe.org</v>
      </c>
      <c r="L100">
        <f t="shared" si="3"/>
        <v>2</v>
      </c>
    </row>
    <row r="101" spans="1:12" x14ac:dyDescent="0.25">
      <c r="A101" t="s">
        <v>3126</v>
      </c>
      <c r="B101" t="str">
        <f>IF(ISERROR(VLOOKUP(F101,STEP!A:A, 1, FALSE)), "N", "Y")</f>
        <v>N</v>
      </c>
      <c r="C101" t="str">
        <f>IF(ISERROR(VLOOKUP(E101, BibleInEveryLanguageTexts!A:A, 1, FALSE)), "N", "Y")</f>
        <v>N</v>
      </c>
      <c r="D101" t="str">
        <f t="shared" si="2"/>
        <v>X</v>
      </c>
      <c r="E101" t="s">
        <v>3127</v>
      </c>
      <c r="F101" t="s">
        <v>3128</v>
      </c>
      <c r="G101" t="s">
        <v>2756</v>
      </c>
      <c r="H101" t="s">
        <v>3129</v>
      </c>
      <c r="I101" t="s">
        <v>2661</v>
      </c>
      <c r="J101" t="str">
        <f>IF(0 = IFERROR(VLOOKUP(DBL_FullList!I101, ContactsDbl!B:D, 2, FALSE), ""), "", IFERROR(VLOOKUP(DBL_FullList!I101, ContactsDbl!B:D, 2, FALSE), ""))</f>
        <v>dbladmin_intl@sil.org</v>
      </c>
      <c r="K101" t="str">
        <f>IF(0 = IFERROR(VLOOKUP(DBL_FullList!I101,ContactsDbl!B:D, 3, FALSE), ""), "", IFERROR(VLOOKUP(DBL_FullList!I101, ContactsDbl!B:D, 3, FALSE), ""))</f>
        <v>http://www.wycliffe.org</v>
      </c>
      <c r="L101">
        <f t="shared" si="3"/>
        <v>2</v>
      </c>
    </row>
    <row r="102" spans="1:12" x14ac:dyDescent="0.25">
      <c r="A102" t="s">
        <v>3130</v>
      </c>
      <c r="B102" t="str">
        <f>IF(ISERROR(VLOOKUP(F102,STEP!A:A, 1, FALSE)), "N", "Y")</f>
        <v>N</v>
      </c>
      <c r="C102" t="str">
        <f>IF(ISERROR(VLOOKUP(E102, BibleInEveryLanguageTexts!A:A, 1, FALSE)), "N", "Y")</f>
        <v>N</v>
      </c>
      <c r="D102" t="str">
        <f t="shared" si="2"/>
        <v>X</v>
      </c>
      <c r="E102" t="s">
        <v>3131</v>
      </c>
      <c r="F102" t="s">
        <v>3132</v>
      </c>
      <c r="G102" t="s">
        <v>3133</v>
      </c>
      <c r="H102" t="s">
        <v>3134</v>
      </c>
      <c r="I102" t="s">
        <v>2661</v>
      </c>
      <c r="J102" t="str">
        <f>IF(0 = IFERROR(VLOOKUP(DBL_FullList!I102, ContactsDbl!B:D, 2, FALSE), ""), "", IFERROR(VLOOKUP(DBL_FullList!I102, ContactsDbl!B:D, 2, FALSE), ""))</f>
        <v>dbladmin_intl@sil.org</v>
      </c>
      <c r="K102" t="str">
        <f>IF(0 = IFERROR(VLOOKUP(DBL_FullList!I102,ContactsDbl!B:D, 3, FALSE), ""), "", IFERROR(VLOOKUP(DBL_FullList!I102, ContactsDbl!B:D, 3, FALSE), ""))</f>
        <v>http://www.wycliffe.org</v>
      </c>
      <c r="L102">
        <f t="shared" si="3"/>
        <v>2</v>
      </c>
    </row>
    <row r="103" spans="1:12" x14ac:dyDescent="0.25">
      <c r="A103" t="s">
        <v>3135</v>
      </c>
      <c r="B103" t="str">
        <f>IF(ISERROR(VLOOKUP(F103,STEP!A:A, 1, FALSE)), "N", "Y")</f>
        <v>N</v>
      </c>
      <c r="C103" t="str">
        <f>IF(ISERROR(VLOOKUP(E103, BibleInEveryLanguageTexts!A:A, 1, FALSE)), "N", "Y")</f>
        <v>N</v>
      </c>
      <c r="D103" t="str">
        <f t="shared" si="2"/>
        <v>X</v>
      </c>
      <c r="E103" t="s">
        <v>3136</v>
      </c>
      <c r="F103" t="s">
        <v>3137</v>
      </c>
      <c r="G103" t="s">
        <v>20</v>
      </c>
      <c r="H103" t="s">
        <v>3138</v>
      </c>
      <c r="I103" t="s">
        <v>2329</v>
      </c>
      <c r="J103" t="str">
        <f>IF(0 = IFERROR(VLOOKUP(DBL_FullList!I103, ContactsDbl!B:D, 2, FALSE), ""), "", IFERROR(VLOOKUP(DBL_FullList!I103, ContactsDbl!B:D, 2, FALSE), ""))</f>
        <v/>
      </c>
      <c r="K103" t="str">
        <f>IF(0 = IFERROR(VLOOKUP(DBL_FullList!I103,ContactsDbl!B:D, 3, FALSE), ""), "", IFERROR(VLOOKUP(DBL_FullList!I103, ContactsDbl!B:D, 3, FALSE), ""))</f>
        <v>http://www.bsind.org/</v>
      </c>
      <c r="L103">
        <f t="shared" si="3"/>
        <v>1</v>
      </c>
    </row>
    <row r="104" spans="1:12" x14ac:dyDescent="0.25">
      <c r="A104" t="s">
        <v>3139</v>
      </c>
      <c r="B104" t="str">
        <f>IF(ISERROR(VLOOKUP(F104,STEP!A:A, 1, FALSE)), "N", "Y")</f>
        <v>N</v>
      </c>
      <c r="C104" t="str">
        <f>IF(ISERROR(VLOOKUP(E104, BibleInEveryLanguageTexts!A:A, 1, FALSE)), "N", "Y")</f>
        <v>N</v>
      </c>
      <c r="D104" t="str">
        <f t="shared" si="2"/>
        <v>X</v>
      </c>
      <c r="E104" t="s">
        <v>3140</v>
      </c>
      <c r="F104" t="s">
        <v>3141</v>
      </c>
      <c r="G104" t="s">
        <v>2903</v>
      </c>
      <c r="H104" t="s">
        <v>3142</v>
      </c>
      <c r="I104" t="s">
        <v>1982</v>
      </c>
      <c r="J104" t="str">
        <f>IF(0 = IFERROR(VLOOKUP(DBL_FullList!I104, ContactsDbl!B:D, 2, FALSE), ""), "", IFERROR(VLOOKUP(DBL_FullList!I104, ContactsDbl!B:D, 2, FALSE), ""))</f>
        <v>abbenin@intnet.bj</v>
      </c>
      <c r="K104" t="str">
        <f>IF(0 = IFERROR(VLOOKUP(DBL_FullList!I104,ContactsDbl!B:D, 3, FALSE), ""), "", IFERROR(VLOOKUP(DBL_FullList!I104, ContactsDbl!B:D, 3, FALSE), ""))</f>
        <v>http://www.biblesociety-benin.org/</v>
      </c>
      <c r="L104">
        <f t="shared" si="3"/>
        <v>2</v>
      </c>
    </row>
    <row r="105" spans="1:12" x14ac:dyDescent="0.25">
      <c r="A105" t="s">
        <v>3143</v>
      </c>
      <c r="B105" t="str">
        <f>IF(ISERROR(VLOOKUP(F105,STEP!A:A, 1, FALSE)), "N", "Y")</f>
        <v>N</v>
      </c>
      <c r="C105" t="str">
        <f>IF(ISERROR(VLOOKUP(E105, BibleInEveryLanguageTexts!A:A, 1, FALSE)), "N", "Y")</f>
        <v>N</v>
      </c>
      <c r="D105" t="str">
        <f t="shared" si="2"/>
        <v>X</v>
      </c>
      <c r="E105" t="s">
        <v>3144</v>
      </c>
      <c r="F105" t="s">
        <v>3145</v>
      </c>
      <c r="G105" t="s">
        <v>2942</v>
      </c>
      <c r="H105" t="s">
        <v>3146</v>
      </c>
      <c r="I105" t="s">
        <v>1975</v>
      </c>
      <c r="J105" t="str">
        <f>IF(0 = IFERROR(VLOOKUP(DBL_FullList!I105, ContactsDbl!B:D, 2, FALSE), ""), "", IFERROR(VLOOKUP(DBL_FullList!I105, ContactsDbl!B:D, 2, FALSE), ""))</f>
        <v/>
      </c>
      <c r="K105" t="str">
        <f>IF(0 = IFERROR(VLOOKUP(DBL_FullList!I105,ContactsDbl!B:D, 3, FALSE), ""), "", IFERROR(VLOOKUP(DBL_FullList!I105, ContactsDbl!B:D, 3, FALSE), ""))</f>
        <v>http://www.sba.org.ar/</v>
      </c>
      <c r="L105">
        <f t="shared" si="3"/>
        <v>1</v>
      </c>
    </row>
    <row r="106" spans="1:12" x14ac:dyDescent="0.25">
      <c r="A106" t="s">
        <v>3147</v>
      </c>
      <c r="B106" t="str">
        <f>IF(ISERROR(VLOOKUP(F106,STEP!A:A, 1, FALSE)), "N", "Y")</f>
        <v>N</v>
      </c>
      <c r="C106" t="str">
        <f>IF(ISERROR(VLOOKUP(E106, BibleInEveryLanguageTexts!A:A, 1, FALSE)), "N", "Y")</f>
        <v>N</v>
      </c>
      <c r="D106" t="str">
        <f t="shared" si="2"/>
        <v>X</v>
      </c>
      <c r="E106" t="s">
        <v>3148</v>
      </c>
      <c r="F106" t="s">
        <v>3149</v>
      </c>
      <c r="G106" t="s">
        <v>25</v>
      </c>
      <c r="H106" t="s">
        <v>3150</v>
      </c>
      <c r="I106" t="s">
        <v>2661</v>
      </c>
      <c r="J106" t="str">
        <f>IF(0 = IFERROR(VLOOKUP(DBL_FullList!I106, ContactsDbl!B:D, 2, FALSE), ""), "", IFERROR(VLOOKUP(DBL_FullList!I106, ContactsDbl!B:D, 2, FALSE), ""))</f>
        <v>dbladmin_intl@sil.org</v>
      </c>
      <c r="K106" t="str">
        <f>IF(0 = IFERROR(VLOOKUP(DBL_FullList!I106,ContactsDbl!B:D, 3, FALSE), ""), "", IFERROR(VLOOKUP(DBL_FullList!I106, ContactsDbl!B:D, 3, FALSE), ""))</f>
        <v>http://www.wycliffe.org</v>
      </c>
      <c r="L106">
        <f t="shared" si="3"/>
        <v>2</v>
      </c>
    </row>
    <row r="107" spans="1:12" x14ac:dyDescent="0.25">
      <c r="A107" t="s">
        <v>3151</v>
      </c>
      <c r="B107" t="str">
        <f>IF(ISERROR(VLOOKUP(F107,STEP!A:A, 1, FALSE)), "N", "Y")</f>
        <v>N</v>
      </c>
      <c r="C107" t="str">
        <f>IF(ISERROR(VLOOKUP(E107, BibleInEveryLanguageTexts!A:A, 1, FALSE)), "N", "Y")</f>
        <v>N</v>
      </c>
      <c r="D107" t="str">
        <f t="shared" si="2"/>
        <v>X</v>
      </c>
      <c r="E107" t="s">
        <v>3152</v>
      </c>
      <c r="F107" t="s">
        <v>3153</v>
      </c>
      <c r="G107" t="s">
        <v>2756</v>
      </c>
      <c r="H107" t="s">
        <v>3154</v>
      </c>
      <c r="I107" t="s">
        <v>2661</v>
      </c>
      <c r="J107" t="str">
        <f>IF(0 = IFERROR(VLOOKUP(DBL_FullList!I107, ContactsDbl!B:D, 2, FALSE), ""), "", IFERROR(VLOOKUP(DBL_FullList!I107, ContactsDbl!B:D, 2, FALSE), ""))</f>
        <v>dbladmin_intl@sil.org</v>
      </c>
      <c r="K107" t="str">
        <f>IF(0 = IFERROR(VLOOKUP(DBL_FullList!I107,ContactsDbl!B:D, 3, FALSE), ""), "", IFERROR(VLOOKUP(DBL_FullList!I107, ContactsDbl!B:D, 3, FALSE), ""))</f>
        <v>http://www.wycliffe.org</v>
      </c>
      <c r="L107">
        <f t="shared" si="3"/>
        <v>2</v>
      </c>
    </row>
    <row r="108" spans="1:12" x14ac:dyDescent="0.25">
      <c r="A108" t="s">
        <v>3155</v>
      </c>
      <c r="B108" t="str">
        <f>IF(ISERROR(VLOOKUP(F108,STEP!A:A, 1, FALSE)), "N", "Y")</f>
        <v>N</v>
      </c>
      <c r="C108" t="str">
        <f>IF(ISERROR(VLOOKUP(E108, BibleInEveryLanguageTexts!A:A, 1, FALSE)), "N", "Y")</f>
        <v>N</v>
      </c>
      <c r="D108" t="str">
        <f t="shared" si="2"/>
        <v>X</v>
      </c>
      <c r="E108" t="s">
        <v>3156</v>
      </c>
      <c r="F108" t="s">
        <v>3157</v>
      </c>
      <c r="G108" t="s">
        <v>2984</v>
      </c>
      <c r="H108" t="s">
        <v>3158</v>
      </c>
      <c r="I108" t="s">
        <v>2456</v>
      </c>
      <c r="J108" t="str">
        <f>IF(0 = IFERROR(VLOOKUP(DBL_FullList!I108, ContactsDbl!B:D, 2, FALSE), ""), "", IFERROR(VLOOKUP(DBL_FullList!I108, ContactsDbl!B:D, 2, FALSE), ""))</f>
        <v/>
      </c>
      <c r="K108" t="str">
        <f>IF(0 = IFERROR(VLOOKUP(DBL_FullList!I108,ContactsDbl!B:D, 3, FALSE), ""), "", IFERROR(VLOOKUP(DBL_FullList!I108, ContactsDbl!B:D, 3, FALSE), ""))</f>
        <v>http://www.myanmarbible.com/</v>
      </c>
      <c r="L108">
        <f t="shared" si="3"/>
        <v>1</v>
      </c>
    </row>
    <row r="109" spans="1:12" x14ac:dyDescent="0.25">
      <c r="A109" t="s">
        <v>3159</v>
      </c>
      <c r="B109" t="str">
        <f>IF(ISERROR(VLOOKUP(F109,STEP!A:A, 1, FALSE)), "N", "Y")</f>
        <v>N</v>
      </c>
      <c r="C109" t="str">
        <f>IF(ISERROR(VLOOKUP(E109, BibleInEveryLanguageTexts!A:A, 1, FALSE)), "N", "Y")</f>
        <v>N</v>
      </c>
      <c r="D109" t="str">
        <f t="shared" si="2"/>
        <v>X</v>
      </c>
      <c r="E109" t="s">
        <v>3160</v>
      </c>
      <c r="F109" t="s">
        <v>3161</v>
      </c>
      <c r="G109" t="s">
        <v>2838</v>
      </c>
      <c r="H109" t="s">
        <v>3162</v>
      </c>
      <c r="I109" t="s">
        <v>2661</v>
      </c>
      <c r="J109" t="str">
        <f>IF(0 = IFERROR(VLOOKUP(DBL_FullList!I109, ContactsDbl!B:D, 2, FALSE), ""), "", IFERROR(VLOOKUP(DBL_FullList!I109, ContactsDbl!B:D, 2, FALSE), ""))</f>
        <v>dbladmin_intl@sil.org</v>
      </c>
      <c r="K109" t="str">
        <f>IF(0 = IFERROR(VLOOKUP(DBL_FullList!I109,ContactsDbl!B:D, 3, FALSE), ""), "", IFERROR(VLOOKUP(DBL_FullList!I109, ContactsDbl!B:D, 3, FALSE), ""))</f>
        <v>http://www.wycliffe.org</v>
      </c>
      <c r="L109">
        <f t="shared" si="3"/>
        <v>2</v>
      </c>
    </row>
    <row r="110" spans="1:12" x14ac:dyDescent="0.25">
      <c r="A110" t="s">
        <v>3163</v>
      </c>
      <c r="B110" t="str">
        <f>IF(ISERROR(VLOOKUP(F110,STEP!A:A, 1, FALSE)), "N", "Y")</f>
        <v>Y</v>
      </c>
      <c r="C110" t="str">
        <f>IF(ISERROR(VLOOKUP(E110, BibleInEveryLanguageTexts!A:A, 1, FALSE)), "N", "Y")</f>
        <v>N</v>
      </c>
      <c r="D110" t="str">
        <f t="shared" si="2"/>
        <v/>
      </c>
      <c r="E110" t="s">
        <v>3164</v>
      </c>
      <c r="F110" t="s">
        <v>3165</v>
      </c>
      <c r="G110" t="s">
        <v>48</v>
      </c>
      <c r="H110" t="s">
        <v>3166</v>
      </c>
      <c r="I110" t="s">
        <v>2661</v>
      </c>
      <c r="J110" t="str">
        <f>IF(0 = IFERROR(VLOOKUP(DBL_FullList!I110, ContactsDbl!B:D, 2, FALSE), ""), "", IFERROR(VLOOKUP(DBL_FullList!I110, ContactsDbl!B:D, 2, FALSE), ""))</f>
        <v>dbladmin_intl@sil.org</v>
      </c>
      <c r="K110" t="str">
        <f>IF(0 = IFERROR(VLOOKUP(DBL_FullList!I110,ContactsDbl!B:D, 3, FALSE), ""), "", IFERROR(VLOOKUP(DBL_FullList!I110, ContactsDbl!B:D, 3, FALSE), ""))</f>
        <v>http://www.wycliffe.org</v>
      </c>
      <c r="L110">
        <f t="shared" si="3"/>
        <v>2</v>
      </c>
    </row>
    <row r="111" spans="1:12" x14ac:dyDescent="0.25">
      <c r="A111" t="s">
        <v>3167</v>
      </c>
      <c r="B111" t="str">
        <f>IF(ISERROR(VLOOKUP(F111,STEP!A:A, 1, FALSE)), "N", "Y")</f>
        <v>N</v>
      </c>
      <c r="C111" t="str">
        <f>IF(ISERROR(VLOOKUP(E111, BibleInEveryLanguageTexts!A:A, 1, FALSE)), "N", "Y")</f>
        <v>N</v>
      </c>
      <c r="D111" t="str">
        <f t="shared" si="2"/>
        <v>X</v>
      </c>
      <c r="E111" t="s">
        <v>3168</v>
      </c>
      <c r="F111" t="s">
        <v>3169</v>
      </c>
      <c r="G111" t="s">
        <v>2756</v>
      </c>
      <c r="H111" t="s">
        <v>3170</v>
      </c>
      <c r="I111" t="s">
        <v>2126</v>
      </c>
      <c r="J111" t="str">
        <f>IF(0 = IFERROR(VLOOKUP(DBL_FullList!I111, ContactsDbl!B:D, 2, FALSE), ""), "", IFERROR(VLOOKUP(DBL_FullList!I111, ContactsDbl!B:D, 2, FALSE), ""))</f>
        <v>gluke@biblesocieties.org</v>
      </c>
      <c r="K111" t="str">
        <f>IF(0 = IFERROR(VLOOKUP(DBL_FullList!I111,ContactsDbl!B:D, 3, FALSE), ""), "", IFERROR(VLOOKUP(DBL_FullList!I111, ContactsDbl!B:D, 3, FALSE), ""))</f>
        <v>http://www.biblesociety-cameroon.org/</v>
      </c>
      <c r="L111">
        <f t="shared" si="3"/>
        <v>2</v>
      </c>
    </row>
    <row r="112" spans="1:12" x14ac:dyDescent="0.25">
      <c r="A112" t="s">
        <v>3171</v>
      </c>
      <c r="B112" t="str">
        <f>IF(ISERROR(VLOOKUP(F112,STEP!A:A, 1, FALSE)), "N", "Y")</f>
        <v>N</v>
      </c>
      <c r="C112" t="str">
        <f>IF(ISERROR(VLOOKUP(E112, BibleInEveryLanguageTexts!A:A, 1, FALSE)), "N", "Y")</f>
        <v>N</v>
      </c>
      <c r="D112" t="str">
        <f t="shared" si="2"/>
        <v>X</v>
      </c>
      <c r="E112" t="s">
        <v>3172</v>
      </c>
      <c r="F112" t="s">
        <v>3173</v>
      </c>
      <c r="G112" t="s">
        <v>2997</v>
      </c>
      <c r="H112" t="s">
        <v>3174</v>
      </c>
      <c r="I112" t="s">
        <v>2661</v>
      </c>
      <c r="J112" t="str">
        <f>IF(0 = IFERROR(VLOOKUP(DBL_FullList!I112, ContactsDbl!B:D, 2, FALSE), ""), "", IFERROR(VLOOKUP(DBL_FullList!I112, ContactsDbl!B:D, 2, FALSE), ""))</f>
        <v>dbladmin_intl@sil.org</v>
      </c>
      <c r="K112" t="str">
        <f>IF(0 = IFERROR(VLOOKUP(DBL_FullList!I112,ContactsDbl!B:D, 3, FALSE), ""), "", IFERROR(VLOOKUP(DBL_FullList!I112, ContactsDbl!B:D, 3, FALSE), ""))</f>
        <v>http://www.wycliffe.org</v>
      </c>
      <c r="L112">
        <f t="shared" si="3"/>
        <v>2</v>
      </c>
    </row>
    <row r="113" spans="1:12" x14ac:dyDescent="0.25">
      <c r="A113" t="s">
        <v>3175</v>
      </c>
      <c r="B113" t="str">
        <f>IF(ISERROR(VLOOKUP(F113,STEP!A:A, 1, FALSE)), "N", "Y")</f>
        <v>N</v>
      </c>
      <c r="C113" t="str">
        <f>IF(ISERROR(VLOOKUP(E113, BibleInEveryLanguageTexts!A:A, 1, FALSE)), "N", "Y")</f>
        <v>N</v>
      </c>
      <c r="D113" t="str">
        <f t="shared" si="2"/>
        <v>X</v>
      </c>
      <c r="E113" t="s">
        <v>3176</v>
      </c>
      <c r="F113" t="s">
        <v>3145</v>
      </c>
      <c r="G113" t="s">
        <v>2942</v>
      </c>
      <c r="H113" t="s">
        <v>3177</v>
      </c>
      <c r="I113" t="s">
        <v>1975</v>
      </c>
      <c r="J113" t="str">
        <f>IF(0 = IFERROR(VLOOKUP(DBL_FullList!I113, ContactsDbl!B:D, 2, FALSE), ""), "", IFERROR(VLOOKUP(DBL_FullList!I113, ContactsDbl!B:D, 2, FALSE), ""))</f>
        <v/>
      </c>
      <c r="K113" t="str">
        <f>IF(0 = IFERROR(VLOOKUP(DBL_FullList!I113,ContactsDbl!B:D, 3, FALSE), ""), "", IFERROR(VLOOKUP(DBL_FullList!I113, ContactsDbl!B:D, 3, FALSE), ""))</f>
        <v>http://www.sba.org.ar/</v>
      </c>
      <c r="L113">
        <f t="shared" si="3"/>
        <v>1</v>
      </c>
    </row>
    <row r="114" spans="1:12" x14ac:dyDescent="0.25">
      <c r="A114" t="s">
        <v>3178</v>
      </c>
      <c r="B114" t="str">
        <f>IF(ISERROR(VLOOKUP(F114,STEP!A:A, 1, FALSE)), "N", "Y")</f>
        <v>N</v>
      </c>
      <c r="C114" t="str">
        <f>IF(ISERROR(VLOOKUP(E114, BibleInEveryLanguageTexts!A:A, 1, FALSE)), "N", "Y")</f>
        <v>N</v>
      </c>
      <c r="D114" t="str">
        <f t="shared" si="2"/>
        <v>X</v>
      </c>
      <c r="E114" t="s">
        <v>3179</v>
      </c>
      <c r="F114" t="s">
        <v>3180</v>
      </c>
      <c r="G114" t="s">
        <v>3181</v>
      </c>
      <c r="H114" t="s">
        <v>3182</v>
      </c>
      <c r="I114" t="s">
        <v>2661</v>
      </c>
      <c r="J114" t="str">
        <f>IF(0 = IFERROR(VLOOKUP(DBL_FullList!I114, ContactsDbl!B:D, 2, FALSE), ""), "", IFERROR(VLOOKUP(DBL_FullList!I114, ContactsDbl!B:D, 2, FALSE), ""))</f>
        <v>dbladmin_intl@sil.org</v>
      </c>
      <c r="K114" t="str">
        <f>IF(0 = IFERROR(VLOOKUP(DBL_FullList!I114,ContactsDbl!B:D, 3, FALSE), ""), "", IFERROR(VLOOKUP(DBL_FullList!I114, ContactsDbl!B:D, 3, FALSE), ""))</f>
        <v>http://www.wycliffe.org</v>
      </c>
      <c r="L114">
        <f t="shared" si="3"/>
        <v>2</v>
      </c>
    </row>
    <row r="115" spans="1:12" x14ac:dyDescent="0.25">
      <c r="A115" t="s">
        <v>3183</v>
      </c>
      <c r="B115" t="str">
        <f>IF(ISERROR(VLOOKUP(F115,STEP!A:A, 1, FALSE)), "N", "Y")</f>
        <v>Y</v>
      </c>
      <c r="C115" t="str">
        <f>IF(ISERROR(VLOOKUP(E115, BibleInEveryLanguageTexts!A:A, 1, FALSE)), "N", "Y")</f>
        <v>N</v>
      </c>
      <c r="D115" t="str">
        <f t="shared" si="2"/>
        <v/>
      </c>
      <c r="E115" t="s">
        <v>3184</v>
      </c>
      <c r="F115" t="s">
        <v>3185</v>
      </c>
      <c r="G115" t="s">
        <v>48</v>
      </c>
      <c r="H115" t="s">
        <v>3186</v>
      </c>
      <c r="I115" t="s">
        <v>2661</v>
      </c>
      <c r="J115" t="str">
        <f>IF(0 = IFERROR(VLOOKUP(DBL_FullList!I115, ContactsDbl!B:D, 2, FALSE), ""), "", IFERROR(VLOOKUP(DBL_FullList!I115, ContactsDbl!B:D, 2, FALSE), ""))</f>
        <v>dbladmin_intl@sil.org</v>
      </c>
      <c r="K115" t="str">
        <f>IF(0 = IFERROR(VLOOKUP(DBL_FullList!I115,ContactsDbl!B:D, 3, FALSE), ""), "", IFERROR(VLOOKUP(DBL_FullList!I115, ContactsDbl!B:D, 3, FALSE), ""))</f>
        <v>http://www.wycliffe.org</v>
      </c>
      <c r="L115">
        <f t="shared" si="3"/>
        <v>2</v>
      </c>
    </row>
    <row r="116" spans="1:12" x14ac:dyDescent="0.25">
      <c r="A116" t="s">
        <v>3187</v>
      </c>
      <c r="B116" t="str">
        <f>IF(ISERROR(VLOOKUP(F116,STEP!A:A, 1, FALSE)), "N", "Y")</f>
        <v>N</v>
      </c>
      <c r="C116" t="str">
        <f>IF(ISERROR(VLOOKUP(E116, BibleInEveryLanguageTexts!A:A, 1, FALSE)), "N", "Y")</f>
        <v>N</v>
      </c>
      <c r="D116" t="str">
        <f t="shared" si="2"/>
        <v>X</v>
      </c>
      <c r="E116" t="s">
        <v>3188</v>
      </c>
      <c r="F116" t="s">
        <v>3189</v>
      </c>
      <c r="G116" t="s">
        <v>3190</v>
      </c>
      <c r="H116" t="s">
        <v>3191</v>
      </c>
      <c r="I116" t="s">
        <v>2661</v>
      </c>
      <c r="J116" t="str">
        <f>IF(0 = IFERROR(VLOOKUP(DBL_FullList!I116, ContactsDbl!B:D, 2, FALSE), ""), "", IFERROR(VLOOKUP(DBL_FullList!I116, ContactsDbl!B:D, 2, FALSE), ""))</f>
        <v>dbladmin_intl@sil.org</v>
      </c>
      <c r="K116" t="str">
        <f>IF(0 = IFERROR(VLOOKUP(DBL_FullList!I116,ContactsDbl!B:D, 3, FALSE), ""), "", IFERROR(VLOOKUP(DBL_FullList!I116, ContactsDbl!B:D, 3, FALSE), ""))</f>
        <v>http://www.wycliffe.org</v>
      </c>
      <c r="L116">
        <f t="shared" si="3"/>
        <v>2</v>
      </c>
    </row>
    <row r="117" spans="1:12" x14ac:dyDescent="0.25">
      <c r="A117" t="s">
        <v>3192</v>
      </c>
      <c r="B117" t="str">
        <f>IF(ISERROR(VLOOKUP(F117,STEP!A:A, 1, FALSE)), "N", "Y")</f>
        <v>N</v>
      </c>
      <c r="C117" t="str">
        <f>IF(ISERROR(VLOOKUP(E117, BibleInEveryLanguageTexts!A:A, 1, FALSE)), "N", "Y")</f>
        <v>Y</v>
      </c>
      <c r="D117" t="str">
        <f t="shared" si="2"/>
        <v/>
      </c>
      <c r="E117" t="s">
        <v>2704</v>
      </c>
      <c r="F117" t="s">
        <v>3193</v>
      </c>
      <c r="G117" t="s">
        <v>3194</v>
      </c>
      <c r="H117" t="s">
        <v>3195</v>
      </c>
      <c r="I117" t="s">
        <v>2005</v>
      </c>
      <c r="J117" t="str">
        <f>IF(0 = IFERROR(VLOOKUP(DBL_FullList!I117, ContactsDbl!B:D, 2, FALSE), ""), "", IFERROR(VLOOKUP(DBL_FullList!I117, ContactsDbl!B:D, 2, FALSE), ""))</f>
        <v>bmclemore@bibleleague.org</v>
      </c>
      <c r="K117" t="str">
        <f>IF(0 = IFERROR(VLOOKUP(DBL_FullList!I117,ContactsDbl!B:D, 3, FALSE), ""), "", IFERROR(VLOOKUP(DBL_FullList!I117, ContactsDbl!B:D, 3, FALSE), ""))</f>
        <v>http://www.bibleleague.org/</v>
      </c>
      <c r="L117">
        <f t="shared" si="3"/>
        <v>2</v>
      </c>
    </row>
    <row r="118" spans="1:12" x14ac:dyDescent="0.25">
      <c r="A118" t="s">
        <v>3196</v>
      </c>
      <c r="B118" t="str">
        <f>IF(ISERROR(VLOOKUP(F118,STEP!A:A, 1, FALSE)), "N", "Y")</f>
        <v>Y</v>
      </c>
      <c r="C118" t="str">
        <f>IF(ISERROR(VLOOKUP(E118, BibleInEveryLanguageTexts!A:A, 1, FALSE)), "N", "Y")</f>
        <v>N</v>
      </c>
      <c r="D118" t="str">
        <f t="shared" si="2"/>
        <v/>
      </c>
      <c r="E118" t="s">
        <v>3197</v>
      </c>
      <c r="F118" t="s">
        <v>3198</v>
      </c>
      <c r="G118" t="s">
        <v>48</v>
      </c>
      <c r="H118" t="s">
        <v>3199</v>
      </c>
      <c r="I118" t="s">
        <v>2661</v>
      </c>
      <c r="J118" t="str">
        <f>IF(0 = IFERROR(VLOOKUP(DBL_FullList!I118, ContactsDbl!B:D, 2, FALSE), ""), "", IFERROR(VLOOKUP(DBL_FullList!I118, ContactsDbl!B:D, 2, FALSE), ""))</f>
        <v>dbladmin_intl@sil.org</v>
      </c>
      <c r="K118" t="str">
        <f>IF(0 = IFERROR(VLOOKUP(DBL_FullList!I118,ContactsDbl!B:D, 3, FALSE), ""), "", IFERROR(VLOOKUP(DBL_FullList!I118, ContactsDbl!B:D, 3, FALSE), ""))</f>
        <v>http://www.wycliffe.org</v>
      </c>
      <c r="L118">
        <f t="shared" si="3"/>
        <v>2</v>
      </c>
    </row>
    <row r="119" spans="1:12" x14ac:dyDescent="0.25">
      <c r="A119" t="s">
        <v>3200</v>
      </c>
      <c r="B119" t="str">
        <f>IF(ISERROR(VLOOKUP(F119,STEP!A:A, 1, FALSE)), "N", "Y")</f>
        <v>N</v>
      </c>
      <c r="C119" t="str">
        <f>IF(ISERROR(VLOOKUP(E119, BibleInEveryLanguageTexts!A:A, 1, FALSE)), "N", "Y")</f>
        <v>N</v>
      </c>
      <c r="D119" t="str">
        <f t="shared" si="2"/>
        <v>X</v>
      </c>
      <c r="E119" t="s">
        <v>3201</v>
      </c>
      <c r="F119" t="s">
        <v>3202</v>
      </c>
      <c r="G119" t="s">
        <v>2743</v>
      </c>
      <c r="H119" t="s">
        <v>3203</v>
      </c>
      <c r="I119" t="s">
        <v>2661</v>
      </c>
      <c r="J119" t="str">
        <f>IF(0 = IFERROR(VLOOKUP(DBL_FullList!I119, ContactsDbl!B:D, 2, FALSE), ""), "", IFERROR(VLOOKUP(DBL_FullList!I119, ContactsDbl!B:D, 2, FALSE), ""))</f>
        <v>dbladmin_intl@sil.org</v>
      </c>
      <c r="K119" t="str">
        <f>IF(0 = IFERROR(VLOOKUP(DBL_FullList!I119,ContactsDbl!B:D, 3, FALSE), ""), "", IFERROR(VLOOKUP(DBL_FullList!I119, ContactsDbl!B:D, 3, FALSE), ""))</f>
        <v>http://www.wycliffe.org</v>
      </c>
      <c r="L119">
        <f t="shared" si="3"/>
        <v>2</v>
      </c>
    </row>
    <row r="120" spans="1:12" x14ac:dyDescent="0.25">
      <c r="A120" t="s">
        <v>3204</v>
      </c>
      <c r="B120" t="str">
        <f>IF(ISERROR(VLOOKUP(F120,STEP!A:A, 1, FALSE)), "N", "Y")</f>
        <v>Y</v>
      </c>
      <c r="C120" t="str">
        <f>IF(ISERROR(VLOOKUP(E120, BibleInEveryLanguageTexts!A:A, 1, FALSE)), "N", "Y")</f>
        <v>N</v>
      </c>
      <c r="D120" t="str">
        <f t="shared" si="2"/>
        <v/>
      </c>
      <c r="E120" t="s">
        <v>3205</v>
      </c>
      <c r="F120" t="s">
        <v>3206</v>
      </c>
      <c r="G120" t="s">
        <v>48</v>
      </c>
      <c r="H120" t="s">
        <v>3207</v>
      </c>
      <c r="I120" t="s">
        <v>2661</v>
      </c>
      <c r="J120" t="str">
        <f>IF(0 = IFERROR(VLOOKUP(DBL_FullList!I120, ContactsDbl!B:D, 2, FALSE), ""), "", IFERROR(VLOOKUP(DBL_FullList!I120, ContactsDbl!B:D, 2, FALSE), ""))</f>
        <v>dbladmin_intl@sil.org</v>
      </c>
      <c r="K120" t="str">
        <f>IF(0 = IFERROR(VLOOKUP(DBL_FullList!I120,ContactsDbl!B:D, 3, FALSE), ""), "", IFERROR(VLOOKUP(DBL_FullList!I120, ContactsDbl!B:D, 3, FALSE), ""))</f>
        <v>http://www.wycliffe.org</v>
      </c>
      <c r="L120">
        <f t="shared" si="3"/>
        <v>2</v>
      </c>
    </row>
    <row r="121" spans="1:12" x14ac:dyDescent="0.25">
      <c r="A121" t="s">
        <v>3208</v>
      </c>
      <c r="B121" t="str">
        <f>IF(ISERROR(VLOOKUP(F121,STEP!A:A, 1, FALSE)), "N", "Y")</f>
        <v>N</v>
      </c>
      <c r="C121" t="str">
        <f>IF(ISERROR(VLOOKUP(E121, BibleInEveryLanguageTexts!A:A, 1, FALSE)), "N", "Y")</f>
        <v>N</v>
      </c>
      <c r="D121" t="str">
        <f t="shared" si="2"/>
        <v>X</v>
      </c>
      <c r="E121" t="s">
        <v>3209</v>
      </c>
      <c r="F121" t="s">
        <v>3210</v>
      </c>
      <c r="G121" t="s">
        <v>333</v>
      </c>
      <c r="H121" t="s">
        <v>3211</v>
      </c>
      <c r="I121" t="s">
        <v>2661</v>
      </c>
      <c r="J121" t="str">
        <f>IF(0 = IFERROR(VLOOKUP(DBL_FullList!I121, ContactsDbl!B:D, 2, FALSE), ""), "", IFERROR(VLOOKUP(DBL_FullList!I121, ContactsDbl!B:D, 2, FALSE), ""))</f>
        <v>dbladmin_intl@sil.org</v>
      </c>
      <c r="K121" t="str">
        <f>IF(0 = IFERROR(VLOOKUP(DBL_FullList!I121,ContactsDbl!B:D, 3, FALSE), ""), "", IFERROR(VLOOKUP(DBL_FullList!I121, ContactsDbl!B:D, 3, FALSE), ""))</f>
        <v>http://www.wycliffe.org</v>
      </c>
      <c r="L121">
        <f t="shared" si="3"/>
        <v>2</v>
      </c>
    </row>
    <row r="122" spans="1:12" x14ac:dyDescent="0.25">
      <c r="A122" t="s">
        <v>3212</v>
      </c>
      <c r="B122" t="str">
        <f>IF(ISERROR(VLOOKUP(F122,STEP!A:A, 1, FALSE)), "N", "Y")</f>
        <v>N</v>
      </c>
      <c r="C122" t="str">
        <f>IF(ISERROR(VLOOKUP(E122, BibleInEveryLanguageTexts!A:A, 1, FALSE)), "N", "Y")</f>
        <v>N</v>
      </c>
      <c r="D122" t="str">
        <f t="shared" si="2"/>
        <v>X</v>
      </c>
      <c r="E122" t="s">
        <v>3213</v>
      </c>
      <c r="F122" t="s">
        <v>3214</v>
      </c>
      <c r="G122" t="s">
        <v>2743</v>
      </c>
      <c r="H122" t="s">
        <v>3215</v>
      </c>
      <c r="I122" t="s">
        <v>2073</v>
      </c>
      <c r="J122" t="str">
        <f>IF(0 = IFERROR(VLOOKUP(DBL_FullList!I122, ContactsDbl!B:D, 2, FALSE), ""), "", IFERROR(VLOOKUP(DBL_FullList!I122, ContactsDbl!B:D, 2, FALSE), ""))</f>
        <v>ajiboye@biblesociety-nigeria.org</v>
      </c>
      <c r="K122" t="str">
        <f>IF(0 = IFERROR(VLOOKUP(DBL_FullList!I122,ContactsDbl!B:D, 3, FALSE), ""), "", IFERROR(VLOOKUP(DBL_FullList!I122, ContactsDbl!B:D, 3, FALSE), ""))</f>
        <v>http://www.biblesociety-nigeria.org/</v>
      </c>
      <c r="L122">
        <f t="shared" si="3"/>
        <v>2</v>
      </c>
    </row>
    <row r="123" spans="1:12" x14ac:dyDescent="0.25">
      <c r="A123" t="s">
        <v>3216</v>
      </c>
      <c r="B123" t="str">
        <f>IF(ISERROR(VLOOKUP(F123,STEP!A:A, 1, FALSE)), "N", "Y")</f>
        <v>N</v>
      </c>
      <c r="C123" t="str">
        <f>IF(ISERROR(VLOOKUP(E123, BibleInEveryLanguageTexts!A:A, 1, FALSE)), "N", "Y")</f>
        <v>N</v>
      </c>
      <c r="D123" t="str">
        <f t="shared" si="2"/>
        <v>X</v>
      </c>
      <c r="E123" t="s">
        <v>334</v>
      </c>
      <c r="F123" t="s">
        <v>332</v>
      </c>
      <c r="G123" t="s">
        <v>333</v>
      </c>
      <c r="H123" t="s">
        <v>3217</v>
      </c>
      <c r="I123" t="s">
        <v>2534</v>
      </c>
      <c r="J123" t="str">
        <f>IF(0 = IFERROR(VLOOKUP(DBL_FullList!I123, ContactsDbl!B:D, 2, FALSE), ""), "", IFERROR(VLOOKUP(DBL_FullList!I123, ContactsDbl!B:D, 2, FALSE), ""))</f>
        <v>elismar@sbb.org.br</v>
      </c>
      <c r="K123" t="str">
        <f>IF(0 = IFERROR(VLOOKUP(DBL_FullList!I123,ContactsDbl!B:D, 3, FALSE), ""), "", IFERROR(VLOOKUP(DBL_FullList!I123, ContactsDbl!B:D, 3, FALSE), ""))</f>
        <v>http://www.sbb.org.br</v>
      </c>
      <c r="L123">
        <f t="shared" si="3"/>
        <v>2</v>
      </c>
    </row>
    <row r="124" spans="1:12" x14ac:dyDescent="0.25">
      <c r="A124" t="s">
        <v>3218</v>
      </c>
      <c r="B124" t="str">
        <f>IF(ISERROR(VLOOKUP(F124,STEP!A:A, 1, FALSE)), "N", "Y")</f>
        <v>N</v>
      </c>
      <c r="C124" t="str">
        <f>IF(ISERROR(VLOOKUP(E124, BibleInEveryLanguageTexts!A:A, 1, FALSE)), "N", "Y")</f>
        <v>N</v>
      </c>
      <c r="D124" t="str">
        <f t="shared" si="2"/>
        <v>X</v>
      </c>
      <c r="E124" t="s">
        <v>3219</v>
      </c>
      <c r="F124" t="s">
        <v>3220</v>
      </c>
      <c r="G124" t="s">
        <v>3221</v>
      </c>
      <c r="H124" t="s">
        <v>3222</v>
      </c>
      <c r="I124" t="s">
        <v>2661</v>
      </c>
      <c r="J124" t="str">
        <f>IF(0 = IFERROR(VLOOKUP(DBL_FullList!I124, ContactsDbl!B:D, 2, FALSE), ""), "", IFERROR(VLOOKUP(DBL_FullList!I124, ContactsDbl!B:D, 2, FALSE), ""))</f>
        <v>dbladmin_intl@sil.org</v>
      </c>
      <c r="K124" t="str">
        <f>IF(0 = IFERROR(VLOOKUP(DBL_FullList!I124,ContactsDbl!B:D, 3, FALSE), ""), "", IFERROR(VLOOKUP(DBL_FullList!I124, ContactsDbl!B:D, 3, FALSE), ""))</f>
        <v>http://www.wycliffe.org</v>
      </c>
      <c r="L124">
        <f t="shared" si="3"/>
        <v>2</v>
      </c>
    </row>
    <row r="125" spans="1:12" x14ac:dyDescent="0.25">
      <c r="A125" t="s">
        <v>3223</v>
      </c>
      <c r="B125" t="str">
        <f>IF(ISERROR(VLOOKUP(F125,STEP!A:A, 1, FALSE)), "N", "Y")</f>
        <v>N</v>
      </c>
      <c r="C125" t="str">
        <f>IF(ISERROR(VLOOKUP(E125, BibleInEveryLanguageTexts!A:A, 1, FALSE)), "N", "Y")</f>
        <v>N</v>
      </c>
      <c r="D125" t="str">
        <f t="shared" si="2"/>
        <v>X</v>
      </c>
      <c r="E125" t="s">
        <v>3224</v>
      </c>
      <c r="F125" t="s">
        <v>3225</v>
      </c>
      <c r="G125" t="s">
        <v>284</v>
      </c>
      <c r="H125" t="s">
        <v>3226</v>
      </c>
      <c r="I125" t="s">
        <v>2661</v>
      </c>
      <c r="J125" t="str">
        <f>IF(0 = IFERROR(VLOOKUP(DBL_FullList!I125, ContactsDbl!B:D, 2, FALSE), ""), "", IFERROR(VLOOKUP(DBL_FullList!I125, ContactsDbl!B:D, 2, FALSE), ""))</f>
        <v>dbladmin_intl@sil.org</v>
      </c>
      <c r="K125" t="str">
        <f>IF(0 = IFERROR(VLOOKUP(DBL_FullList!I125,ContactsDbl!B:D, 3, FALSE), ""), "", IFERROR(VLOOKUP(DBL_FullList!I125, ContactsDbl!B:D, 3, FALSE), ""))</f>
        <v>http://www.wycliffe.org</v>
      </c>
      <c r="L125">
        <f t="shared" si="3"/>
        <v>2</v>
      </c>
    </row>
    <row r="126" spans="1:12" x14ac:dyDescent="0.25">
      <c r="A126" t="s">
        <v>3227</v>
      </c>
      <c r="B126" t="str">
        <f>IF(ISERROR(VLOOKUP(F126,STEP!A:A, 1, FALSE)), "N", "Y")</f>
        <v>N</v>
      </c>
      <c r="C126" t="str">
        <f>IF(ISERROR(VLOOKUP(E126, BibleInEveryLanguageTexts!A:A, 1, FALSE)), "N", "Y")</f>
        <v>N</v>
      </c>
      <c r="D126" t="str">
        <f t="shared" si="2"/>
        <v>X</v>
      </c>
      <c r="E126" t="s">
        <v>3228</v>
      </c>
      <c r="F126" t="s">
        <v>3229</v>
      </c>
      <c r="G126" t="s">
        <v>2880</v>
      </c>
      <c r="H126" t="s">
        <v>3230</v>
      </c>
      <c r="I126" t="s">
        <v>2661</v>
      </c>
      <c r="J126" t="str">
        <f>IF(0 = IFERROR(VLOOKUP(DBL_FullList!I126, ContactsDbl!B:D, 2, FALSE), ""), "", IFERROR(VLOOKUP(DBL_FullList!I126, ContactsDbl!B:D, 2, FALSE), ""))</f>
        <v>dbladmin_intl@sil.org</v>
      </c>
      <c r="K126" t="str">
        <f>IF(0 = IFERROR(VLOOKUP(DBL_FullList!I126,ContactsDbl!B:D, 3, FALSE), ""), "", IFERROR(VLOOKUP(DBL_FullList!I126, ContactsDbl!B:D, 3, FALSE), ""))</f>
        <v>http://www.wycliffe.org</v>
      </c>
      <c r="L126">
        <f t="shared" si="3"/>
        <v>2</v>
      </c>
    </row>
    <row r="127" spans="1:12" x14ac:dyDescent="0.25">
      <c r="A127" t="s">
        <v>3231</v>
      </c>
      <c r="B127" t="str">
        <f>IF(ISERROR(VLOOKUP(F127,STEP!A:A, 1, FALSE)), "N", "Y")</f>
        <v>N</v>
      </c>
      <c r="C127" t="str">
        <f>IF(ISERROR(VLOOKUP(E127, BibleInEveryLanguageTexts!A:A, 1, FALSE)), "N", "Y")</f>
        <v>N</v>
      </c>
      <c r="D127" t="str">
        <f t="shared" si="2"/>
        <v>X</v>
      </c>
      <c r="E127" t="s">
        <v>3232</v>
      </c>
      <c r="F127" t="s">
        <v>3233</v>
      </c>
      <c r="G127" t="s">
        <v>2743</v>
      </c>
      <c r="H127" t="s">
        <v>3234</v>
      </c>
      <c r="I127" t="s">
        <v>2465</v>
      </c>
      <c r="J127" t="str">
        <f>IF(0 = IFERROR(VLOOKUP(DBL_FullList!I127, ContactsDbl!B:D, 2, FALSE), ""), "", IFERROR(VLOOKUP(DBL_FullList!I127, ContactsDbl!B:D, 2, FALSE), ""))</f>
        <v>heidi_rosendall@sil.org</v>
      </c>
      <c r="K127" t="str">
        <f>IF(0 = IFERROR(VLOOKUP(DBL_FullList!I127,ContactsDbl!B:D, 3, FALSE), ""), "", IFERROR(VLOOKUP(DBL_FullList!I127, ContactsDbl!B:D, 3, FALSE), ""))</f>
        <v>http://wycliffe.net</v>
      </c>
      <c r="L127">
        <f t="shared" si="3"/>
        <v>2</v>
      </c>
    </row>
    <row r="128" spans="1:12" x14ac:dyDescent="0.25">
      <c r="A128" t="s">
        <v>3235</v>
      </c>
      <c r="B128" t="str">
        <f>IF(ISERROR(VLOOKUP(F128,STEP!A:A, 1, FALSE)), "N", "Y")</f>
        <v>Y</v>
      </c>
      <c r="C128" t="str">
        <f>IF(ISERROR(VLOOKUP(E128, BibleInEveryLanguageTexts!A:A, 1, FALSE)), "N", "Y")</f>
        <v>N</v>
      </c>
      <c r="D128" t="str">
        <f t="shared" si="2"/>
        <v/>
      </c>
      <c r="E128" t="s">
        <v>3236</v>
      </c>
      <c r="F128" t="s">
        <v>3237</v>
      </c>
      <c r="G128" t="s">
        <v>48</v>
      </c>
      <c r="H128" t="s">
        <v>3238</v>
      </c>
      <c r="I128" t="s">
        <v>2661</v>
      </c>
      <c r="J128" t="str">
        <f>IF(0 = IFERROR(VLOOKUP(DBL_FullList!I128, ContactsDbl!B:D, 2, FALSE), ""), "", IFERROR(VLOOKUP(DBL_FullList!I128, ContactsDbl!B:D, 2, FALSE), ""))</f>
        <v>dbladmin_intl@sil.org</v>
      </c>
      <c r="K128" t="str">
        <f>IF(0 = IFERROR(VLOOKUP(DBL_FullList!I128,ContactsDbl!B:D, 3, FALSE), ""), "", IFERROR(VLOOKUP(DBL_FullList!I128, ContactsDbl!B:D, 3, FALSE), ""))</f>
        <v>http://www.wycliffe.org</v>
      </c>
      <c r="L128">
        <f t="shared" si="3"/>
        <v>2</v>
      </c>
    </row>
    <row r="129" spans="1:12" x14ac:dyDescent="0.25">
      <c r="A129" t="s">
        <v>3239</v>
      </c>
      <c r="B129" t="str">
        <f>IF(ISERROR(VLOOKUP(F129,STEP!A:A, 1, FALSE)), "N", "Y")</f>
        <v>N</v>
      </c>
      <c r="C129" t="str">
        <f>IF(ISERROR(VLOOKUP(E129, BibleInEveryLanguageTexts!A:A, 1, FALSE)), "N", "Y")</f>
        <v>N</v>
      </c>
      <c r="D129" t="str">
        <f t="shared" si="2"/>
        <v>X</v>
      </c>
      <c r="E129" t="s">
        <v>3240</v>
      </c>
      <c r="F129" t="s">
        <v>3241</v>
      </c>
      <c r="G129" t="s">
        <v>2997</v>
      </c>
      <c r="H129" t="s">
        <v>3242</v>
      </c>
      <c r="I129" t="s">
        <v>2661</v>
      </c>
      <c r="J129" t="str">
        <f>IF(0 = IFERROR(VLOOKUP(DBL_FullList!I129, ContactsDbl!B:D, 2, FALSE), ""), "", IFERROR(VLOOKUP(DBL_FullList!I129, ContactsDbl!B:D, 2, FALSE), ""))</f>
        <v>dbladmin_intl@sil.org</v>
      </c>
      <c r="K129" t="str">
        <f>IF(0 = IFERROR(VLOOKUP(DBL_FullList!I129,ContactsDbl!B:D, 3, FALSE), ""), "", IFERROR(VLOOKUP(DBL_FullList!I129, ContactsDbl!B:D, 3, FALSE), ""))</f>
        <v>http://www.wycliffe.org</v>
      </c>
      <c r="L129">
        <f t="shared" si="3"/>
        <v>2</v>
      </c>
    </row>
    <row r="130" spans="1:12" x14ac:dyDescent="0.25">
      <c r="A130" t="s">
        <v>3243</v>
      </c>
      <c r="B130" t="str">
        <f>IF(ISERROR(VLOOKUP(F130,STEP!A:A, 1, FALSE)), "N", "Y")</f>
        <v>N</v>
      </c>
      <c r="C130" t="str">
        <f>IF(ISERROR(VLOOKUP(E130, BibleInEveryLanguageTexts!A:A, 1, FALSE)), "N", "Y")</f>
        <v>N</v>
      </c>
      <c r="D130" t="str">
        <f t="shared" si="2"/>
        <v>X</v>
      </c>
      <c r="E130" t="s">
        <v>444</v>
      </c>
      <c r="F130" t="s">
        <v>442</v>
      </c>
      <c r="G130" t="s">
        <v>443</v>
      </c>
      <c r="H130" t="s">
        <v>3244</v>
      </c>
      <c r="I130" t="s">
        <v>1997</v>
      </c>
      <c r="J130" t="str">
        <f>IF(0 = IFERROR(VLOOKUP(DBL_FullList!I130, ContactsDbl!B:D, 2, FALSE), ""), "", IFERROR(VLOOKUP(DBL_FullList!I130, ContactsDbl!B:D, 2, FALSE), ""))</f>
        <v>Lee.Harris@biblica.com</v>
      </c>
      <c r="K130" t="str">
        <f>IF(0 = IFERROR(VLOOKUP(DBL_FullList!I130,ContactsDbl!B:D, 3, FALSE), ""), "", IFERROR(VLOOKUP(DBL_FullList!I130, ContactsDbl!B:D, 3, FALSE), ""))</f>
        <v>http://www.Biblica.com</v>
      </c>
      <c r="L130">
        <f t="shared" si="3"/>
        <v>2</v>
      </c>
    </row>
    <row r="131" spans="1:12" x14ac:dyDescent="0.25">
      <c r="A131" t="s">
        <v>3245</v>
      </c>
      <c r="B131" t="str">
        <f>IF(ISERROR(VLOOKUP(F131,STEP!A:A, 1, FALSE)), "N", "Y")</f>
        <v>Y</v>
      </c>
      <c r="C131" t="str">
        <f>IF(ISERROR(VLOOKUP(E131, BibleInEveryLanguageTexts!A:A, 1, FALSE)), "N", "Y")</f>
        <v>N</v>
      </c>
      <c r="D131" t="str">
        <f t="shared" ref="D131:D194" si="4">IF(AND("N" = B131, "N" = C131), "X", "")</f>
        <v/>
      </c>
      <c r="E131" t="s">
        <v>3246</v>
      </c>
      <c r="F131" t="s">
        <v>3247</v>
      </c>
      <c r="G131" t="s">
        <v>2793</v>
      </c>
      <c r="H131" t="s">
        <v>3248</v>
      </c>
      <c r="I131" t="s">
        <v>2661</v>
      </c>
      <c r="J131" t="str">
        <f>IF(0 = IFERROR(VLOOKUP(DBL_FullList!I131, ContactsDbl!B:D, 2, FALSE), ""), "", IFERROR(VLOOKUP(DBL_FullList!I131, ContactsDbl!B:D, 2, FALSE), ""))</f>
        <v>dbladmin_intl@sil.org</v>
      </c>
      <c r="K131" t="str">
        <f>IF(0 = IFERROR(VLOOKUP(DBL_FullList!I131,ContactsDbl!B:D, 3, FALSE), ""), "", IFERROR(VLOOKUP(DBL_FullList!I131, ContactsDbl!B:D, 3, FALSE), ""))</f>
        <v>http://www.wycliffe.org</v>
      </c>
      <c r="L131">
        <f t="shared" ref="L131:L194" si="5">IF("" &lt;&gt; J131, 2, IF("" &lt;&gt; K131, 1, 0))</f>
        <v>2</v>
      </c>
    </row>
    <row r="132" spans="1:12" x14ac:dyDescent="0.25">
      <c r="A132" t="s">
        <v>3249</v>
      </c>
      <c r="B132" t="str">
        <f>IF(ISERROR(VLOOKUP(F132,STEP!A:A, 1, FALSE)), "N", "Y")</f>
        <v>N</v>
      </c>
      <c r="C132" t="str">
        <f>IF(ISERROR(VLOOKUP(E132, BibleInEveryLanguageTexts!A:A, 1, FALSE)), "N", "Y")</f>
        <v>N</v>
      </c>
      <c r="D132" t="str">
        <f t="shared" si="4"/>
        <v>X</v>
      </c>
      <c r="E132" t="s">
        <v>3250</v>
      </c>
      <c r="F132" t="s">
        <v>3251</v>
      </c>
      <c r="G132" t="s">
        <v>2880</v>
      </c>
      <c r="H132" t="s">
        <v>3252</v>
      </c>
      <c r="I132" t="s">
        <v>2661</v>
      </c>
      <c r="J132" t="str">
        <f>IF(0 = IFERROR(VLOOKUP(DBL_FullList!I132, ContactsDbl!B:D, 2, FALSE), ""), "", IFERROR(VLOOKUP(DBL_FullList!I132, ContactsDbl!B:D, 2, FALSE), ""))</f>
        <v>dbladmin_intl@sil.org</v>
      </c>
      <c r="K132" t="str">
        <f>IF(0 = IFERROR(VLOOKUP(DBL_FullList!I132,ContactsDbl!B:D, 3, FALSE), ""), "", IFERROR(VLOOKUP(DBL_FullList!I132, ContactsDbl!B:D, 3, FALSE), ""))</f>
        <v>http://www.wycliffe.org</v>
      </c>
      <c r="L132">
        <f t="shared" si="5"/>
        <v>2</v>
      </c>
    </row>
    <row r="133" spans="1:12" x14ac:dyDescent="0.25">
      <c r="A133" t="s">
        <v>3253</v>
      </c>
      <c r="B133" t="str">
        <f>IF(ISERROR(VLOOKUP(F133,STEP!A:A, 1, FALSE)), "N", "Y")</f>
        <v>N</v>
      </c>
      <c r="C133" t="str">
        <f>IF(ISERROR(VLOOKUP(E133, BibleInEveryLanguageTexts!A:A, 1, FALSE)), "N", "Y")</f>
        <v>N</v>
      </c>
      <c r="D133" t="str">
        <f t="shared" si="4"/>
        <v>X</v>
      </c>
      <c r="E133" t="s">
        <v>3254</v>
      </c>
      <c r="F133" t="s">
        <v>3255</v>
      </c>
      <c r="G133" t="s">
        <v>2997</v>
      </c>
      <c r="H133" t="s">
        <v>3256</v>
      </c>
      <c r="I133" t="s">
        <v>2661</v>
      </c>
      <c r="J133" t="str">
        <f>IF(0 = IFERROR(VLOOKUP(DBL_FullList!I133, ContactsDbl!B:D, 2, FALSE), ""), "", IFERROR(VLOOKUP(DBL_FullList!I133, ContactsDbl!B:D, 2, FALSE), ""))</f>
        <v>dbladmin_intl@sil.org</v>
      </c>
      <c r="K133" t="str">
        <f>IF(0 = IFERROR(VLOOKUP(DBL_FullList!I133,ContactsDbl!B:D, 3, FALSE), ""), "", IFERROR(VLOOKUP(DBL_FullList!I133, ContactsDbl!B:D, 3, FALSE), ""))</f>
        <v>http://www.wycliffe.org</v>
      </c>
      <c r="L133">
        <f t="shared" si="5"/>
        <v>2</v>
      </c>
    </row>
    <row r="134" spans="1:12" x14ac:dyDescent="0.25">
      <c r="A134" t="s">
        <v>3257</v>
      </c>
      <c r="B134" t="str">
        <f>IF(ISERROR(VLOOKUP(F134,STEP!A:A, 1, FALSE)), "N", "Y")</f>
        <v>N</v>
      </c>
      <c r="C134" t="str">
        <f>IF(ISERROR(VLOOKUP(E134, BibleInEveryLanguageTexts!A:A, 1, FALSE)), "N", "Y")</f>
        <v>N</v>
      </c>
      <c r="D134" t="str">
        <f t="shared" si="4"/>
        <v>X</v>
      </c>
      <c r="E134" t="s">
        <v>3258</v>
      </c>
      <c r="F134" t="s">
        <v>3259</v>
      </c>
      <c r="G134" t="s">
        <v>3260</v>
      </c>
      <c r="H134" t="s">
        <v>3261</v>
      </c>
      <c r="I134" t="s">
        <v>3104</v>
      </c>
      <c r="J134" t="str">
        <f>IF(0 = IFERROR(VLOOKUP(DBL_FullList!I134, ContactsDbl!B:D, 2, FALSE), ""), "", IFERROR(VLOOKUP(DBL_FullList!I134, ContactsDbl!B:D, 2, FALSE), ""))</f>
        <v/>
      </c>
      <c r="K134" t="str">
        <f>IF(0 = IFERROR(VLOOKUP(DBL_FullList!I134,ContactsDbl!B:D, 3, FALSE), ""), "", IFERROR(VLOOKUP(DBL_FullList!I134, ContactsDbl!B:D, 3, FALSE), ""))</f>
        <v/>
      </c>
      <c r="L134">
        <f t="shared" si="5"/>
        <v>0</v>
      </c>
    </row>
    <row r="135" spans="1:12" x14ac:dyDescent="0.25">
      <c r="A135" t="s">
        <v>3262</v>
      </c>
      <c r="B135" t="str">
        <f>IF(ISERROR(VLOOKUP(F135,STEP!A:A, 1, FALSE)), "N", "Y")</f>
        <v>N</v>
      </c>
      <c r="C135" t="str">
        <f>IF(ISERROR(VLOOKUP(E135, BibleInEveryLanguageTexts!A:A, 1, FALSE)), "N", "Y")</f>
        <v>N</v>
      </c>
      <c r="D135" t="str">
        <f t="shared" si="4"/>
        <v>X</v>
      </c>
      <c r="E135" t="s">
        <v>3263</v>
      </c>
      <c r="F135" t="s">
        <v>3264</v>
      </c>
      <c r="G135" t="s">
        <v>2838</v>
      </c>
      <c r="H135" t="s">
        <v>3265</v>
      </c>
      <c r="I135" t="s">
        <v>2661</v>
      </c>
      <c r="J135" t="str">
        <f>IF(0 = IFERROR(VLOOKUP(DBL_FullList!I135, ContactsDbl!B:D, 2, FALSE), ""), "", IFERROR(VLOOKUP(DBL_FullList!I135, ContactsDbl!B:D, 2, FALSE), ""))</f>
        <v>dbladmin_intl@sil.org</v>
      </c>
      <c r="K135" t="str">
        <f>IF(0 = IFERROR(VLOOKUP(DBL_FullList!I135,ContactsDbl!B:D, 3, FALSE), ""), "", IFERROR(VLOOKUP(DBL_FullList!I135, ContactsDbl!B:D, 3, FALSE), ""))</f>
        <v>http://www.wycliffe.org</v>
      </c>
      <c r="L135">
        <f t="shared" si="5"/>
        <v>2</v>
      </c>
    </row>
    <row r="136" spans="1:12" x14ac:dyDescent="0.25">
      <c r="A136" t="s">
        <v>3266</v>
      </c>
      <c r="B136" t="str">
        <f>IF(ISERROR(VLOOKUP(F136,STEP!A:A, 1, FALSE)), "N", "Y")</f>
        <v>N</v>
      </c>
      <c r="C136" t="str">
        <f>IF(ISERROR(VLOOKUP(E136, BibleInEveryLanguageTexts!A:A, 1, FALSE)), "N", "Y")</f>
        <v>N</v>
      </c>
      <c r="D136" t="str">
        <f t="shared" si="4"/>
        <v>X</v>
      </c>
      <c r="E136" t="s">
        <v>3267</v>
      </c>
      <c r="F136" t="s">
        <v>3268</v>
      </c>
      <c r="G136" t="s">
        <v>2756</v>
      </c>
      <c r="H136" t="s">
        <v>3269</v>
      </c>
      <c r="I136" t="s">
        <v>2661</v>
      </c>
      <c r="J136" t="str">
        <f>IF(0 = IFERROR(VLOOKUP(DBL_FullList!I136, ContactsDbl!B:D, 2, FALSE), ""), "", IFERROR(VLOOKUP(DBL_FullList!I136, ContactsDbl!B:D, 2, FALSE), ""))</f>
        <v>dbladmin_intl@sil.org</v>
      </c>
      <c r="K136" t="str">
        <f>IF(0 = IFERROR(VLOOKUP(DBL_FullList!I136,ContactsDbl!B:D, 3, FALSE), ""), "", IFERROR(VLOOKUP(DBL_FullList!I136, ContactsDbl!B:D, 3, FALSE), ""))</f>
        <v>http://www.wycliffe.org</v>
      </c>
      <c r="L136">
        <f t="shared" si="5"/>
        <v>2</v>
      </c>
    </row>
    <row r="137" spans="1:12" x14ac:dyDescent="0.25">
      <c r="A137" t="s">
        <v>3270</v>
      </c>
      <c r="B137" t="str">
        <f>IF(ISERROR(VLOOKUP(F137,STEP!A:A, 1, FALSE)), "N", "Y")</f>
        <v>N</v>
      </c>
      <c r="C137" t="str">
        <f>IF(ISERROR(VLOOKUP(E137, BibleInEveryLanguageTexts!A:A, 1, FALSE)), "N", "Y")</f>
        <v>N</v>
      </c>
      <c r="D137" t="str">
        <f t="shared" si="4"/>
        <v>X</v>
      </c>
      <c r="E137" t="s">
        <v>3271</v>
      </c>
      <c r="F137" t="s">
        <v>3272</v>
      </c>
      <c r="G137" t="s">
        <v>268</v>
      </c>
      <c r="H137" t="s">
        <v>3273</v>
      </c>
      <c r="I137" t="s">
        <v>3104</v>
      </c>
      <c r="J137" t="str">
        <f>IF(0 = IFERROR(VLOOKUP(DBL_FullList!I137, ContactsDbl!B:D, 2, FALSE), ""), "", IFERROR(VLOOKUP(DBL_FullList!I137, ContactsDbl!B:D, 2, FALSE), ""))</f>
        <v/>
      </c>
      <c r="K137" t="str">
        <f>IF(0 = IFERROR(VLOOKUP(DBL_FullList!I137,ContactsDbl!B:D, 3, FALSE), ""), "", IFERROR(VLOOKUP(DBL_FullList!I137, ContactsDbl!B:D, 3, FALSE), ""))</f>
        <v/>
      </c>
      <c r="L137">
        <f t="shared" si="5"/>
        <v>0</v>
      </c>
    </row>
    <row r="138" spans="1:12" x14ac:dyDescent="0.25">
      <c r="A138" t="s">
        <v>3274</v>
      </c>
      <c r="B138" t="str">
        <f>IF(ISERROR(VLOOKUP(F138,STEP!A:A, 1, FALSE)), "N", "Y")</f>
        <v>Y</v>
      </c>
      <c r="C138" t="str">
        <f>IF(ISERROR(VLOOKUP(E138, BibleInEveryLanguageTexts!A:A, 1, FALSE)), "N", "Y")</f>
        <v>N</v>
      </c>
      <c r="D138" t="str">
        <f t="shared" si="4"/>
        <v/>
      </c>
      <c r="E138" t="s">
        <v>3275</v>
      </c>
      <c r="F138" t="s">
        <v>3276</v>
      </c>
      <c r="G138" t="s">
        <v>48</v>
      </c>
      <c r="H138" t="s">
        <v>3277</v>
      </c>
      <c r="I138" t="s">
        <v>2661</v>
      </c>
      <c r="J138" t="str">
        <f>IF(0 = IFERROR(VLOOKUP(DBL_FullList!I138, ContactsDbl!B:D, 2, FALSE), ""), "", IFERROR(VLOOKUP(DBL_FullList!I138, ContactsDbl!B:D, 2, FALSE), ""))</f>
        <v>dbladmin_intl@sil.org</v>
      </c>
      <c r="K138" t="str">
        <f>IF(0 = IFERROR(VLOOKUP(DBL_FullList!I138,ContactsDbl!B:D, 3, FALSE), ""), "", IFERROR(VLOOKUP(DBL_FullList!I138, ContactsDbl!B:D, 3, FALSE), ""))</f>
        <v>http://www.wycliffe.org</v>
      </c>
      <c r="L138">
        <f t="shared" si="5"/>
        <v>2</v>
      </c>
    </row>
    <row r="139" spans="1:12" x14ac:dyDescent="0.25">
      <c r="A139" t="s">
        <v>3278</v>
      </c>
      <c r="B139" t="str">
        <f>IF(ISERROR(VLOOKUP(F139,STEP!A:A, 1, FALSE)), "N", "Y")</f>
        <v>N</v>
      </c>
      <c r="C139" t="str">
        <f>IF(ISERROR(VLOOKUP(E139, BibleInEveryLanguageTexts!A:A, 1, FALSE)), "N", "Y")</f>
        <v>N</v>
      </c>
      <c r="D139" t="str">
        <f t="shared" si="4"/>
        <v>X</v>
      </c>
      <c r="E139" t="s">
        <v>3279</v>
      </c>
      <c r="F139" t="s">
        <v>3280</v>
      </c>
      <c r="G139" t="s">
        <v>3281</v>
      </c>
      <c r="H139" t="s">
        <v>3282</v>
      </c>
      <c r="I139" t="s">
        <v>2417</v>
      </c>
      <c r="J139" t="str">
        <f>IF(0 = IFERROR(VLOOKUP(DBL_FullList!I139, ContactsDbl!B:D, 2, FALSE), ""), "", IFERROR(VLOOKUP(DBL_FullList!I139, ContactsDbl!B:D, 2, FALSE), ""))</f>
        <v>mathewpunnoose@biblemalaysia.org</v>
      </c>
      <c r="K139" t="str">
        <f>IF(0 = IFERROR(VLOOKUP(DBL_FullList!I139,ContactsDbl!B:D, 3, FALSE), ""), "", IFERROR(VLOOKUP(DBL_FullList!I139, ContactsDbl!B:D, 3, FALSE), ""))</f>
        <v>http://www.bible.org.my/</v>
      </c>
      <c r="L139">
        <f t="shared" si="5"/>
        <v>2</v>
      </c>
    </row>
    <row r="140" spans="1:12" x14ac:dyDescent="0.25">
      <c r="A140" t="s">
        <v>3283</v>
      </c>
      <c r="B140" t="str">
        <f>IF(ISERROR(VLOOKUP(F140,STEP!A:A, 1, FALSE)), "N", "Y")</f>
        <v>N</v>
      </c>
      <c r="C140" t="str">
        <f>IF(ISERROR(VLOOKUP(E140, BibleInEveryLanguageTexts!A:A, 1, FALSE)), "N", "Y")</f>
        <v>N</v>
      </c>
      <c r="D140" t="str">
        <f t="shared" si="4"/>
        <v>X</v>
      </c>
      <c r="E140" t="s">
        <v>3284</v>
      </c>
      <c r="F140" t="s">
        <v>3285</v>
      </c>
      <c r="G140" t="s">
        <v>77</v>
      </c>
      <c r="H140" t="s">
        <v>3286</v>
      </c>
      <c r="I140" t="s">
        <v>2657</v>
      </c>
      <c r="J140" t="str">
        <f>IF(0 = IFERROR(VLOOKUP(DBL_FullList!I140, ContactsDbl!B:D, 2, FALSE), ""), "", IFERROR(VLOOKUP(DBL_FullList!I140, ContactsDbl!B:D, 2, FALSE), ""))</f>
        <v>lktam@biblevietnam.org</v>
      </c>
      <c r="K140" t="str">
        <f>IF(0 = IFERROR(VLOOKUP(DBL_FullList!I140,ContactsDbl!B:D, 3, FALSE), ""), "", IFERROR(VLOOKUP(DBL_FullList!I140, ContactsDbl!B:D, 3, FALSE), ""))</f>
        <v>http://www.biblevietnam.org</v>
      </c>
      <c r="L140">
        <f t="shared" si="5"/>
        <v>2</v>
      </c>
    </row>
    <row r="141" spans="1:12" x14ac:dyDescent="0.25">
      <c r="A141" t="s">
        <v>3287</v>
      </c>
      <c r="B141" t="str">
        <f>IF(ISERROR(VLOOKUP(F141,STEP!A:A, 1, FALSE)), "N", "Y")</f>
        <v>Y</v>
      </c>
      <c r="C141" t="str">
        <f>IF(ISERROR(VLOOKUP(E141, BibleInEveryLanguageTexts!A:A, 1, FALSE)), "N", "Y")</f>
        <v>N</v>
      </c>
      <c r="D141" t="str">
        <f t="shared" si="4"/>
        <v/>
      </c>
      <c r="E141" t="s">
        <v>3288</v>
      </c>
      <c r="F141" t="s">
        <v>3289</v>
      </c>
      <c r="G141" t="s">
        <v>48</v>
      </c>
      <c r="H141" t="s">
        <v>3290</v>
      </c>
      <c r="I141" t="s">
        <v>2661</v>
      </c>
      <c r="J141" t="str">
        <f>IF(0 = IFERROR(VLOOKUP(DBL_FullList!I141, ContactsDbl!B:D, 2, FALSE), ""), "", IFERROR(VLOOKUP(DBL_FullList!I141, ContactsDbl!B:D, 2, FALSE), ""))</f>
        <v>dbladmin_intl@sil.org</v>
      </c>
      <c r="K141" t="str">
        <f>IF(0 = IFERROR(VLOOKUP(DBL_FullList!I141,ContactsDbl!B:D, 3, FALSE), ""), "", IFERROR(VLOOKUP(DBL_FullList!I141, ContactsDbl!B:D, 3, FALSE), ""))</f>
        <v>http://www.wycliffe.org</v>
      </c>
      <c r="L141">
        <f t="shared" si="5"/>
        <v>2</v>
      </c>
    </row>
    <row r="142" spans="1:12" x14ac:dyDescent="0.25">
      <c r="A142" t="s">
        <v>3291</v>
      </c>
      <c r="B142" t="str">
        <f>IF(ISERROR(VLOOKUP(F142,STEP!A:A, 1, FALSE)), "N", "Y")</f>
        <v>N</v>
      </c>
      <c r="C142" t="str">
        <f>IF(ISERROR(VLOOKUP(E142, BibleInEveryLanguageTexts!A:A, 1, FALSE)), "N", "Y")</f>
        <v>N</v>
      </c>
      <c r="D142" t="str">
        <f t="shared" si="4"/>
        <v>X</v>
      </c>
      <c r="E142" t="s">
        <v>3292</v>
      </c>
      <c r="F142" t="s">
        <v>3293</v>
      </c>
      <c r="G142" t="s">
        <v>2733</v>
      </c>
      <c r="H142" t="s">
        <v>3294</v>
      </c>
      <c r="I142" t="s">
        <v>2661</v>
      </c>
      <c r="J142" t="str">
        <f>IF(0 = IFERROR(VLOOKUP(DBL_FullList!I142, ContactsDbl!B:D, 2, FALSE), ""), "", IFERROR(VLOOKUP(DBL_FullList!I142, ContactsDbl!B:D, 2, FALSE), ""))</f>
        <v>dbladmin_intl@sil.org</v>
      </c>
      <c r="K142" t="str">
        <f>IF(0 = IFERROR(VLOOKUP(DBL_FullList!I142,ContactsDbl!B:D, 3, FALSE), ""), "", IFERROR(VLOOKUP(DBL_FullList!I142, ContactsDbl!B:D, 3, FALSE), ""))</f>
        <v>http://www.wycliffe.org</v>
      </c>
      <c r="L142">
        <f t="shared" si="5"/>
        <v>2</v>
      </c>
    </row>
    <row r="143" spans="1:12" x14ac:dyDescent="0.25">
      <c r="A143" t="s">
        <v>3295</v>
      </c>
      <c r="B143" t="str">
        <f>IF(ISERROR(VLOOKUP(F143,STEP!A:A, 1, FALSE)), "N", "Y")</f>
        <v>N</v>
      </c>
      <c r="C143" t="str">
        <f>IF(ISERROR(VLOOKUP(E143, BibleInEveryLanguageTexts!A:A, 1, FALSE)), "N", "Y")</f>
        <v>N</v>
      </c>
      <c r="D143" t="str">
        <f t="shared" si="4"/>
        <v>X</v>
      </c>
      <c r="E143" t="s">
        <v>3296</v>
      </c>
      <c r="F143" t="s">
        <v>3297</v>
      </c>
      <c r="G143" t="s">
        <v>2756</v>
      </c>
      <c r="H143" t="s">
        <v>3298</v>
      </c>
      <c r="I143" t="s">
        <v>2126</v>
      </c>
      <c r="J143" t="str">
        <f>IF(0 = IFERROR(VLOOKUP(DBL_FullList!I143, ContactsDbl!B:D, 2, FALSE), ""), "", IFERROR(VLOOKUP(DBL_FullList!I143, ContactsDbl!B:D, 2, FALSE), ""))</f>
        <v>gluke@biblesocieties.org</v>
      </c>
      <c r="K143" t="str">
        <f>IF(0 = IFERROR(VLOOKUP(DBL_FullList!I143,ContactsDbl!B:D, 3, FALSE), ""), "", IFERROR(VLOOKUP(DBL_FullList!I143, ContactsDbl!B:D, 3, FALSE), ""))</f>
        <v>http://www.biblesociety-cameroon.org/</v>
      </c>
      <c r="L143">
        <f t="shared" si="5"/>
        <v>2</v>
      </c>
    </row>
    <row r="144" spans="1:12" x14ac:dyDescent="0.25">
      <c r="A144" t="s">
        <v>3299</v>
      </c>
      <c r="B144" t="str">
        <f>IF(ISERROR(VLOOKUP(F144,STEP!A:A, 1, FALSE)), "N", "Y")</f>
        <v>N</v>
      </c>
      <c r="C144" t="str">
        <f>IF(ISERROR(VLOOKUP(E144, BibleInEveryLanguageTexts!A:A, 1, FALSE)), "N", "Y")</f>
        <v>N</v>
      </c>
      <c r="D144" t="str">
        <f t="shared" si="4"/>
        <v>X</v>
      </c>
      <c r="E144" t="s">
        <v>3300</v>
      </c>
      <c r="F144" t="s">
        <v>3301</v>
      </c>
      <c r="G144" t="s">
        <v>2756</v>
      </c>
      <c r="H144" t="s">
        <v>3302</v>
      </c>
      <c r="I144" t="s">
        <v>2661</v>
      </c>
      <c r="J144" t="str">
        <f>IF(0 = IFERROR(VLOOKUP(DBL_FullList!I144, ContactsDbl!B:D, 2, FALSE), ""), "", IFERROR(VLOOKUP(DBL_FullList!I144, ContactsDbl!B:D, 2, FALSE), ""))</f>
        <v>dbladmin_intl@sil.org</v>
      </c>
      <c r="K144" t="str">
        <f>IF(0 = IFERROR(VLOOKUP(DBL_FullList!I144,ContactsDbl!B:D, 3, FALSE), ""), "", IFERROR(VLOOKUP(DBL_FullList!I144, ContactsDbl!B:D, 3, FALSE), ""))</f>
        <v>http://www.wycliffe.org</v>
      </c>
      <c r="L144">
        <f t="shared" si="5"/>
        <v>2</v>
      </c>
    </row>
    <row r="145" spans="1:12" x14ac:dyDescent="0.25">
      <c r="A145" t="s">
        <v>3303</v>
      </c>
      <c r="B145" t="str">
        <f>IF(ISERROR(VLOOKUP(F145,STEP!A:A, 1, FALSE)), "N", "Y")</f>
        <v>N</v>
      </c>
      <c r="C145" t="str">
        <f>IF(ISERROR(VLOOKUP(E145, BibleInEveryLanguageTexts!A:A, 1, FALSE)), "N", "Y")</f>
        <v>N</v>
      </c>
      <c r="D145" t="str">
        <f t="shared" si="4"/>
        <v>X</v>
      </c>
      <c r="E145" t="s">
        <v>3304</v>
      </c>
      <c r="F145" t="s">
        <v>3305</v>
      </c>
      <c r="G145" t="s">
        <v>20</v>
      </c>
      <c r="H145" t="s">
        <v>3306</v>
      </c>
      <c r="I145" t="s">
        <v>2329</v>
      </c>
      <c r="J145" t="str">
        <f>IF(0 = IFERROR(VLOOKUP(DBL_FullList!I145, ContactsDbl!B:D, 2, FALSE), ""), "", IFERROR(VLOOKUP(DBL_FullList!I145, ContactsDbl!B:D, 2, FALSE), ""))</f>
        <v/>
      </c>
      <c r="K145" t="str">
        <f>IF(0 = IFERROR(VLOOKUP(DBL_FullList!I145,ContactsDbl!B:D, 3, FALSE), ""), "", IFERROR(VLOOKUP(DBL_FullList!I145, ContactsDbl!B:D, 3, FALSE), ""))</f>
        <v>http://www.bsind.org/</v>
      </c>
      <c r="L145">
        <f t="shared" si="5"/>
        <v>1</v>
      </c>
    </row>
    <row r="146" spans="1:12" x14ac:dyDescent="0.25">
      <c r="A146" s="1" t="s">
        <v>3307</v>
      </c>
      <c r="B146" t="str">
        <f>IF(ISERROR(VLOOKUP(F146,STEP!A:A, 1, FALSE)), "N", "Y")</f>
        <v>N</v>
      </c>
      <c r="C146" t="str">
        <f>IF(ISERROR(VLOOKUP(E146, BibleInEveryLanguageTexts!A:A, 1, FALSE)), "N", "Y")</f>
        <v>N</v>
      </c>
      <c r="D146" t="str">
        <f t="shared" si="4"/>
        <v>X</v>
      </c>
      <c r="E146" t="s">
        <v>3308</v>
      </c>
      <c r="F146" t="s">
        <v>3309</v>
      </c>
      <c r="G146" t="s">
        <v>3310</v>
      </c>
      <c r="H146" t="s">
        <v>3311</v>
      </c>
      <c r="I146" t="s">
        <v>2661</v>
      </c>
      <c r="J146" t="str">
        <f>IF(0 = IFERROR(VLOOKUP(DBL_FullList!I146, ContactsDbl!B:D, 2, FALSE), ""), "", IFERROR(VLOOKUP(DBL_FullList!I146, ContactsDbl!B:D, 2, FALSE), ""))</f>
        <v>dbladmin_intl@sil.org</v>
      </c>
      <c r="K146" t="str">
        <f>IF(0 = IFERROR(VLOOKUP(DBL_FullList!I146,ContactsDbl!B:D, 3, FALSE), ""), "", IFERROR(VLOOKUP(DBL_FullList!I146, ContactsDbl!B:D, 3, FALSE), ""))</f>
        <v>http://www.wycliffe.org</v>
      </c>
      <c r="L146">
        <f t="shared" si="5"/>
        <v>2</v>
      </c>
    </row>
    <row r="147" spans="1:12" x14ac:dyDescent="0.25">
      <c r="A147" t="s">
        <v>3312</v>
      </c>
      <c r="B147" t="str">
        <f>IF(ISERROR(VLOOKUP(F147,STEP!A:A, 1, FALSE)), "N", "Y")</f>
        <v>N</v>
      </c>
      <c r="C147" t="str">
        <f>IF(ISERROR(VLOOKUP(E147, BibleInEveryLanguageTexts!A:A, 1, FALSE)), "N", "Y")</f>
        <v>N</v>
      </c>
      <c r="D147" t="str">
        <f t="shared" si="4"/>
        <v>X</v>
      </c>
      <c r="E147" t="s">
        <v>3313</v>
      </c>
      <c r="F147" t="s">
        <v>3314</v>
      </c>
      <c r="G147" t="s">
        <v>11</v>
      </c>
      <c r="H147" t="s">
        <v>3315</v>
      </c>
      <c r="I147" t="s">
        <v>2661</v>
      </c>
      <c r="J147" t="str">
        <f>IF(0 = IFERROR(VLOOKUP(DBL_FullList!I147, ContactsDbl!B:D, 2, FALSE), ""), "", IFERROR(VLOOKUP(DBL_FullList!I147, ContactsDbl!B:D, 2, FALSE), ""))</f>
        <v>dbladmin_intl@sil.org</v>
      </c>
      <c r="K147" t="str">
        <f>IF(0 = IFERROR(VLOOKUP(DBL_FullList!I147,ContactsDbl!B:D, 3, FALSE), ""), "", IFERROR(VLOOKUP(DBL_FullList!I147, ContactsDbl!B:D, 3, FALSE), ""))</f>
        <v>http://www.wycliffe.org</v>
      </c>
      <c r="L147">
        <f t="shared" si="5"/>
        <v>2</v>
      </c>
    </row>
    <row r="148" spans="1:12" x14ac:dyDescent="0.25">
      <c r="A148" t="s">
        <v>3316</v>
      </c>
      <c r="B148" t="str">
        <f>IF(ISERROR(VLOOKUP(F148,STEP!A:A, 1, FALSE)), "N", "Y")</f>
        <v>N</v>
      </c>
      <c r="C148" t="str">
        <f>IF(ISERROR(VLOOKUP(E148, BibleInEveryLanguageTexts!A:A, 1, FALSE)), "N", "Y")</f>
        <v>Y</v>
      </c>
      <c r="D148" t="str">
        <f t="shared" si="4"/>
        <v/>
      </c>
      <c r="E148" t="s">
        <v>2700</v>
      </c>
      <c r="F148" t="s">
        <v>3317</v>
      </c>
      <c r="G148" t="s">
        <v>3181</v>
      </c>
      <c r="H148" t="s">
        <v>3318</v>
      </c>
      <c r="I148" t="s">
        <v>2665</v>
      </c>
      <c r="J148" t="str">
        <f>IF(0 = IFERROR(VLOOKUP(DBL_FullList!I148, ContactsDbl!B:D, 2, FALSE), ""), "", IFERROR(VLOOKUP(DBL_FullList!I148, ContactsDbl!B:D, 2, FALSE), ""))</f>
        <v>tom_van_wynen@wycliffe.net</v>
      </c>
      <c r="K148" t="str">
        <f>IF(0 = IFERROR(VLOOKUP(DBL_FullList!I148,ContactsDbl!B:D, 3, FALSE), ""), "", IFERROR(VLOOKUP(DBL_FullList!I148, ContactsDbl!B:D, 3, FALSE), ""))</f>
        <v/>
      </c>
      <c r="L148">
        <f t="shared" si="5"/>
        <v>2</v>
      </c>
    </row>
    <row r="149" spans="1:12" x14ac:dyDescent="0.25">
      <c r="A149" t="s">
        <v>3319</v>
      </c>
      <c r="B149" t="str">
        <f>IF(ISERROR(VLOOKUP(F149,STEP!A:A, 1, FALSE)), "N", "Y")</f>
        <v>N</v>
      </c>
      <c r="C149" t="str">
        <f>IF(ISERROR(VLOOKUP(E149, BibleInEveryLanguageTexts!A:A, 1, FALSE)), "N", "Y")</f>
        <v>N</v>
      </c>
      <c r="D149" t="str">
        <f t="shared" si="4"/>
        <v>X</v>
      </c>
      <c r="E149" t="s">
        <v>3320</v>
      </c>
      <c r="F149" t="s">
        <v>3321</v>
      </c>
      <c r="G149" t="s">
        <v>3322</v>
      </c>
      <c r="H149" t="s">
        <v>3323</v>
      </c>
      <c r="I149" t="s">
        <v>2304</v>
      </c>
      <c r="J149" t="str">
        <f>IF(0 = IFERROR(VLOOKUP(DBL_FullList!I149, ContactsDbl!B:D, 2, FALSE), ""), "", IFERROR(VLOOKUP(DBL_FullList!I149, ContactsDbl!B:D, 2, FALSE), ""))</f>
        <v/>
      </c>
      <c r="K149" t="str">
        <f>IF(0 = IFERROR(VLOOKUP(DBL_FullList!I149,ContactsDbl!B:D, 3, FALSE), ""), "", IFERROR(VLOOKUP(DBL_FullList!I149, ContactsDbl!B:D, 3, FALSE), ""))</f>
        <v>http://www.societateabiblica.org</v>
      </c>
      <c r="L149">
        <f t="shared" si="5"/>
        <v>1</v>
      </c>
    </row>
    <row r="150" spans="1:12" x14ac:dyDescent="0.25">
      <c r="A150" t="s">
        <v>3324</v>
      </c>
      <c r="B150" t="str">
        <f>IF(ISERROR(VLOOKUP(F150,STEP!A:A, 1, FALSE)), "N", "Y")</f>
        <v>N</v>
      </c>
      <c r="C150" t="str">
        <f>IF(ISERROR(VLOOKUP(E150, BibleInEveryLanguageTexts!A:A, 1, FALSE)), "N", "Y")</f>
        <v>N</v>
      </c>
      <c r="D150" t="str">
        <f t="shared" si="4"/>
        <v>X</v>
      </c>
      <c r="E150" t="s">
        <v>3325</v>
      </c>
      <c r="F150" t="s">
        <v>3326</v>
      </c>
      <c r="G150" t="s">
        <v>3133</v>
      </c>
      <c r="H150" t="s">
        <v>3327</v>
      </c>
      <c r="I150" t="s">
        <v>2661</v>
      </c>
      <c r="J150" t="str">
        <f>IF(0 = IFERROR(VLOOKUP(DBL_FullList!I150, ContactsDbl!B:D, 2, FALSE), ""), "", IFERROR(VLOOKUP(DBL_FullList!I150, ContactsDbl!B:D, 2, FALSE), ""))</f>
        <v>dbladmin_intl@sil.org</v>
      </c>
      <c r="K150" t="str">
        <f>IF(0 = IFERROR(VLOOKUP(DBL_FullList!I150,ContactsDbl!B:D, 3, FALSE), ""), "", IFERROR(VLOOKUP(DBL_FullList!I150, ContactsDbl!B:D, 3, FALSE), ""))</f>
        <v>http://www.wycliffe.org</v>
      </c>
      <c r="L150">
        <f t="shared" si="5"/>
        <v>2</v>
      </c>
    </row>
    <row r="151" spans="1:12" x14ac:dyDescent="0.25">
      <c r="A151" t="s">
        <v>3328</v>
      </c>
      <c r="B151" t="str">
        <f>IF(ISERROR(VLOOKUP(F151,STEP!A:A, 1, FALSE)), "N", "Y")</f>
        <v>N</v>
      </c>
      <c r="C151" t="str">
        <f>IF(ISERROR(VLOOKUP(E151, BibleInEveryLanguageTexts!A:A, 1, FALSE)), "N", "Y")</f>
        <v>N</v>
      </c>
      <c r="D151" t="str">
        <f t="shared" si="4"/>
        <v>X</v>
      </c>
      <c r="E151" t="s">
        <v>3329</v>
      </c>
      <c r="F151" t="s">
        <v>2732</v>
      </c>
      <c r="G151" t="s">
        <v>2733</v>
      </c>
      <c r="H151" t="s">
        <v>3330</v>
      </c>
      <c r="I151" t="s">
        <v>2013</v>
      </c>
      <c r="J151" t="str">
        <f>IF(0 = IFERROR(VLOOKUP(DBL_FullList!I151, ContactsDbl!B:D, 2, FALSE), ""), "", IFERROR(VLOOKUP(DBL_FullList!I151, ContactsDbl!B:D, 2, FALSE), ""))</f>
        <v>fcossio@biblesocieties.org</v>
      </c>
      <c r="K151" t="str">
        <f>IF(0 = IFERROR(VLOOKUP(DBL_FullList!I151,ContactsDbl!B:D, 3, FALSE), ""), "", IFERROR(VLOOKUP(DBL_FullList!I151, ContactsDbl!B:D, 3, FALSE), ""))</f>
        <v>http://sociedadbiblicaboliviana.org</v>
      </c>
      <c r="L151">
        <f t="shared" si="5"/>
        <v>2</v>
      </c>
    </row>
    <row r="152" spans="1:12" x14ac:dyDescent="0.25">
      <c r="A152" t="s">
        <v>3331</v>
      </c>
      <c r="B152" t="str">
        <f>IF(ISERROR(VLOOKUP(F152,STEP!A:A, 1, FALSE)), "N", "Y")</f>
        <v>N</v>
      </c>
      <c r="C152" t="str">
        <f>IF(ISERROR(VLOOKUP(E152, BibleInEveryLanguageTexts!A:A, 1, FALSE)), "N", "Y")</f>
        <v>N</v>
      </c>
      <c r="D152" t="str">
        <f t="shared" si="4"/>
        <v>X</v>
      </c>
      <c r="E152" t="s">
        <v>3332</v>
      </c>
      <c r="F152" t="s">
        <v>3333</v>
      </c>
      <c r="G152" t="s">
        <v>3221</v>
      </c>
      <c r="H152" t="s">
        <v>3334</v>
      </c>
      <c r="I152" t="s">
        <v>2661</v>
      </c>
      <c r="J152" t="str">
        <f>IF(0 = IFERROR(VLOOKUP(DBL_FullList!I152, ContactsDbl!B:D, 2, FALSE), ""), "", IFERROR(VLOOKUP(DBL_FullList!I152, ContactsDbl!B:D, 2, FALSE), ""))</f>
        <v>dbladmin_intl@sil.org</v>
      </c>
      <c r="K152" t="str">
        <f>IF(0 = IFERROR(VLOOKUP(DBL_FullList!I152,ContactsDbl!B:D, 3, FALSE), ""), "", IFERROR(VLOOKUP(DBL_FullList!I152, ContactsDbl!B:D, 3, FALSE), ""))</f>
        <v>http://www.wycliffe.org</v>
      </c>
      <c r="L152">
        <f t="shared" si="5"/>
        <v>2</v>
      </c>
    </row>
    <row r="153" spans="1:12" x14ac:dyDescent="0.25">
      <c r="A153" t="s">
        <v>3335</v>
      </c>
      <c r="B153" t="str">
        <f>IF(ISERROR(VLOOKUP(F153,STEP!A:A, 1, FALSE)), "N", "Y")</f>
        <v>N</v>
      </c>
      <c r="C153" t="str">
        <f>IF(ISERROR(VLOOKUP(E153, BibleInEveryLanguageTexts!A:A, 1, FALSE)), "N", "Y")</f>
        <v>N</v>
      </c>
      <c r="D153" t="str">
        <f t="shared" si="4"/>
        <v>X</v>
      </c>
      <c r="E153" t="s">
        <v>3026</v>
      </c>
      <c r="F153" t="s">
        <v>3027</v>
      </c>
      <c r="G153" t="s">
        <v>115</v>
      </c>
      <c r="H153" t="s">
        <v>3336</v>
      </c>
      <c r="I153" t="s">
        <v>2623</v>
      </c>
      <c r="J153" t="str">
        <f>IF(0 = IFERROR(VLOOKUP(DBL_FullList!I153, ContactsDbl!B:D, 2, FALSE), ""), "", IFERROR(VLOOKUP(DBL_FullList!I153, ContactsDbl!B:D, 2, FALSE), ""))</f>
        <v>seree@thaibible.or.th</v>
      </c>
      <c r="K153" t="str">
        <f>IF(0 = IFERROR(VLOOKUP(DBL_FullList!I153,ContactsDbl!B:D, 3, FALSE), ""), "", IFERROR(VLOOKUP(DBL_FullList!I153, ContactsDbl!B:D, 3, FALSE), ""))</f>
        <v>http://www.thaibible.or.th/</v>
      </c>
      <c r="L153">
        <f t="shared" si="5"/>
        <v>2</v>
      </c>
    </row>
    <row r="154" spans="1:12" x14ac:dyDescent="0.25">
      <c r="A154" t="s">
        <v>3337</v>
      </c>
      <c r="B154" t="str">
        <f>IF(ISERROR(VLOOKUP(F154,STEP!A:A, 1, FALSE)), "N", "Y")</f>
        <v>N</v>
      </c>
      <c r="C154" t="str">
        <f>IF(ISERROR(VLOOKUP(E154, BibleInEveryLanguageTexts!A:A, 1, FALSE)), "N", "Y")</f>
        <v>N</v>
      </c>
      <c r="D154" t="str">
        <f t="shared" si="4"/>
        <v>X</v>
      </c>
      <c r="E154" t="s">
        <v>3338</v>
      </c>
      <c r="F154" t="s">
        <v>3339</v>
      </c>
      <c r="G154" t="s">
        <v>48</v>
      </c>
      <c r="H154" t="s">
        <v>3340</v>
      </c>
      <c r="I154" t="s">
        <v>2661</v>
      </c>
      <c r="J154" t="str">
        <f>IF(0 = IFERROR(VLOOKUP(DBL_FullList!I154, ContactsDbl!B:D, 2, FALSE), ""), "", IFERROR(VLOOKUP(DBL_FullList!I154, ContactsDbl!B:D, 2, FALSE), ""))</f>
        <v>dbladmin_intl@sil.org</v>
      </c>
      <c r="K154" t="str">
        <f>IF(0 = IFERROR(VLOOKUP(DBL_FullList!I154,ContactsDbl!B:D, 3, FALSE), ""), "", IFERROR(VLOOKUP(DBL_FullList!I154, ContactsDbl!B:D, 3, FALSE), ""))</f>
        <v>http://www.wycliffe.org</v>
      </c>
      <c r="L154">
        <f t="shared" si="5"/>
        <v>2</v>
      </c>
    </row>
    <row r="155" spans="1:12" x14ac:dyDescent="0.25">
      <c r="A155" t="s">
        <v>3341</v>
      </c>
      <c r="B155" t="str">
        <f>IF(ISERROR(VLOOKUP(F155,STEP!A:A, 1, FALSE)), "N", "Y")</f>
        <v>N</v>
      </c>
      <c r="C155" t="str">
        <f>IF(ISERROR(VLOOKUP(E155, BibleInEveryLanguageTexts!A:A, 1, FALSE)), "N", "Y")</f>
        <v>N</v>
      </c>
      <c r="D155" t="str">
        <f t="shared" si="4"/>
        <v>X</v>
      </c>
      <c r="E155" t="s">
        <v>3342</v>
      </c>
      <c r="F155" t="s">
        <v>3343</v>
      </c>
      <c r="G155" t="s">
        <v>2743</v>
      </c>
      <c r="H155" t="s">
        <v>3344</v>
      </c>
      <c r="I155" t="s">
        <v>2661</v>
      </c>
      <c r="J155" t="str">
        <f>IF(0 = IFERROR(VLOOKUP(DBL_FullList!I155, ContactsDbl!B:D, 2, FALSE), ""), "", IFERROR(VLOOKUP(DBL_FullList!I155, ContactsDbl!B:D, 2, FALSE), ""))</f>
        <v>dbladmin_intl@sil.org</v>
      </c>
      <c r="K155" t="str">
        <f>IF(0 = IFERROR(VLOOKUP(DBL_FullList!I155,ContactsDbl!B:D, 3, FALSE), ""), "", IFERROR(VLOOKUP(DBL_FullList!I155, ContactsDbl!B:D, 3, FALSE), ""))</f>
        <v>http://www.wycliffe.org</v>
      </c>
      <c r="L155">
        <f t="shared" si="5"/>
        <v>2</v>
      </c>
    </row>
    <row r="156" spans="1:12" x14ac:dyDescent="0.25">
      <c r="A156" t="s">
        <v>3345</v>
      </c>
      <c r="B156" t="str">
        <f>IF(ISERROR(VLOOKUP(F156,STEP!A:A, 1, FALSE)), "N", "Y")</f>
        <v>N</v>
      </c>
      <c r="C156" t="str">
        <f>IF(ISERROR(VLOOKUP(E156, BibleInEveryLanguageTexts!A:A, 1, FALSE)), "N", "Y")</f>
        <v>N</v>
      </c>
      <c r="D156" t="str">
        <f t="shared" si="4"/>
        <v>X</v>
      </c>
      <c r="E156" t="s">
        <v>3346</v>
      </c>
      <c r="F156" t="s">
        <v>3347</v>
      </c>
      <c r="G156" t="s">
        <v>3124</v>
      </c>
      <c r="H156" t="s">
        <v>3348</v>
      </c>
      <c r="I156" t="s">
        <v>2661</v>
      </c>
      <c r="J156" t="str">
        <f>IF(0 = IFERROR(VLOOKUP(DBL_FullList!I156, ContactsDbl!B:D, 2, FALSE), ""), "", IFERROR(VLOOKUP(DBL_FullList!I156, ContactsDbl!B:D, 2, FALSE), ""))</f>
        <v>dbladmin_intl@sil.org</v>
      </c>
      <c r="K156" t="str">
        <f>IF(0 = IFERROR(VLOOKUP(DBL_FullList!I156,ContactsDbl!B:D, 3, FALSE), ""), "", IFERROR(VLOOKUP(DBL_FullList!I156, ContactsDbl!B:D, 3, FALSE), ""))</f>
        <v>http://www.wycliffe.org</v>
      </c>
      <c r="L156">
        <f t="shared" si="5"/>
        <v>2</v>
      </c>
    </row>
    <row r="157" spans="1:12" x14ac:dyDescent="0.25">
      <c r="A157" t="s">
        <v>3349</v>
      </c>
      <c r="B157" t="str">
        <f>IF(ISERROR(VLOOKUP(F157,STEP!A:A, 1, FALSE)), "N", "Y")</f>
        <v>N</v>
      </c>
      <c r="C157" t="str">
        <f>IF(ISERROR(VLOOKUP(E157, BibleInEveryLanguageTexts!A:A, 1, FALSE)), "N", "Y")</f>
        <v>N</v>
      </c>
      <c r="D157" t="str">
        <f t="shared" si="4"/>
        <v>X</v>
      </c>
      <c r="E157" t="s">
        <v>3350</v>
      </c>
      <c r="F157" t="s">
        <v>3351</v>
      </c>
      <c r="G157" t="s">
        <v>20</v>
      </c>
      <c r="H157" t="s">
        <v>3352</v>
      </c>
      <c r="I157" t="s">
        <v>2329</v>
      </c>
      <c r="J157" t="str">
        <f>IF(0 = IFERROR(VLOOKUP(DBL_FullList!I157, ContactsDbl!B:D, 2, FALSE), ""), "", IFERROR(VLOOKUP(DBL_FullList!I157, ContactsDbl!B:D, 2, FALSE), ""))</f>
        <v/>
      </c>
      <c r="K157" t="str">
        <f>IF(0 = IFERROR(VLOOKUP(DBL_FullList!I157,ContactsDbl!B:D, 3, FALSE), ""), "", IFERROR(VLOOKUP(DBL_FullList!I157, ContactsDbl!B:D, 3, FALSE), ""))</f>
        <v>http://www.bsind.org/</v>
      </c>
      <c r="L157">
        <f t="shared" si="5"/>
        <v>1</v>
      </c>
    </row>
    <row r="158" spans="1:12" x14ac:dyDescent="0.25">
      <c r="A158" t="s">
        <v>3353</v>
      </c>
      <c r="B158" t="str">
        <f>IF(ISERROR(VLOOKUP(F158,STEP!A:A, 1, FALSE)), "N", "Y")</f>
        <v>N</v>
      </c>
      <c r="C158" t="str">
        <f>IF(ISERROR(VLOOKUP(E158, BibleInEveryLanguageTexts!A:A, 1, FALSE)), "N", "Y")</f>
        <v>N</v>
      </c>
      <c r="D158" t="str">
        <f t="shared" si="4"/>
        <v>X</v>
      </c>
      <c r="E158" t="s">
        <v>3354</v>
      </c>
      <c r="F158" t="s">
        <v>3355</v>
      </c>
      <c r="G158" t="s">
        <v>20</v>
      </c>
      <c r="H158" t="s">
        <v>3356</v>
      </c>
      <c r="I158" t="s">
        <v>2329</v>
      </c>
      <c r="J158" t="str">
        <f>IF(0 = IFERROR(VLOOKUP(DBL_FullList!I158, ContactsDbl!B:D, 2, FALSE), ""), "", IFERROR(VLOOKUP(DBL_FullList!I158, ContactsDbl!B:D, 2, FALSE), ""))</f>
        <v/>
      </c>
      <c r="K158" t="str">
        <f>IF(0 = IFERROR(VLOOKUP(DBL_FullList!I158,ContactsDbl!B:D, 3, FALSE), ""), "", IFERROR(VLOOKUP(DBL_FullList!I158, ContactsDbl!B:D, 3, FALSE), ""))</f>
        <v>http://www.bsind.org/</v>
      </c>
      <c r="L158">
        <f t="shared" si="5"/>
        <v>1</v>
      </c>
    </row>
    <row r="159" spans="1:12" x14ac:dyDescent="0.25">
      <c r="A159" t="s">
        <v>3357</v>
      </c>
      <c r="B159" t="str">
        <f>IF(ISERROR(VLOOKUP(F159,STEP!A:A, 1, FALSE)), "N", "Y")</f>
        <v>N</v>
      </c>
      <c r="C159" t="str">
        <f>IF(ISERROR(VLOOKUP(E159, BibleInEveryLanguageTexts!A:A, 1, FALSE)), "N", "Y")</f>
        <v>N</v>
      </c>
      <c r="D159" t="str">
        <f t="shared" si="4"/>
        <v>X</v>
      </c>
      <c r="E159" t="s">
        <v>3358</v>
      </c>
      <c r="F159" t="s">
        <v>3359</v>
      </c>
      <c r="G159" t="s">
        <v>110</v>
      </c>
      <c r="H159" t="s">
        <v>3360</v>
      </c>
      <c r="I159" t="s">
        <v>2661</v>
      </c>
      <c r="J159" t="str">
        <f>IF(0 = IFERROR(VLOOKUP(DBL_FullList!I159, ContactsDbl!B:D, 2, FALSE), ""), "", IFERROR(VLOOKUP(DBL_FullList!I159, ContactsDbl!B:D, 2, FALSE), ""))</f>
        <v>dbladmin_intl@sil.org</v>
      </c>
      <c r="K159" t="str">
        <f>IF(0 = IFERROR(VLOOKUP(DBL_FullList!I159,ContactsDbl!B:D, 3, FALSE), ""), "", IFERROR(VLOOKUP(DBL_FullList!I159, ContactsDbl!B:D, 3, FALSE), ""))</f>
        <v>http://www.wycliffe.org</v>
      </c>
      <c r="L159">
        <f t="shared" si="5"/>
        <v>2</v>
      </c>
    </row>
    <row r="160" spans="1:12" x14ac:dyDescent="0.25">
      <c r="A160" t="s">
        <v>3361</v>
      </c>
      <c r="B160" t="str">
        <f>IF(ISERROR(VLOOKUP(F160,STEP!A:A, 1, FALSE)), "N", "Y")</f>
        <v>N</v>
      </c>
      <c r="C160" t="str">
        <f>IF(ISERROR(VLOOKUP(E160, BibleInEveryLanguageTexts!A:A, 1, FALSE)), "N", "Y")</f>
        <v>N</v>
      </c>
      <c r="D160" t="str">
        <f t="shared" si="4"/>
        <v>X</v>
      </c>
      <c r="E160" t="s">
        <v>3362</v>
      </c>
      <c r="F160" t="s">
        <v>3363</v>
      </c>
      <c r="G160" t="s">
        <v>2733</v>
      </c>
      <c r="H160" t="s">
        <v>3364</v>
      </c>
      <c r="I160" t="s">
        <v>2013</v>
      </c>
      <c r="J160" t="str">
        <f>IF(0 = IFERROR(VLOOKUP(DBL_FullList!I160, ContactsDbl!B:D, 2, FALSE), ""), "", IFERROR(VLOOKUP(DBL_FullList!I160, ContactsDbl!B:D, 2, FALSE), ""))</f>
        <v>fcossio@biblesocieties.org</v>
      </c>
      <c r="K160" t="str">
        <f>IF(0 = IFERROR(VLOOKUP(DBL_FullList!I160,ContactsDbl!B:D, 3, FALSE), ""), "", IFERROR(VLOOKUP(DBL_FullList!I160, ContactsDbl!B:D, 3, FALSE), ""))</f>
        <v>http://sociedadbiblicaboliviana.org</v>
      </c>
      <c r="L160">
        <f t="shared" si="5"/>
        <v>2</v>
      </c>
    </row>
    <row r="161" spans="1:12" x14ac:dyDescent="0.25">
      <c r="A161" t="s">
        <v>3365</v>
      </c>
      <c r="B161" t="str">
        <f>IF(ISERROR(VLOOKUP(F161,STEP!A:A, 1, FALSE)), "N", "Y")</f>
        <v>N</v>
      </c>
      <c r="C161" t="str">
        <f>IF(ISERROR(VLOOKUP(E161, BibleInEveryLanguageTexts!A:A, 1, FALSE)), "N", "Y")</f>
        <v>N</v>
      </c>
      <c r="D161" t="str">
        <f t="shared" si="4"/>
        <v>X</v>
      </c>
      <c r="E161" t="s">
        <v>3366</v>
      </c>
      <c r="F161" t="s">
        <v>3367</v>
      </c>
      <c r="G161" t="s">
        <v>2743</v>
      </c>
      <c r="H161" t="s">
        <v>3368</v>
      </c>
      <c r="I161" t="s">
        <v>2465</v>
      </c>
      <c r="J161" t="str">
        <f>IF(0 = IFERROR(VLOOKUP(DBL_FullList!I161, ContactsDbl!B:D, 2, FALSE), ""), "", IFERROR(VLOOKUP(DBL_FullList!I161, ContactsDbl!B:D, 2, FALSE), ""))</f>
        <v>heidi_rosendall@sil.org</v>
      </c>
      <c r="K161" t="str">
        <f>IF(0 = IFERROR(VLOOKUP(DBL_FullList!I161,ContactsDbl!B:D, 3, FALSE), ""), "", IFERROR(VLOOKUP(DBL_FullList!I161, ContactsDbl!B:D, 3, FALSE), ""))</f>
        <v>http://wycliffe.net</v>
      </c>
      <c r="L161">
        <f t="shared" si="5"/>
        <v>2</v>
      </c>
    </row>
    <row r="162" spans="1:12" x14ac:dyDescent="0.25">
      <c r="A162" t="s">
        <v>3369</v>
      </c>
      <c r="B162" t="str">
        <f>IF(ISERROR(VLOOKUP(F162,STEP!A:A, 1, FALSE)), "N", "Y")</f>
        <v>N</v>
      </c>
      <c r="C162" t="str">
        <f>IF(ISERROR(VLOOKUP(E162, BibleInEveryLanguageTexts!A:A, 1, FALSE)), "N", "Y")</f>
        <v>N</v>
      </c>
      <c r="D162" t="str">
        <f t="shared" si="4"/>
        <v>X</v>
      </c>
      <c r="E162" t="s">
        <v>3370</v>
      </c>
      <c r="F162" t="s">
        <v>3371</v>
      </c>
      <c r="G162" t="s">
        <v>2733</v>
      </c>
      <c r="H162" t="s">
        <v>3372</v>
      </c>
      <c r="I162" t="s">
        <v>2661</v>
      </c>
      <c r="J162" t="str">
        <f>IF(0 = IFERROR(VLOOKUP(DBL_FullList!I162, ContactsDbl!B:D, 2, FALSE), ""), "", IFERROR(VLOOKUP(DBL_FullList!I162, ContactsDbl!B:D, 2, FALSE), ""))</f>
        <v>dbladmin_intl@sil.org</v>
      </c>
      <c r="K162" t="str">
        <f>IF(0 = IFERROR(VLOOKUP(DBL_FullList!I162,ContactsDbl!B:D, 3, FALSE), ""), "", IFERROR(VLOOKUP(DBL_FullList!I162, ContactsDbl!B:D, 3, FALSE), ""))</f>
        <v>http://www.wycliffe.org</v>
      </c>
      <c r="L162">
        <f t="shared" si="5"/>
        <v>2</v>
      </c>
    </row>
    <row r="163" spans="1:12" x14ac:dyDescent="0.25">
      <c r="A163" t="s">
        <v>3373</v>
      </c>
      <c r="B163" t="str">
        <f>IF(ISERROR(VLOOKUP(F163,STEP!A:A, 1, FALSE)), "N", "Y")</f>
        <v>N</v>
      </c>
      <c r="C163" t="str">
        <f>IF(ISERROR(VLOOKUP(E163, BibleInEveryLanguageTexts!A:A, 1, FALSE)), "N", "Y")</f>
        <v>N</v>
      </c>
      <c r="D163" t="str">
        <f t="shared" si="4"/>
        <v>X</v>
      </c>
      <c r="E163" t="s">
        <v>3374</v>
      </c>
      <c r="F163" t="s">
        <v>3293</v>
      </c>
      <c r="G163" t="s">
        <v>2733</v>
      </c>
      <c r="H163" t="s">
        <v>3372</v>
      </c>
      <c r="I163" t="s">
        <v>2661</v>
      </c>
      <c r="J163" t="str">
        <f>IF(0 = IFERROR(VLOOKUP(DBL_FullList!I163, ContactsDbl!B:D, 2, FALSE), ""), "", IFERROR(VLOOKUP(DBL_FullList!I163, ContactsDbl!B:D, 2, FALSE), ""))</f>
        <v>dbladmin_intl@sil.org</v>
      </c>
      <c r="K163" t="str">
        <f>IF(0 = IFERROR(VLOOKUP(DBL_FullList!I163,ContactsDbl!B:D, 3, FALSE), ""), "", IFERROR(VLOOKUP(DBL_FullList!I163, ContactsDbl!B:D, 3, FALSE), ""))</f>
        <v>http://www.wycliffe.org</v>
      </c>
      <c r="L163">
        <f t="shared" si="5"/>
        <v>2</v>
      </c>
    </row>
    <row r="164" spans="1:12" x14ac:dyDescent="0.25">
      <c r="A164" t="s">
        <v>3375</v>
      </c>
      <c r="B164" t="str">
        <f>IF(ISERROR(VLOOKUP(F164,STEP!A:A, 1, FALSE)), "N", "Y")</f>
        <v>N</v>
      </c>
      <c r="C164" t="str">
        <f>IF(ISERROR(VLOOKUP(E164, BibleInEveryLanguageTexts!A:A, 1, FALSE)), "N", "Y")</f>
        <v>N</v>
      </c>
      <c r="D164" t="str">
        <f t="shared" si="4"/>
        <v>X</v>
      </c>
      <c r="E164" t="s">
        <v>3376</v>
      </c>
      <c r="F164" t="s">
        <v>3377</v>
      </c>
      <c r="G164" t="s">
        <v>3281</v>
      </c>
      <c r="H164" t="s">
        <v>3378</v>
      </c>
      <c r="I164" t="s">
        <v>2417</v>
      </c>
      <c r="J164" t="str">
        <f>IF(0 = IFERROR(VLOOKUP(DBL_FullList!I164, ContactsDbl!B:D, 2, FALSE), ""), "", IFERROR(VLOOKUP(DBL_FullList!I164, ContactsDbl!B:D, 2, FALSE), ""))</f>
        <v>mathewpunnoose@biblemalaysia.org</v>
      </c>
      <c r="K164" t="str">
        <f>IF(0 = IFERROR(VLOOKUP(DBL_FullList!I164,ContactsDbl!B:D, 3, FALSE), ""), "", IFERROR(VLOOKUP(DBL_FullList!I164, ContactsDbl!B:D, 3, FALSE), ""))</f>
        <v>http://www.bible.org.my/</v>
      </c>
      <c r="L164">
        <f t="shared" si="5"/>
        <v>2</v>
      </c>
    </row>
    <row r="165" spans="1:12" x14ac:dyDescent="0.25">
      <c r="A165" t="s">
        <v>3379</v>
      </c>
      <c r="B165" t="str">
        <f>IF(ISERROR(VLOOKUP(F165,STEP!A:A, 1, FALSE)), "N", "Y")</f>
        <v>N</v>
      </c>
      <c r="C165" t="str">
        <f>IF(ISERROR(VLOOKUP(E165, BibleInEveryLanguageTexts!A:A, 1, FALSE)), "N", "Y")</f>
        <v>N</v>
      </c>
      <c r="D165" t="str">
        <f t="shared" si="4"/>
        <v>X</v>
      </c>
      <c r="E165" t="s">
        <v>3380</v>
      </c>
      <c r="F165" t="s">
        <v>3381</v>
      </c>
      <c r="G165" t="s">
        <v>2997</v>
      </c>
      <c r="H165" t="s">
        <v>3382</v>
      </c>
      <c r="I165" t="s">
        <v>2661</v>
      </c>
      <c r="J165" t="str">
        <f>IF(0 = IFERROR(VLOOKUP(DBL_FullList!I165, ContactsDbl!B:D, 2, FALSE), ""), "", IFERROR(VLOOKUP(DBL_FullList!I165, ContactsDbl!B:D, 2, FALSE), ""))</f>
        <v>dbladmin_intl@sil.org</v>
      </c>
      <c r="K165" t="str">
        <f>IF(0 = IFERROR(VLOOKUP(DBL_FullList!I165,ContactsDbl!B:D, 3, FALSE), ""), "", IFERROR(VLOOKUP(DBL_FullList!I165, ContactsDbl!B:D, 3, FALSE), ""))</f>
        <v>http://www.wycliffe.org</v>
      </c>
      <c r="L165">
        <f t="shared" si="5"/>
        <v>2</v>
      </c>
    </row>
    <row r="166" spans="1:12" x14ac:dyDescent="0.25">
      <c r="A166" t="s">
        <v>3383</v>
      </c>
      <c r="B166" t="str">
        <f>IF(ISERROR(VLOOKUP(F166,STEP!A:A, 1, FALSE)), "N", "Y")</f>
        <v>N</v>
      </c>
      <c r="C166" t="str">
        <f>IF(ISERROR(VLOOKUP(E166, BibleInEveryLanguageTexts!A:A, 1, FALSE)), "N", "Y")</f>
        <v>Y</v>
      </c>
      <c r="D166" t="str">
        <f t="shared" si="4"/>
        <v/>
      </c>
      <c r="E166" t="s">
        <v>291</v>
      </c>
      <c r="F166" t="s">
        <v>290</v>
      </c>
      <c r="G166" t="s">
        <v>20</v>
      </c>
      <c r="H166" t="s">
        <v>3384</v>
      </c>
      <c r="I166" t="s">
        <v>2329</v>
      </c>
      <c r="J166" t="str">
        <f>IF(0 = IFERROR(VLOOKUP(DBL_FullList!I166, ContactsDbl!B:D, 2, FALSE), ""), "", IFERROR(VLOOKUP(DBL_FullList!I166, ContactsDbl!B:D, 2, FALSE), ""))</f>
        <v/>
      </c>
      <c r="K166" t="str">
        <f>IF(0 = IFERROR(VLOOKUP(DBL_FullList!I166,ContactsDbl!B:D, 3, FALSE), ""), "", IFERROR(VLOOKUP(DBL_FullList!I166, ContactsDbl!B:D, 3, FALSE), ""))</f>
        <v>http://www.bsind.org/</v>
      </c>
      <c r="L166">
        <f t="shared" si="5"/>
        <v>1</v>
      </c>
    </row>
    <row r="167" spans="1:12" x14ac:dyDescent="0.25">
      <c r="A167" t="s">
        <v>3385</v>
      </c>
      <c r="B167" t="str">
        <f>IF(ISERROR(VLOOKUP(F167,STEP!A:A, 1, FALSE)), "N", "Y")</f>
        <v>N</v>
      </c>
      <c r="C167" t="str">
        <f>IF(ISERROR(VLOOKUP(E167, BibleInEveryLanguageTexts!A:A, 1, FALSE)), "N", "Y")</f>
        <v>N</v>
      </c>
      <c r="D167" t="str">
        <f t="shared" si="4"/>
        <v>X</v>
      </c>
      <c r="E167" t="s">
        <v>3386</v>
      </c>
      <c r="F167" t="s">
        <v>3387</v>
      </c>
      <c r="G167" t="s">
        <v>383</v>
      </c>
      <c r="H167" t="s">
        <v>3388</v>
      </c>
      <c r="I167" t="s">
        <v>2661</v>
      </c>
      <c r="J167" t="str">
        <f>IF(0 = IFERROR(VLOOKUP(DBL_FullList!I167, ContactsDbl!B:D, 2, FALSE), ""), "", IFERROR(VLOOKUP(DBL_FullList!I167, ContactsDbl!B:D, 2, FALSE), ""))</f>
        <v>dbladmin_intl@sil.org</v>
      </c>
      <c r="K167" t="str">
        <f>IF(0 = IFERROR(VLOOKUP(DBL_FullList!I167,ContactsDbl!B:D, 3, FALSE), ""), "", IFERROR(VLOOKUP(DBL_FullList!I167, ContactsDbl!B:D, 3, FALSE), ""))</f>
        <v>http://www.wycliffe.org</v>
      </c>
      <c r="L167">
        <f t="shared" si="5"/>
        <v>2</v>
      </c>
    </row>
    <row r="168" spans="1:12" x14ac:dyDescent="0.25">
      <c r="A168" t="s">
        <v>3389</v>
      </c>
      <c r="B168" t="str">
        <f>IF(ISERROR(VLOOKUP(F168,STEP!A:A, 1, FALSE)), "N", "Y")</f>
        <v>N</v>
      </c>
      <c r="C168" t="str">
        <f>IF(ISERROR(VLOOKUP(E168, BibleInEveryLanguageTexts!A:A, 1, FALSE)), "N", "Y")</f>
        <v>N</v>
      </c>
      <c r="D168" t="str">
        <f t="shared" si="4"/>
        <v>X</v>
      </c>
      <c r="E168" t="s">
        <v>3390</v>
      </c>
      <c r="F168" t="s">
        <v>3391</v>
      </c>
      <c r="G168" t="s">
        <v>2908</v>
      </c>
      <c r="H168" t="s">
        <v>3392</v>
      </c>
      <c r="I168" t="s">
        <v>2182</v>
      </c>
      <c r="J168" t="str">
        <f>IF(0 = IFERROR(VLOOKUP(DBL_FullList!I168, ContactsDbl!B:D, 2, FALSE), ""), "", IFERROR(VLOOKUP(DBL_FullList!I168, ContactsDbl!B:D, 2, FALSE), ""))</f>
        <v/>
      </c>
      <c r="K168" t="str">
        <f>IF(0 = IFERROR(VLOOKUP(DBL_FullList!I168,ContactsDbl!B:D, 3, FALSE), ""), "", IFERROR(VLOOKUP(DBL_FullList!I168, ContactsDbl!B:D, 3, FALSE), ""))</f>
        <v>http://www.biblesociety-cd.org/</v>
      </c>
      <c r="L168">
        <f t="shared" si="5"/>
        <v>1</v>
      </c>
    </row>
    <row r="169" spans="1:12" x14ac:dyDescent="0.25">
      <c r="A169" t="s">
        <v>3393</v>
      </c>
      <c r="B169" t="str">
        <f>IF(ISERROR(VLOOKUP(F169,STEP!A:A, 1, FALSE)), "N", "Y")</f>
        <v>N</v>
      </c>
      <c r="C169" t="str">
        <f>IF(ISERROR(VLOOKUP(E169, BibleInEveryLanguageTexts!A:A, 1, FALSE)), "N", "Y")</f>
        <v>N</v>
      </c>
      <c r="D169" t="str">
        <f t="shared" si="4"/>
        <v>X</v>
      </c>
      <c r="E169" t="s">
        <v>3394</v>
      </c>
      <c r="F169" t="s">
        <v>3395</v>
      </c>
      <c r="G169" t="s">
        <v>2997</v>
      </c>
      <c r="H169" t="s">
        <v>3396</v>
      </c>
      <c r="I169" t="s">
        <v>2661</v>
      </c>
      <c r="J169" t="str">
        <f>IF(0 = IFERROR(VLOOKUP(DBL_FullList!I169, ContactsDbl!B:D, 2, FALSE), ""), "", IFERROR(VLOOKUP(DBL_FullList!I169, ContactsDbl!B:D, 2, FALSE), ""))</f>
        <v>dbladmin_intl@sil.org</v>
      </c>
      <c r="K169" t="str">
        <f>IF(0 = IFERROR(VLOOKUP(DBL_FullList!I169,ContactsDbl!B:D, 3, FALSE), ""), "", IFERROR(VLOOKUP(DBL_FullList!I169, ContactsDbl!B:D, 3, FALSE), ""))</f>
        <v>http://www.wycliffe.org</v>
      </c>
      <c r="L169">
        <f t="shared" si="5"/>
        <v>2</v>
      </c>
    </row>
    <row r="170" spans="1:12" x14ac:dyDescent="0.25">
      <c r="A170" t="s">
        <v>3397</v>
      </c>
      <c r="B170" t="str">
        <f>IF(ISERROR(VLOOKUP(F170,STEP!A:A, 1, FALSE)), "N", "Y")</f>
        <v>N</v>
      </c>
      <c r="C170" t="str">
        <f>IF(ISERROR(VLOOKUP(E170, BibleInEveryLanguageTexts!A:A, 1, FALSE)), "N", "Y")</f>
        <v>N</v>
      </c>
      <c r="D170" t="str">
        <f t="shared" si="4"/>
        <v>X</v>
      </c>
      <c r="E170" t="s">
        <v>3398</v>
      </c>
      <c r="F170" t="s">
        <v>3399</v>
      </c>
      <c r="G170" t="s">
        <v>2723</v>
      </c>
      <c r="H170" t="s">
        <v>3400</v>
      </c>
      <c r="I170" t="s">
        <v>2661</v>
      </c>
      <c r="J170" t="str">
        <f>IF(0 = IFERROR(VLOOKUP(DBL_FullList!I170, ContactsDbl!B:D, 2, FALSE), ""), "", IFERROR(VLOOKUP(DBL_FullList!I170, ContactsDbl!B:D, 2, FALSE), ""))</f>
        <v>dbladmin_intl@sil.org</v>
      </c>
      <c r="K170" t="str">
        <f>IF(0 = IFERROR(VLOOKUP(DBL_FullList!I170,ContactsDbl!B:D, 3, FALSE), ""), "", IFERROR(VLOOKUP(DBL_FullList!I170, ContactsDbl!B:D, 3, FALSE), ""))</f>
        <v>http://www.wycliffe.org</v>
      </c>
      <c r="L170">
        <f t="shared" si="5"/>
        <v>2</v>
      </c>
    </row>
    <row r="171" spans="1:12" x14ac:dyDescent="0.25">
      <c r="A171" t="s">
        <v>3401</v>
      </c>
      <c r="B171" t="str">
        <f>IF(ISERROR(VLOOKUP(F171,STEP!A:A, 1, FALSE)), "N", "Y")</f>
        <v>N</v>
      </c>
      <c r="C171" t="str">
        <f>IF(ISERROR(VLOOKUP(E171, BibleInEveryLanguageTexts!A:A, 1, FALSE)), "N", "Y")</f>
        <v>N</v>
      </c>
      <c r="D171" t="str">
        <f t="shared" si="4"/>
        <v>X</v>
      </c>
      <c r="E171" t="s">
        <v>3402</v>
      </c>
      <c r="F171" t="s">
        <v>3403</v>
      </c>
      <c r="G171" t="s">
        <v>2756</v>
      </c>
      <c r="H171" t="s">
        <v>3364</v>
      </c>
      <c r="I171" t="s">
        <v>2126</v>
      </c>
      <c r="J171" t="str">
        <f>IF(0 = IFERROR(VLOOKUP(DBL_FullList!I171, ContactsDbl!B:D, 2, FALSE), ""), "", IFERROR(VLOOKUP(DBL_FullList!I171, ContactsDbl!B:D, 2, FALSE), ""))</f>
        <v>gluke@biblesocieties.org</v>
      </c>
      <c r="K171" t="str">
        <f>IF(0 = IFERROR(VLOOKUP(DBL_FullList!I171,ContactsDbl!B:D, 3, FALSE), ""), "", IFERROR(VLOOKUP(DBL_FullList!I171, ContactsDbl!B:D, 3, FALSE), ""))</f>
        <v>http://www.biblesociety-cameroon.org/</v>
      </c>
      <c r="L171">
        <f t="shared" si="5"/>
        <v>2</v>
      </c>
    </row>
    <row r="172" spans="1:12" x14ac:dyDescent="0.25">
      <c r="A172" t="s">
        <v>3404</v>
      </c>
      <c r="B172" t="str">
        <f>IF(ISERROR(VLOOKUP(F172,STEP!A:A, 1, FALSE)), "N", "Y")</f>
        <v>N</v>
      </c>
      <c r="C172" t="str">
        <f>IF(ISERROR(VLOOKUP(E172, BibleInEveryLanguageTexts!A:A, 1, FALSE)), "N", "Y")</f>
        <v>N</v>
      </c>
      <c r="D172" t="str">
        <f t="shared" si="4"/>
        <v>X</v>
      </c>
      <c r="E172" t="s">
        <v>3405</v>
      </c>
      <c r="F172" t="s">
        <v>3406</v>
      </c>
      <c r="G172" t="s">
        <v>3407</v>
      </c>
      <c r="H172" t="s">
        <v>3408</v>
      </c>
      <c r="I172" t="s">
        <v>1997</v>
      </c>
      <c r="J172" t="str">
        <f>IF(0 = IFERROR(VLOOKUP(DBL_FullList!I172, ContactsDbl!B:D, 2, FALSE), ""), "", IFERROR(VLOOKUP(DBL_FullList!I172, ContactsDbl!B:D, 2, FALSE), ""))</f>
        <v>Lee.Harris@biblica.com</v>
      </c>
      <c r="K172" t="str">
        <f>IF(0 = IFERROR(VLOOKUP(DBL_FullList!I172,ContactsDbl!B:D, 3, FALSE), ""), "", IFERROR(VLOOKUP(DBL_FullList!I172, ContactsDbl!B:D, 3, FALSE), ""))</f>
        <v>http://www.Biblica.com</v>
      </c>
      <c r="L172">
        <f t="shared" si="5"/>
        <v>2</v>
      </c>
    </row>
    <row r="173" spans="1:12" x14ac:dyDescent="0.25">
      <c r="A173" t="s">
        <v>3409</v>
      </c>
      <c r="B173" t="str">
        <f>IF(ISERROR(VLOOKUP(F173,STEP!A:A, 1, FALSE)), "N", "Y")</f>
        <v>N</v>
      </c>
      <c r="C173" t="str">
        <f>IF(ISERROR(VLOOKUP(E173, BibleInEveryLanguageTexts!A:A, 1, FALSE)), "N", "Y")</f>
        <v>N</v>
      </c>
      <c r="D173" t="str">
        <f t="shared" si="4"/>
        <v>X</v>
      </c>
      <c r="E173" t="s">
        <v>3410</v>
      </c>
      <c r="F173" t="s">
        <v>3411</v>
      </c>
      <c r="G173" t="s">
        <v>110</v>
      </c>
      <c r="H173" t="s">
        <v>3412</v>
      </c>
      <c r="I173" t="s">
        <v>2661</v>
      </c>
      <c r="J173" t="str">
        <f>IF(0 = IFERROR(VLOOKUP(DBL_FullList!I173, ContactsDbl!B:D, 2, FALSE), ""), "", IFERROR(VLOOKUP(DBL_FullList!I173, ContactsDbl!B:D, 2, FALSE), ""))</f>
        <v>dbladmin_intl@sil.org</v>
      </c>
      <c r="K173" t="str">
        <f>IF(0 = IFERROR(VLOOKUP(DBL_FullList!I173,ContactsDbl!B:D, 3, FALSE), ""), "", IFERROR(VLOOKUP(DBL_FullList!I173, ContactsDbl!B:D, 3, FALSE), ""))</f>
        <v>http://www.wycliffe.org</v>
      </c>
      <c r="L173">
        <f t="shared" si="5"/>
        <v>2</v>
      </c>
    </row>
    <row r="174" spans="1:12" x14ac:dyDescent="0.25">
      <c r="A174" t="s">
        <v>3413</v>
      </c>
      <c r="B174" t="str">
        <f>IF(ISERROR(VLOOKUP(F174,STEP!A:A, 1, FALSE)), "N", "Y")</f>
        <v>N</v>
      </c>
      <c r="C174" t="str">
        <f>IF(ISERROR(VLOOKUP(E174, BibleInEveryLanguageTexts!A:A, 1, FALSE)), "N", "Y")</f>
        <v>N</v>
      </c>
      <c r="D174" t="str">
        <f t="shared" si="4"/>
        <v>X</v>
      </c>
      <c r="E174" t="s">
        <v>3414</v>
      </c>
      <c r="F174" t="s">
        <v>3415</v>
      </c>
      <c r="G174" t="s">
        <v>2733</v>
      </c>
      <c r="H174" t="s">
        <v>3416</v>
      </c>
      <c r="I174" t="s">
        <v>2661</v>
      </c>
      <c r="J174" t="str">
        <f>IF(0 = IFERROR(VLOOKUP(DBL_FullList!I174, ContactsDbl!B:D, 2, FALSE), ""), "", IFERROR(VLOOKUP(DBL_FullList!I174, ContactsDbl!B:D, 2, FALSE), ""))</f>
        <v>dbladmin_intl@sil.org</v>
      </c>
      <c r="K174" t="str">
        <f>IF(0 = IFERROR(VLOOKUP(DBL_FullList!I174,ContactsDbl!B:D, 3, FALSE), ""), "", IFERROR(VLOOKUP(DBL_FullList!I174, ContactsDbl!B:D, 3, FALSE), ""))</f>
        <v>http://www.wycliffe.org</v>
      </c>
      <c r="L174">
        <f t="shared" si="5"/>
        <v>2</v>
      </c>
    </row>
    <row r="175" spans="1:12" x14ac:dyDescent="0.25">
      <c r="A175" t="s">
        <v>3417</v>
      </c>
      <c r="B175" t="str">
        <f>IF(ISERROR(VLOOKUP(F175,STEP!A:A, 1, FALSE)), "N", "Y")</f>
        <v>N</v>
      </c>
      <c r="C175" t="str">
        <f>IF(ISERROR(VLOOKUP(E175, BibleInEveryLanguageTexts!A:A, 1, FALSE)), "N", "Y")</f>
        <v>Y</v>
      </c>
      <c r="D175" t="str">
        <f t="shared" si="4"/>
        <v/>
      </c>
      <c r="E175" t="s">
        <v>2700</v>
      </c>
      <c r="F175" t="s">
        <v>3317</v>
      </c>
      <c r="G175" t="s">
        <v>3418</v>
      </c>
      <c r="H175" t="s">
        <v>3419</v>
      </c>
      <c r="I175" t="s">
        <v>183</v>
      </c>
      <c r="J175" t="str">
        <f>IF(0 = IFERROR(VLOOKUP(DBL_FullList!I175, ContactsDbl!B:D, 2, FALSE), ""), "", IFERROR(VLOOKUP(DBL_FullList!I175, ContactsDbl!B:D, 2, FALSE), ""))</f>
        <v>dbl@biblesocieties.org</v>
      </c>
      <c r="K175" t="str">
        <f>IF(0 = IFERROR(VLOOKUP(DBL_FullList!I175,ContactsDbl!B:D, 3, FALSE), ""), "", IFERROR(VLOOKUP(DBL_FullList!I175, ContactsDbl!B:D, 3, FALSE), ""))</f>
        <v>http://www.unitedbiblesocieties.org/</v>
      </c>
      <c r="L175">
        <f t="shared" si="5"/>
        <v>2</v>
      </c>
    </row>
    <row r="176" spans="1:12" x14ac:dyDescent="0.25">
      <c r="A176" t="s">
        <v>3420</v>
      </c>
      <c r="B176" t="str">
        <f>IF(ISERROR(VLOOKUP(F176,STEP!A:A, 1, FALSE)), "N", "Y")</f>
        <v>N</v>
      </c>
      <c r="C176" t="str">
        <f>IF(ISERROR(VLOOKUP(E176, BibleInEveryLanguageTexts!A:A, 1, FALSE)), "N", "Y")</f>
        <v>N</v>
      </c>
      <c r="D176" t="str">
        <f t="shared" si="4"/>
        <v>X</v>
      </c>
      <c r="E176" t="s">
        <v>3421</v>
      </c>
      <c r="F176" t="s">
        <v>3422</v>
      </c>
      <c r="G176" t="s">
        <v>2838</v>
      </c>
      <c r="H176" t="s">
        <v>3423</v>
      </c>
      <c r="I176" t="s">
        <v>2025</v>
      </c>
      <c r="J176" t="str">
        <f>IF(0 = IFERROR(VLOOKUP(DBL_FullList!I176, ContactsDbl!B:D, 2, FALSE), ""), "", IFERROR(VLOOKUP(DBL_FullList!I176, ContactsDbl!B:D, 2, FALSE), ""))</f>
        <v>abbf@biblesociety-bf.org</v>
      </c>
      <c r="K176" t="str">
        <f>IF(0 = IFERROR(VLOOKUP(DBL_FullList!I176,ContactsDbl!B:D, 3, FALSE), ""), "", IFERROR(VLOOKUP(DBL_FullList!I176, ContactsDbl!B:D, 3, FALSE), ""))</f>
        <v>http://alliancebiblique-bf.org/</v>
      </c>
      <c r="L176">
        <f t="shared" si="5"/>
        <v>2</v>
      </c>
    </row>
    <row r="177" spans="1:12" x14ac:dyDescent="0.25">
      <c r="A177" t="s">
        <v>3424</v>
      </c>
      <c r="B177" t="str">
        <f>IF(ISERROR(VLOOKUP(F177,STEP!A:A, 1, FALSE)), "N", "Y")</f>
        <v>N</v>
      </c>
      <c r="C177" t="str">
        <f>IF(ISERROR(VLOOKUP(E177, BibleInEveryLanguageTexts!A:A, 1, FALSE)), "N", "Y")</f>
        <v>N</v>
      </c>
      <c r="D177" t="str">
        <f t="shared" si="4"/>
        <v>X</v>
      </c>
      <c r="E177" t="s">
        <v>3425</v>
      </c>
      <c r="F177" t="s">
        <v>3426</v>
      </c>
      <c r="G177" t="s">
        <v>2756</v>
      </c>
      <c r="H177" t="s">
        <v>3427</v>
      </c>
      <c r="I177" t="s">
        <v>2126</v>
      </c>
      <c r="J177" t="str">
        <f>IF(0 = IFERROR(VLOOKUP(DBL_FullList!I177, ContactsDbl!B:D, 2, FALSE), ""), "", IFERROR(VLOOKUP(DBL_FullList!I177, ContactsDbl!B:D, 2, FALSE), ""))</f>
        <v>gluke@biblesocieties.org</v>
      </c>
      <c r="K177" t="str">
        <f>IF(0 = IFERROR(VLOOKUP(DBL_FullList!I177,ContactsDbl!B:D, 3, FALSE), ""), "", IFERROR(VLOOKUP(DBL_FullList!I177, ContactsDbl!B:D, 3, FALSE), ""))</f>
        <v>http://www.biblesociety-cameroon.org/</v>
      </c>
      <c r="L177">
        <f t="shared" si="5"/>
        <v>2</v>
      </c>
    </row>
    <row r="178" spans="1:12" x14ac:dyDescent="0.25">
      <c r="A178" t="s">
        <v>3428</v>
      </c>
      <c r="B178" t="str">
        <f>IF(ISERROR(VLOOKUP(F178,STEP!A:A, 1, FALSE)), "N", "Y")</f>
        <v>N</v>
      </c>
      <c r="C178" t="str">
        <f>IF(ISERROR(VLOOKUP(E178, BibleInEveryLanguageTexts!A:A, 1, FALSE)), "N", "Y")</f>
        <v>N</v>
      </c>
      <c r="D178" t="str">
        <f t="shared" si="4"/>
        <v>X</v>
      </c>
      <c r="E178" t="s">
        <v>3429</v>
      </c>
      <c r="F178" t="s">
        <v>3430</v>
      </c>
      <c r="G178" t="s">
        <v>2838</v>
      </c>
      <c r="H178" t="s">
        <v>3431</v>
      </c>
      <c r="I178" t="s">
        <v>2661</v>
      </c>
      <c r="J178" t="str">
        <f>IF(0 = IFERROR(VLOOKUP(DBL_FullList!I178, ContactsDbl!B:D, 2, FALSE), ""), "", IFERROR(VLOOKUP(DBL_FullList!I178, ContactsDbl!B:D, 2, FALSE), ""))</f>
        <v>dbladmin_intl@sil.org</v>
      </c>
      <c r="K178" t="str">
        <f>IF(0 = IFERROR(VLOOKUP(DBL_FullList!I178,ContactsDbl!B:D, 3, FALSE), ""), "", IFERROR(VLOOKUP(DBL_FullList!I178, ContactsDbl!B:D, 3, FALSE), ""))</f>
        <v>http://www.wycliffe.org</v>
      </c>
      <c r="L178">
        <f t="shared" si="5"/>
        <v>2</v>
      </c>
    </row>
    <row r="179" spans="1:12" x14ac:dyDescent="0.25">
      <c r="A179" t="s">
        <v>3432</v>
      </c>
      <c r="B179" t="str">
        <f>IF(ISERROR(VLOOKUP(F179,STEP!A:A, 1, FALSE)), "N", "Y")</f>
        <v>N</v>
      </c>
      <c r="C179" t="str">
        <f>IF(ISERROR(VLOOKUP(E179, BibleInEveryLanguageTexts!A:A, 1, FALSE)), "N", "Y")</f>
        <v>N</v>
      </c>
      <c r="D179" t="str">
        <f t="shared" si="4"/>
        <v>X</v>
      </c>
      <c r="E179" t="s">
        <v>3433</v>
      </c>
      <c r="F179" t="s">
        <v>3434</v>
      </c>
      <c r="G179" t="s">
        <v>48</v>
      </c>
      <c r="H179" t="s">
        <v>3435</v>
      </c>
      <c r="I179" t="s">
        <v>2661</v>
      </c>
      <c r="J179" t="str">
        <f>IF(0 = IFERROR(VLOOKUP(DBL_FullList!I179, ContactsDbl!B:D, 2, FALSE), ""), "", IFERROR(VLOOKUP(DBL_FullList!I179, ContactsDbl!B:D, 2, FALSE), ""))</f>
        <v>dbladmin_intl@sil.org</v>
      </c>
      <c r="K179" t="str">
        <f>IF(0 = IFERROR(VLOOKUP(DBL_FullList!I179,ContactsDbl!B:D, 3, FALSE), ""), "", IFERROR(VLOOKUP(DBL_FullList!I179, ContactsDbl!B:D, 3, FALSE), ""))</f>
        <v>http://www.wycliffe.org</v>
      </c>
      <c r="L179">
        <f t="shared" si="5"/>
        <v>2</v>
      </c>
    </row>
    <row r="180" spans="1:12" x14ac:dyDescent="0.25">
      <c r="A180" t="s">
        <v>3436</v>
      </c>
      <c r="B180" t="str">
        <f>IF(ISERROR(VLOOKUP(F180,STEP!A:A, 1, FALSE)), "N", "Y")</f>
        <v>N</v>
      </c>
      <c r="C180" t="str">
        <f>IF(ISERROR(VLOOKUP(E180, BibleInEveryLanguageTexts!A:A, 1, FALSE)), "N", "Y")</f>
        <v>N</v>
      </c>
      <c r="D180" t="str">
        <f t="shared" si="4"/>
        <v>X</v>
      </c>
      <c r="E180" t="s">
        <v>3437</v>
      </c>
      <c r="F180" t="s">
        <v>3438</v>
      </c>
      <c r="G180" t="s">
        <v>2723</v>
      </c>
      <c r="H180" t="s">
        <v>3439</v>
      </c>
      <c r="I180" t="s">
        <v>2661</v>
      </c>
      <c r="J180" t="str">
        <f>IF(0 = IFERROR(VLOOKUP(DBL_FullList!I180, ContactsDbl!B:D, 2, FALSE), ""), "", IFERROR(VLOOKUP(DBL_FullList!I180, ContactsDbl!B:D, 2, FALSE), ""))</f>
        <v>dbladmin_intl@sil.org</v>
      </c>
      <c r="K180" t="str">
        <f>IF(0 = IFERROR(VLOOKUP(DBL_FullList!I180,ContactsDbl!B:D, 3, FALSE), ""), "", IFERROR(VLOOKUP(DBL_FullList!I180, ContactsDbl!B:D, 3, FALSE), ""))</f>
        <v>http://www.wycliffe.org</v>
      </c>
      <c r="L180">
        <f t="shared" si="5"/>
        <v>2</v>
      </c>
    </row>
    <row r="181" spans="1:12" x14ac:dyDescent="0.25">
      <c r="A181" t="s">
        <v>3440</v>
      </c>
      <c r="B181" t="str">
        <f>IF(ISERROR(VLOOKUP(F181,STEP!A:A, 1, FALSE)), "N", "Y")</f>
        <v>N</v>
      </c>
      <c r="C181" t="str">
        <f>IF(ISERROR(VLOOKUP(E181, BibleInEveryLanguageTexts!A:A, 1, FALSE)), "N", "Y")</f>
        <v>N</v>
      </c>
      <c r="D181" t="str">
        <f t="shared" si="4"/>
        <v>X</v>
      </c>
      <c r="E181" t="s">
        <v>3441</v>
      </c>
      <c r="F181" t="s">
        <v>3442</v>
      </c>
      <c r="G181" t="s">
        <v>11</v>
      </c>
      <c r="H181" t="s">
        <v>3441</v>
      </c>
      <c r="I181" t="s">
        <v>2661</v>
      </c>
      <c r="J181" t="str">
        <f>IF(0 = IFERROR(VLOOKUP(DBL_FullList!I181, ContactsDbl!B:D, 2, FALSE), ""), "", IFERROR(VLOOKUP(DBL_FullList!I181, ContactsDbl!B:D, 2, FALSE), ""))</f>
        <v>dbladmin_intl@sil.org</v>
      </c>
      <c r="K181" t="str">
        <f>IF(0 = IFERROR(VLOOKUP(DBL_FullList!I181,ContactsDbl!B:D, 3, FALSE), ""), "", IFERROR(VLOOKUP(DBL_FullList!I181, ContactsDbl!B:D, 3, FALSE), ""))</f>
        <v>http://www.wycliffe.org</v>
      </c>
      <c r="L181">
        <f t="shared" si="5"/>
        <v>2</v>
      </c>
    </row>
    <row r="182" spans="1:12" x14ac:dyDescent="0.25">
      <c r="A182" t="s">
        <v>3443</v>
      </c>
      <c r="B182" t="str">
        <f>IF(ISERROR(VLOOKUP(F182,STEP!A:A, 1, FALSE)), "N", "Y")</f>
        <v>N</v>
      </c>
      <c r="C182" t="str">
        <f>IF(ISERROR(VLOOKUP(E182, BibleInEveryLanguageTexts!A:A, 1, FALSE)), "N", "Y")</f>
        <v>N</v>
      </c>
      <c r="D182" t="str">
        <f t="shared" si="4"/>
        <v>X</v>
      </c>
      <c r="E182" t="s">
        <v>3034</v>
      </c>
      <c r="F182" t="s">
        <v>3035</v>
      </c>
      <c r="G182" t="s">
        <v>48</v>
      </c>
      <c r="H182" t="s">
        <v>3444</v>
      </c>
      <c r="I182" t="s">
        <v>2661</v>
      </c>
      <c r="J182" t="str">
        <f>IF(0 = IFERROR(VLOOKUP(DBL_FullList!I182, ContactsDbl!B:D, 2, FALSE), ""), "", IFERROR(VLOOKUP(DBL_FullList!I182, ContactsDbl!B:D, 2, FALSE), ""))</f>
        <v>dbladmin_intl@sil.org</v>
      </c>
      <c r="K182" t="str">
        <f>IF(0 = IFERROR(VLOOKUP(DBL_FullList!I182,ContactsDbl!B:D, 3, FALSE), ""), "", IFERROR(VLOOKUP(DBL_FullList!I182, ContactsDbl!B:D, 3, FALSE), ""))</f>
        <v>http://www.wycliffe.org</v>
      </c>
      <c r="L182">
        <f t="shared" si="5"/>
        <v>2</v>
      </c>
    </row>
    <row r="183" spans="1:12" x14ac:dyDescent="0.25">
      <c r="A183" t="s">
        <v>3445</v>
      </c>
      <c r="B183" t="str">
        <f>IF(ISERROR(VLOOKUP(F183,STEP!A:A, 1, FALSE)), "N", "Y")</f>
        <v>N</v>
      </c>
      <c r="C183" t="str">
        <f>IF(ISERROR(VLOOKUP(E183, BibleInEveryLanguageTexts!A:A, 1, FALSE)), "N", "Y")</f>
        <v>N</v>
      </c>
      <c r="D183" t="str">
        <f t="shared" si="4"/>
        <v>X</v>
      </c>
      <c r="E183" t="s">
        <v>3446</v>
      </c>
      <c r="F183" t="s">
        <v>3447</v>
      </c>
      <c r="G183" t="s">
        <v>3448</v>
      </c>
      <c r="H183" t="s">
        <v>3449</v>
      </c>
      <c r="I183" t="s">
        <v>2099</v>
      </c>
      <c r="J183" t="str">
        <f>IF(0 = IFERROR(VLOOKUP(DBL_FullList!I183, ContactsDbl!B:D, 2, FALSE), ""), "", IFERROR(VLOOKUP(DBL_FullList!I183, ContactsDbl!B:D, 2, FALSE), ""))</f>
        <v>cjones@biblesocieties.org</v>
      </c>
      <c r="K183" t="str">
        <f>IF(0 = IFERROR(VLOOKUP(DBL_FullList!I183,ContactsDbl!B:D, 3, FALSE), ""), "", IFERROR(VLOOKUP(DBL_FullList!I183, ContactsDbl!B:D, 3, FALSE), ""))</f>
        <v/>
      </c>
      <c r="L183">
        <f t="shared" si="5"/>
        <v>2</v>
      </c>
    </row>
    <row r="184" spans="1:12" x14ac:dyDescent="0.25">
      <c r="A184" t="s">
        <v>3450</v>
      </c>
      <c r="B184" t="str">
        <f>IF(ISERROR(VLOOKUP(F184,STEP!A:A, 1, FALSE)), "N", "Y")</f>
        <v>N</v>
      </c>
      <c r="C184" t="str">
        <f>IF(ISERROR(VLOOKUP(E184, BibleInEveryLanguageTexts!A:A, 1, FALSE)), "N", "Y")</f>
        <v>N</v>
      </c>
      <c r="D184" t="str">
        <f t="shared" si="4"/>
        <v>X</v>
      </c>
      <c r="E184" t="s">
        <v>3451</v>
      </c>
      <c r="F184" t="s">
        <v>3452</v>
      </c>
      <c r="G184" t="s">
        <v>20</v>
      </c>
      <c r="H184" t="s">
        <v>3453</v>
      </c>
      <c r="I184" t="s">
        <v>2329</v>
      </c>
      <c r="J184" t="str">
        <f>IF(0 = IFERROR(VLOOKUP(DBL_FullList!I184, ContactsDbl!B:D, 2, FALSE), ""), "", IFERROR(VLOOKUP(DBL_FullList!I184, ContactsDbl!B:D, 2, FALSE), ""))</f>
        <v/>
      </c>
      <c r="K184" t="str">
        <f>IF(0 = IFERROR(VLOOKUP(DBL_FullList!I184,ContactsDbl!B:D, 3, FALSE), ""), "", IFERROR(VLOOKUP(DBL_FullList!I184, ContactsDbl!B:D, 3, FALSE), ""))</f>
        <v>http://www.bsind.org/</v>
      </c>
      <c r="L184">
        <f t="shared" si="5"/>
        <v>1</v>
      </c>
    </row>
    <row r="185" spans="1:12" x14ac:dyDescent="0.25">
      <c r="A185" t="s">
        <v>3454</v>
      </c>
      <c r="B185" t="str">
        <f>IF(ISERROR(VLOOKUP(F185,STEP!A:A, 1, FALSE)), "N", "Y")</f>
        <v>N</v>
      </c>
      <c r="C185" t="str">
        <f>IF(ISERROR(VLOOKUP(E185, BibleInEveryLanguageTexts!A:A, 1, FALSE)), "N", "Y")</f>
        <v>N</v>
      </c>
      <c r="D185" t="str">
        <f t="shared" si="4"/>
        <v>X</v>
      </c>
      <c r="E185" t="s">
        <v>3325</v>
      </c>
      <c r="F185" t="s">
        <v>3326</v>
      </c>
      <c r="G185" t="s">
        <v>3133</v>
      </c>
      <c r="H185" t="s">
        <v>3455</v>
      </c>
      <c r="I185" t="s">
        <v>2661</v>
      </c>
      <c r="J185" t="str">
        <f>IF(0 = IFERROR(VLOOKUP(DBL_FullList!I185, ContactsDbl!B:D, 2, FALSE), ""), "", IFERROR(VLOOKUP(DBL_FullList!I185, ContactsDbl!B:D, 2, FALSE), ""))</f>
        <v>dbladmin_intl@sil.org</v>
      </c>
      <c r="K185" t="str">
        <f>IF(0 = IFERROR(VLOOKUP(DBL_FullList!I185,ContactsDbl!B:D, 3, FALSE), ""), "", IFERROR(VLOOKUP(DBL_FullList!I185, ContactsDbl!B:D, 3, FALSE), ""))</f>
        <v>http://www.wycliffe.org</v>
      </c>
      <c r="L185">
        <f t="shared" si="5"/>
        <v>2</v>
      </c>
    </row>
    <row r="186" spans="1:12" x14ac:dyDescent="0.25">
      <c r="A186" t="s">
        <v>3456</v>
      </c>
      <c r="B186" t="str">
        <f>IF(ISERROR(VLOOKUP(F186,STEP!A:A, 1, FALSE)), "N", "Y")</f>
        <v>Y</v>
      </c>
      <c r="C186" t="str">
        <f>IF(ISERROR(VLOOKUP(E186, BibleInEveryLanguageTexts!A:A, 1, FALSE)), "N", "Y")</f>
        <v>N</v>
      </c>
      <c r="D186" t="str">
        <f t="shared" si="4"/>
        <v/>
      </c>
      <c r="E186" t="s">
        <v>3457</v>
      </c>
      <c r="F186" t="s">
        <v>3458</v>
      </c>
      <c r="G186" t="s">
        <v>48</v>
      </c>
      <c r="H186" t="s">
        <v>3459</v>
      </c>
      <c r="I186" t="s">
        <v>2661</v>
      </c>
      <c r="J186" t="str">
        <f>IF(0 = IFERROR(VLOOKUP(DBL_FullList!I186, ContactsDbl!B:D, 2, FALSE), ""), "", IFERROR(VLOOKUP(DBL_FullList!I186, ContactsDbl!B:D, 2, FALSE), ""))</f>
        <v>dbladmin_intl@sil.org</v>
      </c>
      <c r="K186" t="str">
        <f>IF(0 = IFERROR(VLOOKUP(DBL_FullList!I186,ContactsDbl!B:D, 3, FALSE), ""), "", IFERROR(VLOOKUP(DBL_FullList!I186, ContactsDbl!B:D, 3, FALSE), ""))</f>
        <v>http://www.wycliffe.org</v>
      </c>
      <c r="L186">
        <f t="shared" si="5"/>
        <v>2</v>
      </c>
    </row>
    <row r="187" spans="1:12" x14ac:dyDescent="0.25">
      <c r="A187" t="s">
        <v>3460</v>
      </c>
      <c r="B187" t="str">
        <f>IF(ISERROR(VLOOKUP(F187,STEP!A:A, 1, FALSE)), "N", "Y")</f>
        <v>N</v>
      </c>
      <c r="C187" t="str">
        <f>IF(ISERROR(VLOOKUP(E187, BibleInEveryLanguageTexts!A:A, 1, FALSE)), "N", "Y")</f>
        <v>N</v>
      </c>
      <c r="D187" t="str">
        <f t="shared" si="4"/>
        <v>X</v>
      </c>
      <c r="E187" t="s">
        <v>3461</v>
      </c>
      <c r="F187" t="s">
        <v>3462</v>
      </c>
      <c r="G187" t="s">
        <v>2838</v>
      </c>
      <c r="H187" t="s">
        <v>3463</v>
      </c>
      <c r="I187" t="s">
        <v>2025</v>
      </c>
      <c r="J187" t="str">
        <f>IF(0 = IFERROR(VLOOKUP(DBL_FullList!I187, ContactsDbl!B:D, 2, FALSE), ""), "", IFERROR(VLOOKUP(DBL_FullList!I187, ContactsDbl!B:D, 2, FALSE), ""))</f>
        <v>abbf@biblesociety-bf.org</v>
      </c>
      <c r="K187" t="str">
        <f>IF(0 = IFERROR(VLOOKUP(DBL_FullList!I187,ContactsDbl!B:D, 3, FALSE), ""), "", IFERROR(VLOOKUP(DBL_FullList!I187, ContactsDbl!B:D, 3, FALSE), ""))</f>
        <v>http://alliancebiblique-bf.org/</v>
      </c>
      <c r="L187">
        <f t="shared" si="5"/>
        <v>2</v>
      </c>
    </row>
    <row r="188" spans="1:12" x14ac:dyDescent="0.25">
      <c r="A188" t="s">
        <v>3464</v>
      </c>
      <c r="B188" t="str">
        <f>IF(ISERROR(VLOOKUP(F188,STEP!A:A, 1, FALSE)), "N", "Y")</f>
        <v>N</v>
      </c>
      <c r="C188" t="str">
        <f>IF(ISERROR(VLOOKUP(E188, BibleInEveryLanguageTexts!A:A, 1, FALSE)), "N", "Y")</f>
        <v>N</v>
      </c>
      <c r="D188" t="str">
        <f t="shared" si="4"/>
        <v>X</v>
      </c>
      <c r="E188" t="s">
        <v>3465</v>
      </c>
      <c r="F188" t="s">
        <v>3466</v>
      </c>
      <c r="G188" t="s">
        <v>20</v>
      </c>
      <c r="H188" t="s">
        <v>3467</v>
      </c>
      <c r="I188" t="s">
        <v>2329</v>
      </c>
      <c r="J188" t="str">
        <f>IF(0 = IFERROR(VLOOKUP(DBL_FullList!I188, ContactsDbl!B:D, 2, FALSE), ""), "", IFERROR(VLOOKUP(DBL_FullList!I188, ContactsDbl!B:D, 2, FALSE), ""))</f>
        <v/>
      </c>
      <c r="K188" t="str">
        <f>IF(0 = IFERROR(VLOOKUP(DBL_FullList!I188,ContactsDbl!B:D, 3, FALSE), ""), "", IFERROR(VLOOKUP(DBL_FullList!I188, ContactsDbl!B:D, 3, FALSE), ""))</f>
        <v>http://www.bsind.org/</v>
      </c>
      <c r="L188">
        <f t="shared" si="5"/>
        <v>1</v>
      </c>
    </row>
    <row r="189" spans="1:12" x14ac:dyDescent="0.25">
      <c r="A189" t="s">
        <v>3468</v>
      </c>
      <c r="B189" t="str">
        <f>IF(ISERROR(VLOOKUP(F189,STEP!A:A, 1, FALSE)), "N", "Y")</f>
        <v>N</v>
      </c>
      <c r="C189" t="str">
        <f>IF(ISERROR(VLOOKUP(E189, BibleInEveryLanguageTexts!A:A, 1, FALSE)), "N", "Y")</f>
        <v>N</v>
      </c>
      <c r="D189" t="str">
        <f t="shared" si="4"/>
        <v>X</v>
      </c>
      <c r="E189" t="s">
        <v>3469</v>
      </c>
      <c r="F189" t="s">
        <v>3470</v>
      </c>
      <c r="G189" t="s">
        <v>2723</v>
      </c>
      <c r="H189" t="s">
        <v>3471</v>
      </c>
      <c r="I189" t="s">
        <v>2661</v>
      </c>
      <c r="J189" t="str">
        <f>IF(0 = IFERROR(VLOOKUP(DBL_FullList!I189, ContactsDbl!B:D, 2, FALSE), ""), "", IFERROR(VLOOKUP(DBL_FullList!I189, ContactsDbl!B:D, 2, FALSE), ""))</f>
        <v>dbladmin_intl@sil.org</v>
      </c>
      <c r="K189" t="str">
        <f>IF(0 = IFERROR(VLOOKUP(DBL_FullList!I189,ContactsDbl!B:D, 3, FALSE), ""), "", IFERROR(VLOOKUP(DBL_FullList!I189, ContactsDbl!B:D, 3, FALSE), ""))</f>
        <v>http://www.wycliffe.org</v>
      </c>
      <c r="L189">
        <f t="shared" si="5"/>
        <v>2</v>
      </c>
    </row>
    <row r="190" spans="1:12" x14ac:dyDescent="0.25">
      <c r="A190" t="s">
        <v>3472</v>
      </c>
      <c r="B190" t="str">
        <f>IF(ISERROR(VLOOKUP(F190,STEP!A:A, 1, FALSE)), "N", "Y")</f>
        <v>Y</v>
      </c>
      <c r="C190" t="str">
        <f>IF(ISERROR(VLOOKUP(E190, BibleInEveryLanguageTexts!A:A, 1, FALSE)), "N", "Y")</f>
        <v>N</v>
      </c>
      <c r="D190" t="str">
        <f t="shared" si="4"/>
        <v/>
      </c>
      <c r="E190" t="s">
        <v>3473</v>
      </c>
      <c r="F190" t="s">
        <v>3474</v>
      </c>
      <c r="G190" t="s">
        <v>48</v>
      </c>
      <c r="H190" t="s">
        <v>3475</v>
      </c>
      <c r="I190" t="s">
        <v>2661</v>
      </c>
      <c r="J190" t="str">
        <f>IF(0 = IFERROR(VLOOKUP(DBL_FullList!I190, ContactsDbl!B:D, 2, FALSE), ""), "", IFERROR(VLOOKUP(DBL_FullList!I190, ContactsDbl!B:D, 2, FALSE), ""))</f>
        <v>dbladmin_intl@sil.org</v>
      </c>
      <c r="K190" t="str">
        <f>IF(0 = IFERROR(VLOOKUP(DBL_FullList!I190,ContactsDbl!B:D, 3, FALSE), ""), "", IFERROR(VLOOKUP(DBL_FullList!I190, ContactsDbl!B:D, 3, FALSE), ""))</f>
        <v>http://www.wycliffe.org</v>
      </c>
      <c r="L190">
        <f t="shared" si="5"/>
        <v>2</v>
      </c>
    </row>
    <row r="191" spans="1:12" x14ac:dyDescent="0.25">
      <c r="A191" s="1" t="s">
        <v>3476</v>
      </c>
      <c r="B191" t="str">
        <f>IF(ISERROR(VLOOKUP(F191,STEP!A:A, 1, FALSE)), "N", "Y")</f>
        <v>N</v>
      </c>
      <c r="C191" t="str">
        <f>IF(ISERROR(VLOOKUP(E191, BibleInEveryLanguageTexts!A:A, 1, FALSE)), "N", "Y")</f>
        <v>N</v>
      </c>
      <c r="D191" t="str">
        <f t="shared" si="4"/>
        <v>X</v>
      </c>
      <c r="E191" t="s">
        <v>3477</v>
      </c>
      <c r="F191" t="s">
        <v>3478</v>
      </c>
      <c r="G191" t="s">
        <v>2815</v>
      </c>
      <c r="H191" t="s">
        <v>3479</v>
      </c>
      <c r="I191" t="s">
        <v>2362</v>
      </c>
      <c r="J191" t="str">
        <f>IF(0 = IFERROR(VLOOKUP(DBL_FullList!I191, ContactsDbl!B:D, 2, FALSE), ""), "", IFERROR(VLOOKUP(DBL_FullList!I191, ContactsDbl!B:D, 2, FALSE), ""))</f>
        <v>muriuki@biblesociety-kenya.org</v>
      </c>
      <c r="K191" t="str">
        <f>IF(0 = IFERROR(VLOOKUP(DBL_FullList!I191,ContactsDbl!B:D, 3, FALSE), ""), "", IFERROR(VLOOKUP(DBL_FullList!I191, ContactsDbl!B:D, 3, FALSE), ""))</f>
        <v>http://www.biblesociety-kenya.org/</v>
      </c>
      <c r="L191">
        <f t="shared" si="5"/>
        <v>2</v>
      </c>
    </row>
    <row r="192" spans="1:12" x14ac:dyDescent="0.25">
      <c r="A192" t="s">
        <v>3480</v>
      </c>
      <c r="B192" t="str">
        <f>IF(ISERROR(VLOOKUP(F192,STEP!A:A, 1, FALSE)), "N", "Y")</f>
        <v>N</v>
      </c>
      <c r="C192" t="str">
        <f>IF(ISERROR(VLOOKUP(E192, BibleInEveryLanguageTexts!A:A, 1, FALSE)), "N", "Y")</f>
        <v>N</v>
      </c>
      <c r="D192" t="str">
        <f t="shared" si="4"/>
        <v>X</v>
      </c>
      <c r="E192" t="s">
        <v>3481</v>
      </c>
      <c r="F192" t="s">
        <v>3482</v>
      </c>
      <c r="G192" t="s">
        <v>3133</v>
      </c>
      <c r="H192" t="s">
        <v>3483</v>
      </c>
      <c r="I192" t="s">
        <v>2661</v>
      </c>
      <c r="J192" t="str">
        <f>IF(0 = IFERROR(VLOOKUP(DBL_FullList!I192, ContactsDbl!B:D, 2, FALSE), ""), "", IFERROR(VLOOKUP(DBL_FullList!I192, ContactsDbl!B:D, 2, FALSE), ""))</f>
        <v>dbladmin_intl@sil.org</v>
      </c>
      <c r="K192" t="str">
        <f>IF(0 = IFERROR(VLOOKUP(DBL_FullList!I192,ContactsDbl!B:D, 3, FALSE), ""), "", IFERROR(VLOOKUP(DBL_FullList!I192, ContactsDbl!B:D, 3, FALSE), ""))</f>
        <v>http://www.wycliffe.org</v>
      </c>
      <c r="L192">
        <f t="shared" si="5"/>
        <v>2</v>
      </c>
    </row>
    <row r="193" spans="1:12" x14ac:dyDescent="0.25">
      <c r="A193" t="s">
        <v>3484</v>
      </c>
      <c r="B193" t="str">
        <f>IF(ISERROR(VLOOKUP(F193,STEP!A:A, 1, FALSE)), "N", "Y")</f>
        <v>N</v>
      </c>
      <c r="C193" t="str">
        <f>IF(ISERROR(VLOOKUP(E193, BibleInEveryLanguageTexts!A:A, 1, FALSE)), "N", "Y")</f>
        <v>N</v>
      </c>
      <c r="D193" t="str">
        <f t="shared" si="4"/>
        <v>X</v>
      </c>
      <c r="E193" t="s">
        <v>3485</v>
      </c>
      <c r="F193" t="s">
        <v>3486</v>
      </c>
      <c r="G193" t="s">
        <v>20</v>
      </c>
      <c r="H193" t="s">
        <v>3487</v>
      </c>
      <c r="I193" t="s">
        <v>2329</v>
      </c>
      <c r="J193" t="str">
        <f>IF(0 = IFERROR(VLOOKUP(DBL_FullList!I193, ContactsDbl!B:D, 2, FALSE), ""), "", IFERROR(VLOOKUP(DBL_FullList!I193, ContactsDbl!B:D, 2, FALSE), ""))</f>
        <v/>
      </c>
      <c r="K193" t="str">
        <f>IF(0 = IFERROR(VLOOKUP(DBL_FullList!I193,ContactsDbl!B:D, 3, FALSE), ""), "", IFERROR(VLOOKUP(DBL_FullList!I193, ContactsDbl!B:D, 3, FALSE), ""))</f>
        <v>http://www.bsind.org/</v>
      </c>
      <c r="L193">
        <f t="shared" si="5"/>
        <v>1</v>
      </c>
    </row>
    <row r="194" spans="1:12" x14ac:dyDescent="0.25">
      <c r="A194" t="s">
        <v>3488</v>
      </c>
      <c r="B194" t="str">
        <f>IF(ISERROR(VLOOKUP(F194,STEP!A:A, 1, FALSE)), "N", "Y")</f>
        <v>N</v>
      </c>
      <c r="C194" t="str">
        <f>IF(ISERROR(VLOOKUP(E194, BibleInEveryLanguageTexts!A:A, 1, FALSE)), "N", "Y")</f>
        <v>N</v>
      </c>
      <c r="D194" t="str">
        <f t="shared" si="4"/>
        <v>X</v>
      </c>
      <c r="E194" t="s">
        <v>3489</v>
      </c>
      <c r="F194" t="s">
        <v>3490</v>
      </c>
      <c r="G194" t="s">
        <v>2723</v>
      </c>
      <c r="H194" t="s">
        <v>3491</v>
      </c>
      <c r="I194" t="s">
        <v>2661</v>
      </c>
      <c r="J194" t="str">
        <f>IF(0 = IFERROR(VLOOKUP(DBL_FullList!I194, ContactsDbl!B:D, 2, FALSE), ""), "", IFERROR(VLOOKUP(DBL_FullList!I194, ContactsDbl!B:D, 2, FALSE), ""))</f>
        <v>dbladmin_intl@sil.org</v>
      </c>
      <c r="K194" t="str">
        <f>IF(0 = IFERROR(VLOOKUP(DBL_FullList!I194,ContactsDbl!B:D, 3, FALSE), ""), "", IFERROR(VLOOKUP(DBL_FullList!I194, ContactsDbl!B:D, 3, FALSE), ""))</f>
        <v>http://www.wycliffe.org</v>
      </c>
      <c r="L194">
        <f t="shared" si="5"/>
        <v>2</v>
      </c>
    </row>
    <row r="195" spans="1:12" x14ac:dyDescent="0.25">
      <c r="A195" t="s">
        <v>3492</v>
      </c>
      <c r="B195" t="str">
        <f>IF(ISERROR(VLOOKUP(F195,STEP!A:A, 1, FALSE)), "N", "Y")</f>
        <v>N</v>
      </c>
      <c r="C195" t="str">
        <f>IF(ISERROR(VLOOKUP(E195, BibleInEveryLanguageTexts!A:A, 1, FALSE)), "N", "Y")</f>
        <v>N</v>
      </c>
      <c r="D195" t="str">
        <f t="shared" ref="D195:D258" si="6">IF(AND("N" = B195, "N" = C195), "X", "")</f>
        <v>X</v>
      </c>
      <c r="E195" t="s">
        <v>3493</v>
      </c>
      <c r="F195" t="s">
        <v>3494</v>
      </c>
      <c r="G195" t="s">
        <v>3407</v>
      </c>
      <c r="H195" t="s">
        <v>3495</v>
      </c>
      <c r="I195" t="s">
        <v>2017</v>
      </c>
      <c r="J195" t="str">
        <f>IF(0 = IFERROR(VLOOKUP(DBL_FullList!I195, ContactsDbl!B:D, 2, FALSE), ""), "", IFERROR(VLOOKUP(DBL_FullList!I195, ContactsDbl!B:D, 2, FALSE), ""))</f>
        <v>stgabriel@biblesocieties.org</v>
      </c>
      <c r="K195" t="str">
        <f>IF(0 = IFERROR(VLOOKUP(DBL_FullList!I195,ContactsDbl!B:D, 3, FALSE), ""), "", IFERROR(VLOOKUP(DBL_FullList!I195, ContactsDbl!B:D, 3, FALSE), ""))</f>
        <v>http://www.unitedbiblesocieties.org/society/bible-society-in-botswana/</v>
      </c>
      <c r="L195">
        <f t="shared" ref="L195:L258" si="7">IF("" &lt;&gt; J195, 2, IF("" &lt;&gt; K195, 1, 0))</f>
        <v>2</v>
      </c>
    </row>
    <row r="196" spans="1:12" x14ac:dyDescent="0.25">
      <c r="A196" t="s">
        <v>3496</v>
      </c>
      <c r="B196" t="str">
        <f>IF(ISERROR(VLOOKUP(F196,STEP!A:A, 1, FALSE)), "N", "Y")</f>
        <v>N</v>
      </c>
      <c r="C196" t="str">
        <f>IF(ISERROR(VLOOKUP(E196, BibleInEveryLanguageTexts!A:A, 1, FALSE)), "N", "Y")</f>
        <v>N</v>
      </c>
      <c r="D196" t="str">
        <f t="shared" si="6"/>
        <v>X</v>
      </c>
      <c r="E196" t="s">
        <v>3497</v>
      </c>
      <c r="F196" t="s">
        <v>3498</v>
      </c>
      <c r="G196" t="s">
        <v>20</v>
      </c>
      <c r="H196" t="s">
        <v>3499</v>
      </c>
      <c r="I196" t="s">
        <v>2329</v>
      </c>
      <c r="J196" t="str">
        <f>IF(0 = IFERROR(VLOOKUP(DBL_FullList!I196, ContactsDbl!B:D, 2, FALSE), ""), "", IFERROR(VLOOKUP(DBL_FullList!I196, ContactsDbl!B:D, 2, FALSE), ""))</f>
        <v/>
      </c>
      <c r="K196" t="str">
        <f>IF(0 = IFERROR(VLOOKUP(DBL_FullList!I196,ContactsDbl!B:D, 3, FALSE), ""), "", IFERROR(VLOOKUP(DBL_FullList!I196, ContactsDbl!B:D, 3, FALSE), ""))</f>
        <v>http://www.bsind.org/</v>
      </c>
      <c r="L196">
        <f t="shared" si="7"/>
        <v>1</v>
      </c>
    </row>
    <row r="197" spans="1:12" x14ac:dyDescent="0.25">
      <c r="A197" t="s">
        <v>3500</v>
      </c>
      <c r="B197" t="str">
        <f>IF(ISERROR(VLOOKUP(F197,STEP!A:A, 1, FALSE)), "N", "Y")</f>
        <v>N</v>
      </c>
      <c r="C197" t="str">
        <f>IF(ISERROR(VLOOKUP(E197, BibleInEveryLanguageTexts!A:A, 1, FALSE)), "N", "Y")</f>
        <v>N</v>
      </c>
      <c r="D197" t="str">
        <f t="shared" si="6"/>
        <v>X</v>
      </c>
      <c r="E197" t="s">
        <v>3501</v>
      </c>
      <c r="F197" t="s">
        <v>3502</v>
      </c>
      <c r="G197" t="s">
        <v>3133</v>
      </c>
      <c r="H197" t="s">
        <v>3503</v>
      </c>
      <c r="I197" t="s">
        <v>2264</v>
      </c>
      <c r="J197" t="str">
        <f>IF(0 = IFERROR(VLOOKUP(DBL_FullList!I197, ContactsDbl!B:D, 2, FALSE), ""), "", IFERROR(VLOOKUP(DBL_FullList!I197, ContactsDbl!B:D, 2, FALSE), ""))</f>
        <v/>
      </c>
      <c r="K197" t="str">
        <f>IF(0 = IFERROR(VLOOKUP(DBL_FullList!I197,ContactsDbl!B:D, 3, FALSE), ""), "", IFERROR(VLOOKUP(DBL_FullList!I197, ContactsDbl!B:D, 3, FALSE), ""))</f>
        <v>http://www.sbiblica.org</v>
      </c>
      <c r="L197">
        <f t="shared" si="7"/>
        <v>1</v>
      </c>
    </row>
    <row r="198" spans="1:12" x14ac:dyDescent="0.25">
      <c r="A198" t="s">
        <v>3504</v>
      </c>
      <c r="B198" t="str">
        <f>IF(ISERROR(VLOOKUP(F198,STEP!A:A, 1, FALSE)), "N", "Y")</f>
        <v>N</v>
      </c>
      <c r="C198" t="str">
        <f>IF(ISERROR(VLOOKUP(E198, BibleInEveryLanguageTexts!A:A, 1, FALSE)), "N", "Y")</f>
        <v>N</v>
      </c>
      <c r="D198" t="str">
        <f t="shared" si="6"/>
        <v>X</v>
      </c>
      <c r="E198" t="s">
        <v>3505</v>
      </c>
      <c r="F198" t="s">
        <v>3506</v>
      </c>
      <c r="G198" t="s">
        <v>2756</v>
      </c>
      <c r="H198" t="s">
        <v>3507</v>
      </c>
      <c r="I198" t="s">
        <v>2126</v>
      </c>
      <c r="J198" t="str">
        <f>IF(0 = IFERROR(VLOOKUP(DBL_FullList!I198, ContactsDbl!B:D, 2, FALSE), ""), "", IFERROR(VLOOKUP(DBL_FullList!I198, ContactsDbl!B:D, 2, FALSE), ""))</f>
        <v>gluke@biblesocieties.org</v>
      </c>
      <c r="K198" t="str">
        <f>IF(0 = IFERROR(VLOOKUP(DBL_FullList!I198,ContactsDbl!B:D, 3, FALSE), ""), "", IFERROR(VLOOKUP(DBL_FullList!I198, ContactsDbl!B:D, 3, FALSE), ""))</f>
        <v>http://www.biblesociety-cameroon.org/</v>
      </c>
      <c r="L198">
        <f t="shared" si="7"/>
        <v>2</v>
      </c>
    </row>
    <row r="199" spans="1:12" x14ac:dyDescent="0.25">
      <c r="A199" t="s">
        <v>3508</v>
      </c>
      <c r="B199" t="str">
        <f>IF(ISERROR(VLOOKUP(F199,STEP!A:A, 1, FALSE)), "N", "Y")</f>
        <v>N</v>
      </c>
      <c r="C199" t="str">
        <f>IF(ISERROR(VLOOKUP(E199, BibleInEveryLanguageTexts!A:A, 1, FALSE)), "N", "Y")</f>
        <v>N</v>
      </c>
      <c r="D199" t="str">
        <f t="shared" si="6"/>
        <v>X</v>
      </c>
      <c r="E199" t="s">
        <v>3509</v>
      </c>
      <c r="F199" t="s">
        <v>3510</v>
      </c>
      <c r="G199" t="s">
        <v>20</v>
      </c>
      <c r="H199" t="s">
        <v>3511</v>
      </c>
      <c r="I199" t="s">
        <v>2329</v>
      </c>
      <c r="J199" t="str">
        <f>IF(0 = IFERROR(VLOOKUP(DBL_FullList!I199, ContactsDbl!B:D, 2, FALSE), ""), "", IFERROR(VLOOKUP(DBL_FullList!I199, ContactsDbl!B:D, 2, FALSE), ""))</f>
        <v/>
      </c>
      <c r="K199" t="str">
        <f>IF(0 = IFERROR(VLOOKUP(DBL_FullList!I199,ContactsDbl!B:D, 3, FALSE), ""), "", IFERROR(VLOOKUP(DBL_FullList!I199, ContactsDbl!B:D, 3, FALSE), ""))</f>
        <v>http://www.bsind.org/</v>
      </c>
      <c r="L199">
        <f t="shared" si="7"/>
        <v>1</v>
      </c>
    </row>
    <row r="200" spans="1:12" x14ac:dyDescent="0.25">
      <c r="A200" t="s">
        <v>3512</v>
      </c>
      <c r="B200" t="str">
        <f>IF(ISERROR(VLOOKUP(F200,STEP!A:A, 1, FALSE)), "N", "Y")</f>
        <v>N</v>
      </c>
      <c r="C200" t="str">
        <f>IF(ISERROR(VLOOKUP(E200, BibleInEveryLanguageTexts!A:A, 1, FALSE)), "N", "Y")</f>
        <v>N</v>
      </c>
      <c r="D200" t="str">
        <f t="shared" si="6"/>
        <v>X</v>
      </c>
      <c r="E200" t="s">
        <v>3513</v>
      </c>
      <c r="F200" t="s">
        <v>3514</v>
      </c>
      <c r="G200" t="s">
        <v>2997</v>
      </c>
      <c r="H200" t="s">
        <v>3515</v>
      </c>
      <c r="I200" t="s">
        <v>2661</v>
      </c>
      <c r="J200" t="str">
        <f>IF(0 = IFERROR(VLOOKUP(DBL_FullList!I200, ContactsDbl!B:D, 2, FALSE), ""), "", IFERROR(VLOOKUP(DBL_FullList!I200, ContactsDbl!B:D, 2, FALSE), ""))</f>
        <v>dbladmin_intl@sil.org</v>
      </c>
      <c r="K200" t="str">
        <f>IF(0 = IFERROR(VLOOKUP(DBL_FullList!I200,ContactsDbl!B:D, 3, FALSE), ""), "", IFERROR(VLOOKUP(DBL_FullList!I200, ContactsDbl!B:D, 3, FALSE), ""))</f>
        <v>http://www.wycliffe.org</v>
      </c>
      <c r="L200">
        <f t="shared" si="7"/>
        <v>2</v>
      </c>
    </row>
    <row r="201" spans="1:12" x14ac:dyDescent="0.25">
      <c r="A201" t="s">
        <v>3516</v>
      </c>
      <c r="B201" t="str">
        <f>IF(ISERROR(VLOOKUP(F201,STEP!A:A, 1, FALSE)), "N", "Y")</f>
        <v>Y</v>
      </c>
      <c r="C201" t="str">
        <f>IF(ISERROR(VLOOKUP(E201, BibleInEveryLanguageTexts!A:A, 1, FALSE)), "N", "Y")</f>
        <v>N</v>
      </c>
      <c r="D201" t="str">
        <f t="shared" si="6"/>
        <v/>
      </c>
      <c r="E201" t="s">
        <v>3517</v>
      </c>
      <c r="F201" t="s">
        <v>3518</v>
      </c>
      <c r="G201" t="s">
        <v>48</v>
      </c>
      <c r="H201" t="s">
        <v>3519</v>
      </c>
      <c r="I201" t="s">
        <v>2661</v>
      </c>
      <c r="J201" t="str">
        <f>IF(0 = IFERROR(VLOOKUP(DBL_FullList!I201, ContactsDbl!B:D, 2, FALSE), ""), "", IFERROR(VLOOKUP(DBL_FullList!I201, ContactsDbl!B:D, 2, FALSE), ""))</f>
        <v>dbladmin_intl@sil.org</v>
      </c>
      <c r="K201" t="str">
        <f>IF(0 = IFERROR(VLOOKUP(DBL_FullList!I201,ContactsDbl!B:D, 3, FALSE), ""), "", IFERROR(VLOOKUP(DBL_FullList!I201, ContactsDbl!B:D, 3, FALSE), ""))</f>
        <v>http://www.wycliffe.org</v>
      </c>
      <c r="L201">
        <f t="shared" si="7"/>
        <v>2</v>
      </c>
    </row>
    <row r="202" spans="1:12" x14ac:dyDescent="0.25">
      <c r="A202" t="s">
        <v>3520</v>
      </c>
      <c r="B202" t="str">
        <f>IF(ISERROR(VLOOKUP(F202,STEP!A:A, 1, FALSE)), "N", "Y")</f>
        <v>N</v>
      </c>
      <c r="C202" t="str">
        <f>IF(ISERROR(VLOOKUP(E202, BibleInEveryLanguageTexts!A:A, 1, FALSE)), "N", "Y")</f>
        <v>N</v>
      </c>
      <c r="D202" t="str">
        <f t="shared" si="6"/>
        <v>X</v>
      </c>
      <c r="E202" t="s">
        <v>3521</v>
      </c>
      <c r="F202" t="s">
        <v>3522</v>
      </c>
      <c r="G202" t="s">
        <v>2756</v>
      </c>
      <c r="H202" t="s">
        <v>3523</v>
      </c>
      <c r="I202" t="s">
        <v>2126</v>
      </c>
      <c r="J202" t="str">
        <f>IF(0 = IFERROR(VLOOKUP(DBL_FullList!I202, ContactsDbl!B:D, 2, FALSE), ""), "", IFERROR(VLOOKUP(DBL_FullList!I202, ContactsDbl!B:D, 2, FALSE), ""))</f>
        <v>gluke@biblesocieties.org</v>
      </c>
      <c r="K202" t="str">
        <f>IF(0 = IFERROR(VLOOKUP(DBL_FullList!I202,ContactsDbl!B:D, 3, FALSE), ""), "", IFERROR(VLOOKUP(DBL_FullList!I202, ContactsDbl!B:D, 3, FALSE), ""))</f>
        <v>http://www.biblesociety-cameroon.org/</v>
      </c>
      <c r="L202">
        <f t="shared" si="7"/>
        <v>2</v>
      </c>
    </row>
    <row r="203" spans="1:12" x14ac:dyDescent="0.25">
      <c r="A203" t="s">
        <v>3524</v>
      </c>
      <c r="B203" t="str">
        <f>IF(ISERROR(VLOOKUP(F203,STEP!A:A, 1, FALSE)), "N", "Y")</f>
        <v>N</v>
      </c>
      <c r="C203" t="str">
        <f>IF(ISERROR(VLOOKUP(E203, BibleInEveryLanguageTexts!A:A, 1, FALSE)), "N", "Y")</f>
        <v>N</v>
      </c>
      <c r="D203" t="str">
        <f t="shared" si="6"/>
        <v>X</v>
      </c>
      <c r="E203" t="s">
        <v>3525</v>
      </c>
      <c r="F203" t="s">
        <v>3526</v>
      </c>
      <c r="G203" t="s">
        <v>20</v>
      </c>
      <c r="H203" t="s">
        <v>3527</v>
      </c>
      <c r="I203" t="s">
        <v>2329</v>
      </c>
      <c r="J203" t="str">
        <f>IF(0 = IFERROR(VLOOKUP(DBL_FullList!I203, ContactsDbl!B:D, 2, FALSE), ""), "", IFERROR(VLOOKUP(DBL_FullList!I203, ContactsDbl!B:D, 2, FALSE), ""))</f>
        <v/>
      </c>
      <c r="K203" t="str">
        <f>IF(0 = IFERROR(VLOOKUP(DBL_FullList!I203,ContactsDbl!B:D, 3, FALSE), ""), "", IFERROR(VLOOKUP(DBL_FullList!I203, ContactsDbl!B:D, 3, FALSE), ""))</f>
        <v>http://www.bsind.org/</v>
      </c>
      <c r="L203">
        <f t="shared" si="7"/>
        <v>1</v>
      </c>
    </row>
    <row r="204" spans="1:12" x14ac:dyDescent="0.25">
      <c r="A204" t="s">
        <v>3528</v>
      </c>
      <c r="B204" t="str">
        <f>IF(ISERROR(VLOOKUP(F204,STEP!A:A, 1, FALSE)), "N", "Y")</f>
        <v>N</v>
      </c>
      <c r="C204" t="str">
        <f>IF(ISERROR(VLOOKUP(E204, BibleInEveryLanguageTexts!A:A, 1, FALSE)), "N", "Y")</f>
        <v>N</v>
      </c>
      <c r="D204" t="str">
        <f t="shared" si="6"/>
        <v>X</v>
      </c>
      <c r="E204" t="s">
        <v>3529</v>
      </c>
      <c r="F204" t="s">
        <v>3530</v>
      </c>
      <c r="G204" t="s">
        <v>3531</v>
      </c>
      <c r="H204" t="s">
        <v>3532</v>
      </c>
      <c r="I204" t="s">
        <v>2110</v>
      </c>
      <c r="J204" t="str">
        <f>IF(0 = IFERROR(VLOOKUP(DBL_FullList!I204, ContactsDbl!B:D, 2, FALSE), ""), "", IFERROR(VLOOKUP(DBL_FullList!I204, ContactsDbl!B:D, 2, FALSE), ""))</f>
        <v>joychen@bstwn.org</v>
      </c>
      <c r="K204" t="str">
        <f>IF(0 = IFERROR(VLOOKUP(DBL_FullList!I204,ContactsDbl!B:D, 3, FALSE), ""), "", IFERROR(VLOOKUP(DBL_FullList!I204, ContactsDbl!B:D, 3, FALSE), ""))</f>
        <v>www.bstwn.org</v>
      </c>
      <c r="L204">
        <f t="shared" si="7"/>
        <v>2</v>
      </c>
    </row>
    <row r="205" spans="1:12" x14ac:dyDescent="0.25">
      <c r="A205" t="s">
        <v>3533</v>
      </c>
      <c r="B205" t="str">
        <f>IF(ISERROR(VLOOKUP(F205,STEP!A:A, 1, FALSE)), "N", "Y")</f>
        <v>N</v>
      </c>
      <c r="C205" t="str">
        <f>IF(ISERROR(VLOOKUP(E205, BibleInEveryLanguageTexts!A:A, 1, FALSE)), "N", "Y")</f>
        <v>N</v>
      </c>
      <c r="D205" t="str">
        <f t="shared" si="6"/>
        <v>X</v>
      </c>
      <c r="E205" t="s">
        <v>3534</v>
      </c>
      <c r="F205" t="s">
        <v>3535</v>
      </c>
      <c r="G205" t="s">
        <v>2733</v>
      </c>
      <c r="H205" t="s">
        <v>3536</v>
      </c>
      <c r="I205" t="s">
        <v>2013</v>
      </c>
      <c r="J205" t="str">
        <f>IF(0 = IFERROR(VLOOKUP(DBL_FullList!I205, ContactsDbl!B:D, 2, FALSE), ""), "", IFERROR(VLOOKUP(DBL_FullList!I205, ContactsDbl!B:D, 2, FALSE), ""))</f>
        <v>fcossio@biblesocieties.org</v>
      </c>
      <c r="K205" t="str">
        <f>IF(0 = IFERROR(VLOOKUP(DBL_FullList!I205,ContactsDbl!B:D, 3, FALSE), ""), "", IFERROR(VLOOKUP(DBL_FullList!I205, ContactsDbl!B:D, 3, FALSE), ""))</f>
        <v>http://sociedadbiblicaboliviana.org</v>
      </c>
      <c r="L205">
        <f t="shared" si="7"/>
        <v>2</v>
      </c>
    </row>
    <row r="206" spans="1:12" x14ac:dyDescent="0.25">
      <c r="A206" t="s">
        <v>3537</v>
      </c>
      <c r="B206" t="str">
        <f>IF(ISERROR(VLOOKUP(F206,STEP!A:A, 1, FALSE)), "N", "Y")</f>
        <v>N</v>
      </c>
      <c r="C206" t="str">
        <f>IF(ISERROR(VLOOKUP(E206, BibleInEveryLanguageTexts!A:A, 1, FALSE)), "N", "Y")</f>
        <v>N</v>
      </c>
      <c r="D206" t="str">
        <f t="shared" si="6"/>
        <v>X</v>
      </c>
      <c r="E206" t="s">
        <v>3538</v>
      </c>
      <c r="F206" t="s">
        <v>3539</v>
      </c>
      <c r="G206" t="s">
        <v>48</v>
      </c>
      <c r="H206" t="s">
        <v>3540</v>
      </c>
      <c r="I206" t="s">
        <v>2661</v>
      </c>
      <c r="J206" t="str">
        <f>IF(0 = IFERROR(VLOOKUP(DBL_FullList!I206, ContactsDbl!B:D, 2, FALSE), ""), "", IFERROR(VLOOKUP(DBL_FullList!I206, ContactsDbl!B:D, 2, FALSE), ""))</f>
        <v>dbladmin_intl@sil.org</v>
      </c>
      <c r="K206" t="str">
        <f>IF(0 = IFERROR(VLOOKUP(DBL_FullList!I206,ContactsDbl!B:D, 3, FALSE), ""), "", IFERROR(VLOOKUP(DBL_FullList!I206, ContactsDbl!B:D, 3, FALSE), ""))</f>
        <v>http://www.wycliffe.org</v>
      </c>
      <c r="L206">
        <f t="shared" si="7"/>
        <v>2</v>
      </c>
    </row>
    <row r="207" spans="1:12" x14ac:dyDescent="0.25">
      <c r="A207" t="s">
        <v>3541</v>
      </c>
      <c r="B207" t="str">
        <f>IF(ISERROR(VLOOKUP(F207,STEP!A:A, 1, FALSE)), "N", "Y")</f>
        <v>Y</v>
      </c>
      <c r="C207" t="str">
        <f>IF(ISERROR(VLOOKUP(E207, BibleInEveryLanguageTexts!A:A, 1, FALSE)), "N", "Y")</f>
        <v>N</v>
      </c>
      <c r="D207" t="str">
        <f t="shared" si="6"/>
        <v/>
      </c>
      <c r="E207" t="s">
        <v>3542</v>
      </c>
      <c r="F207" t="s">
        <v>3543</v>
      </c>
      <c r="G207" t="s">
        <v>2793</v>
      </c>
      <c r="H207" t="s">
        <v>3542</v>
      </c>
      <c r="I207" t="s">
        <v>2661</v>
      </c>
      <c r="J207" t="str">
        <f>IF(0 = IFERROR(VLOOKUP(DBL_FullList!I207, ContactsDbl!B:D, 2, FALSE), ""), "", IFERROR(VLOOKUP(DBL_FullList!I207, ContactsDbl!B:D, 2, FALSE), ""))</f>
        <v>dbladmin_intl@sil.org</v>
      </c>
      <c r="K207" t="str">
        <f>IF(0 = IFERROR(VLOOKUP(DBL_FullList!I207,ContactsDbl!B:D, 3, FALSE), ""), "", IFERROR(VLOOKUP(DBL_FullList!I207, ContactsDbl!B:D, 3, FALSE), ""))</f>
        <v>http://www.wycliffe.org</v>
      </c>
      <c r="L207">
        <f t="shared" si="7"/>
        <v>2</v>
      </c>
    </row>
    <row r="208" spans="1:12" x14ac:dyDescent="0.25">
      <c r="A208" t="s">
        <v>3544</v>
      </c>
      <c r="B208" t="str">
        <f>IF(ISERROR(VLOOKUP(F208,STEP!A:A, 1, FALSE)), "N", "Y")</f>
        <v>N</v>
      </c>
      <c r="C208" t="str">
        <f>IF(ISERROR(VLOOKUP(E208, BibleInEveryLanguageTexts!A:A, 1, FALSE)), "N", "Y")</f>
        <v>N</v>
      </c>
      <c r="D208" t="str">
        <f t="shared" si="6"/>
        <v>X</v>
      </c>
      <c r="E208" t="s">
        <v>3545</v>
      </c>
      <c r="F208" t="s">
        <v>3546</v>
      </c>
      <c r="G208" t="s">
        <v>2756</v>
      </c>
      <c r="H208" t="s">
        <v>3547</v>
      </c>
      <c r="I208" t="s">
        <v>2126</v>
      </c>
      <c r="J208" t="str">
        <f>IF(0 = IFERROR(VLOOKUP(DBL_FullList!I208, ContactsDbl!B:D, 2, FALSE), ""), "", IFERROR(VLOOKUP(DBL_FullList!I208, ContactsDbl!B:D, 2, FALSE), ""))</f>
        <v>gluke@biblesocieties.org</v>
      </c>
      <c r="K208" t="str">
        <f>IF(0 = IFERROR(VLOOKUP(DBL_FullList!I208,ContactsDbl!B:D, 3, FALSE), ""), "", IFERROR(VLOOKUP(DBL_FullList!I208, ContactsDbl!B:D, 3, FALSE), ""))</f>
        <v>http://www.biblesociety-cameroon.org/</v>
      </c>
      <c r="L208">
        <f t="shared" si="7"/>
        <v>2</v>
      </c>
    </row>
    <row r="209" spans="1:12" x14ac:dyDescent="0.25">
      <c r="A209" t="s">
        <v>3548</v>
      </c>
      <c r="B209" t="str">
        <f>IF(ISERROR(VLOOKUP(F209,STEP!A:A, 1, FALSE)), "N", "Y")</f>
        <v>N</v>
      </c>
      <c r="C209" t="str">
        <f>IF(ISERROR(VLOOKUP(E209, BibleInEveryLanguageTexts!A:A, 1, FALSE)), "N", "Y")</f>
        <v>N</v>
      </c>
      <c r="D209" t="str">
        <f t="shared" si="6"/>
        <v>X</v>
      </c>
      <c r="E209" t="s">
        <v>3549</v>
      </c>
      <c r="F209" t="s">
        <v>3550</v>
      </c>
      <c r="G209" t="s">
        <v>20</v>
      </c>
      <c r="H209" t="s">
        <v>3551</v>
      </c>
      <c r="I209" t="s">
        <v>2329</v>
      </c>
      <c r="J209" t="str">
        <f>IF(0 = IFERROR(VLOOKUP(DBL_FullList!I209, ContactsDbl!B:D, 2, FALSE), ""), "", IFERROR(VLOOKUP(DBL_FullList!I209, ContactsDbl!B:D, 2, FALSE), ""))</f>
        <v/>
      </c>
      <c r="K209" t="str">
        <f>IF(0 = IFERROR(VLOOKUP(DBL_FullList!I209,ContactsDbl!B:D, 3, FALSE), ""), "", IFERROR(VLOOKUP(DBL_FullList!I209, ContactsDbl!B:D, 3, FALSE), ""))</f>
        <v>http://www.bsind.org/</v>
      </c>
      <c r="L209">
        <f t="shared" si="7"/>
        <v>1</v>
      </c>
    </row>
    <row r="210" spans="1:12" x14ac:dyDescent="0.25">
      <c r="A210" t="s">
        <v>3552</v>
      </c>
      <c r="B210" t="str">
        <f>IF(ISERROR(VLOOKUP(F210,STEP!A:A, 1, FALSE)), "N", "Y")</f>
        <v>N</v>
      </c>
      <c r="C210" t="str">
        <f>IF(ISERROR(VLOOKUP(E210, BibleInEveryLanguageTexts!A:A, 1, FALSE)), "N", "Y")</f>
        <v>N</v>
      </c>
      <c r="D210" t="str">
        <f t="shared" si="6"/>
        <v>X</v>
      </c>
      <c r="E210" t="s">
        <v>3553</v>
      </c>
      <c r="F210" t="s">
        <v>3554</v>
      </c>
      <c r="G210" t="s">
        <v>2723</v>
      </c>
      <c r="H210" t="s">
        <v>3555</v>
      </c>
      <c r="I210" t="s">
        <v>2661</v>
      </c>
      <c r="J210" t="str">
        <f>IF(0 = IFERROR(VLOOKUP(DBL_FullList!I210, ContactsDbl!B:D, 2, FALSE), ""), "", IFERROR(VLOOKUP(DBL_FullList!I210, ContactsDbl!B:D, 2, FALSE), ""))</f>
        <v>dbladmin_intl@sil.org</v>
      </c>
      <c r="K210" t="str">
        <f>IF(0 = IFERROR(VLOOKUP(DBL_FullList!I210,ContactsDbl!B:D, 3, FALSE), ""), "", IFERROR(VLOOKUP(DBL_FullList!I210, ContactsDbl!B:D, 3, FALSE), ""))</f>
        <v>http://www.wycliffe.org</v>
      </c>
      <c r="L210">
        <f t="shared" si="7"/>
        <v>2</v>
      </c>
    </row>
    <row r="211" spans="1:12" x14ac:dyDescent="0.25">
      <c r="A211" t="s">
        <v>3556</v>
      </c>
      <c r="B211" t="str">
        <f>IF(ISERROR(VLOOKUP(F211,STEP!A:A, 1, FALSE)), "N", "Y")</f>
        <v>N</v>
      </c>
      <c r="C211" t="str">
        <f>IF(ISERROR(VLOOKUP(E211, BibleInEveryLanguageTexts!A:A, 1, FALSE)), "N", "Y")</f>
        <v>N</v>
      </c>
      <c r="D211" t="str">
        <f t="shared" si="6"/>
        <v>X</v>
      </c>
      <c r="E211" t="s">
        <v>3557</v>
      </c>
      <c r="F211" t="s">
        <v>3558</v>
      </c>
      <c r="G211" t="s">
        <v>3559</v>
      </c>
      <c r="H211" t="s">
        <v>3560</v>
      </c>
      <c r="I211" t="s">
        <v>2397</v>
      </c>
      <c r="J211" t="str">
        <f>IF(0 = IFERROR(VLOOKUP(DBL_FullList!I211, ContactsDbl!B:D, 2, FALSE), ""), "", IFERROR(VLOOKUP(DBL_FullList!I211, ContactsDbl!B:D, 2, FALSE), ""))</f>
        <v>tomas@biblijosdraugija.lt</v>
      </c>
      <c r="K211" t="str">
        <f>IF(0 = IFERROR(VLOOKUP(DBL_FullList!I211,ContactsDbl!B:D, 3, FALSE), ""), "", IFERROR(VLOOKUP(DBL_FullList!I211, ContactsDbl!B:D, 3, FALSE), ""))</f>
        <v>http://www.biblijosdraugija.lt/</v>
      </c>
      <c r="L211">
        <f t="shared" si="7"/>
        <v>2</v>
      </c>
    </row>
    <row r="212" spans="1:12" x14ac:dyDescent="0.25">
      <c r="A212" t="s">
        <v>3561</v>
      </c>
      <c r="B212" t="str">
        <f>IF(ISERROR(VLOOKUP(F212,STEP!A:A, 1, FALSE)), "N", "Y")</f>
        <v>N</v>
      </c>
      <c r="C212" t="str">
        <f>IF(ISERROR(VLOOKUP(E212, BibleInEveryLanguageTexts!A:A, 1, FALSE)), "N", "Y")</f>
        <v>N</v>
      </c>
      <c r="D212" t="str">
        <f t="shared" si="6"/>
        <v>X</v>
      </c>
      <c r="E212" t="s">
        <v>3562</v>
      </c>
      <c r="F212" t="s">
        <v>3563</v>
      </c>
      <c r="G212" t="s">
        <v>2723</v>
      </c>
      <c r="H212" t="s">
        <v>3564</v>
      </c>
      <c r="I212" t="s">
        <v>2661</v>
      </c>
      <c r="J212" t="str">
        <f>IF(0 = IFERROR(VLOOKUP(DBL_FullList!I212, ContactsDbl!B:D, 2, FALSE), ""), "", IFERROR(VLOOKUP(DBL_FullList!I212, ContactsDbl!B:D, 2, FALSE), ""))</f>
        <v>dbladmin_intl@sil.org</v>
      </c>
      <c r="K212" t="str">
        <f>IF(0 = IFERROR(VLOOKUP(DBL_FullList!I212,ContactsDbl!B:D, 3, FALSE), ""), "", IFERROR(VLOOKUP(DBL_FullList!I212, ContactsDbl!B:D, 3, FALSE), ""))</f>
        <v>http://www.wycliffe.org</v>
      </c>
      <c r="L212">
        <f t="shared" si="7"/>
        <v>2</v>
      </c>
    </row>
    <row r="213" spans="1:12" x14ac:dyDescent="0.25">
      <c r="A213" t="s">
        <v>3565</v>
      </c>
      <c r="B213" t="str">
        <f>IF(ISERROR(VLOOKUP(F213,STEP!A:A, 1, FALSE)), "N", "Y")</f>
        <v>N</v>
      </c>
      <c r="C213" t="str">
        <f>IF(ISERROR(VLOOKUP(E213, BibleInEveryLanguageTexts!A:A, 1, FALSE)), "N", "Y")</f>
        <v>N</v>
      </c>
      <c r="D213" t="str">
        <f t="shared" si="6"/>
        <v>X</v>
      </c>
      <c r="E213" t="s">
        <v>3566</v>
      </c>
      <c r="F213" t="s">
        <v>3567</v>
      </c>
      <c r="G213" t="s">
        <v>48</v>
      </c>
      <c r="H213" t="s">
        <v>3568</v>
      </c>
      <c r="I213" t="s">
        <v>2661</v>
      </c>
      <c r="J213" t="str">
        <f>IF(0 = IFERROR(VLOOKUP(DBL_FullList!I213, ContactsDbl!B:D, 2, FALSE), ""), "", IFERROR(VLOOKUP(DBL_FullList!I213, ContactsDbl!B:D, 2, FALSE), ""))</f>
        <v>dbladmin_intl@sil.org</v>
      </c>
      <c r="K213" t="str">
        <f>IF(0 = IFERROR(VLOOKUP(DBL_FullList!I213,ContactsDbl!B:D, 3, FALSE), ""), "", IFERROR(VLOOKUP(DBL_FullList!I213, ContactsDbl!B:D, 3, FALSE), ""))</f>
        <v>http://www.wycliffe.org</v>
      </c>
      <c r="L213">
        <f t="shared" si="7"/>
        <v>2</v>
      </c>
    </row>
    <row r="214" spans="1:12" x14ac:dyDescent="0.25">
      <c r="A214" t="s">
        <v>3569</v>
      </c>
      <c r="B214" t="str">
        <f>IF(ISERROR(VLOOKUP(F214,STEP!A:A, 1, FALSE)), "N", "Y")</f>
        <v>Y</v>
      </c>
      <c r="C214" t="str">
        <f>IF(ISERROR(VLOOKUP(E214, BibleInEveryLanguageTexts!A:A, 1, FALSE)), "N", "Y")</f>
        <v>N</v>
      </c>
      <c r="D214" t="str">
        <f t="shared" si="6"/>
        <v/>
      </c>
      <c r="E214" t="s">
        <v>3570</v>
      </c>
      <c r="F214" t="s">
        <v>3571</v>
      </c>
      <c r="G214" t="s">
        <v>48</v>
      </c>
      <c r="H214" t="s">
        <v>3572</v>
      </c>
      <c r="I214" t="s">
        <v>2661</v>
      </c>
      <c r="J214" t="str">
        <f>IF(0 = IFERROR(VLOOKUP(DBL_FullList!I214, ContactsDbl!B:D, 2, FALSE), ""), "", IFERROR(VLOOKUP(DBL_FullList!I214, ContactsDbl!B:D, 2, FALSE), ""))</f>
        <v>dbladmin_intl@sil.org</v>
      </c>
      <c r="K214" t="str">
        <f>IF(0 = IFERROR(VLOOKUP(DBL_FullList!I214,ContactsDbl!B:D, 3, FALSE), ""), "", IFERROR(VLOOKUP(DBL_FullList!I214, ContactsDbl!B:D, 3, FALSE), ""))</f>
        <v>http://www.wycliffe.org</v>
      </c>
      <c r="L214">
        <f t="shared" si="7"/>
        <v>2</v>
      </c>
    </row>
    <row r="215" spans="1:12" x14ac:dyDescent="0.25">
      <c r="A215" t="s">
        <v>3573</v>
      </c>
      <c r="B215" t="str">
        <f>IF(ISERROR(VLOOKUP(F215,STEP!A:A, 1, FALSE)), "N", "Y")</f>
        <v>N</v>
      </c>
      <c r="C215" t="str">
        <f>IF(ISERROR(VLOOKUP(E215, BibleInEveryLanguageTexts!A:A, 1, FALSE)), "N", "Y")</f>
        <v>N</v>
      </c>
      <c r="D215" t="str">
        <f t="shared" si="6"/>
        <v>X</v>
      </c>
      <c r="E215" t="s">
        <v>3574</v>
      </c>
      <c r="F215" t="s">
        <v>3575</v>
      </c>
      <c r="G215" t="s">
        <v>2997</v>
      </c>
      <c r="H215" t="s">
        <v>3576</v>
      </c>
      <c r="I215" t="s">
        <v>2661</v>
      </c>
      <c r="J215" t="str">
        <f>IF(0 = IFERROR(VLOOKUP(DBL_FullList!I215, ContactsDbl!B:D, 2, FALSE), ""), "", IFERROR(VLOOKUP(DBL_FullList!I215, ContactsDbl!B:D, 2, FALSE), ""))</f>
        <v>dbladmin_intl@sil.org</v>
      </c>
      <c r="K215" t="str">
        <f>IF(0 = IFERROR(VLOOKUP(DBL_FullList!I215,ContactsDbl!B:D, 3, FALSE), ""), "", IFERROR(VLOOKUP(DBL_FullList!I215, ContactsDbl!B:D, 3, FALSE), ""))</f>
        <v>http://www.wycliffe.org</v>
      </c>
      <c r="L215">
        <f t="shared" si="7"/>
        <v>2</v>
      </c>
    </row>
    <row r="216" spans="1:12" x14ac:dyDescent="0.25">
      <c r="A216" t="s">
        <v>3577</v>
      </c>
      <c r="B216" t="str">
        <f>IF(ISERROR(VLOOKUP(F216,STEP!A:A, 1, FALSE)), "N", "Y")</f>
        <v>N</v>
      </c>
      <c r="C216" t="str">
        <f>IF(ISERROR(VLOOKUP(E216, BibleInEveryLanguageTexts!A:A, 1, FALSE)), "N", "Y")</f>
        <v>N</v>
      </c>
      <c r="D216" t="str">
        <f t="shared" si="6"/>
        <v>X</v>
      </c>
      <c r="E216" t="s">
        <v>3578</v>
      </c>
      <c r="F216" t="s">
        <v>3579</v>
      </c>
      <c r="G216" t="s">
        <v>2833</v>
      </c>
      <c r="H216" t="s">
        <v>3580</v>
      </c>
      <c r="I216" t="s">
        <v>2647</v>
      </c>
      <c r="J216" t="str">
        <f>IF(0 = IFERROR(VLOOKUP(DBL_FullList!I216, ContactsDbl!B:D, 2, FALSE), ""), "", IFERROR(VLOOKUP(DBL_FullList!I216, ContactsDbl!B:D, 2, FALSE), ""))</f>
        <v>info@biblesociety-uganda.org</v>
      </c>
      <c r="K216" t="str">
        <f>IF(0 = IFERROR(VLOOKUP(DBL_FullList!I216,ContactsDbl!B:D, 3, FALSE), ""), "", IFERROR(VLOOKUP(DBL_FullList!I216, ContactsDbl!B:D, 3, FALSE), ""))</f>
        <v>http://www.biblesociety-uganda.org/</v>
      </c>
      <c r="L216">
        <f t="shared" si="7"/>
        <v>2</v>
      </c>
    </row>
    <row r="217" spans="1:12" x14ac:dyDescent="0.25">
      <c r="A217" t="s">
        <v>3581</v>
      </c>
      <c r="B217" t="str">
        <f>IF(ISERROR(VLOOKUP(F217,STEP!A:A, 1, FALSE)), "N", "Y")</f>
        <v>N</v>
      </c>
      <c r="C217" t="str">
        <f>IF(ISERROR(VLOOKUP(E217, BibleInEveryLanguageTexts!A:A, 1, FALSE)), "N", "Y")</f>
        <v>N</v>
      </c>
      <c r="D217" t="str">
        <f t="shared" si="6"/>
        <v>X</v>
      </c>
      <c r="E217" t="s">
        <v>3582</v>
      </c>
      <c r="F217" t="s">
        <v>3583</v>
      </c>
      <c r="G217" t="s">
        <v>3584</v>
      </c>
      <c r="H217" t="s">
        <v>3585</v>
      </c>
      <c r="I217" t="s">
        <v>2045</v>
      </c>
      <c r="J217" t="str">
        <f>IF(0 = IFERROR(VLOOKUP(DBL_FullList!I217, ContactsDbl!B:D, 2, FALSE), ""), "", IFERROR(VLOOKUP(DBL_FullList!I217, ContactsDbl!B:D, 2, FALSE), ""))</f>
        <v/>
      </c>
      <c r="K217" t="str">
        <f>IF(0 = IFERROR(VLOOKUP(DBL_FullList!I217,ContactsDbl!B:D, 3, FALSE), ""), "", IFERROR(VLOOKUP(DBL_FullList!I217, ContactsDbl!B:D, 3, FALSE), ""))</f>
        <v/>
      </c>
      <c r="L217">
        <f t="shared" si="7"/>
        <v>0</v>
      </c>
    </row>
    <row r="218" spans="1:12" x14ac:dyDescent="0.25">
      <c r="A218" t="s">
        <v>3586</v>
      </c>
      <c r="B218" t="str">
        <f>IF(ISERROR(VLOOKUP(F218,STEP!A:A, 1, FALSE)), "N", "Y")</f>
        <v>Y</v>
      </c>
      <c r="C218" t="str">
        <f>IF(ISERROR(VLOOKUP(E218, BibleInEveryLanguageTexts!A:A, 1, FALSE)), "N", "Y")</f>
        <v>N</v>
      </c>
      <c r="D218" t="str">
        <f t="shared" si="6"/>
        <v/>
      </c>
      <c r="E218" t="s">
        <v>3587</v>
      </c>
      <c r="F218" t="s">
        <v>3588</v>
      </c>
      <c r="G218" t="s">
        <v>48</v>
      </c>
      <c r="H218" t="s">
        <v>3589</v>
      </c>
      <c r="I218" t="s">
        <v>2661</v>
      </c>
      <c r="J218" t="str">
        <f>IF(0 = IFERROR(VLOOKUP(DBL_FullList!I218, ContactsDbl!B:D, 2, FALSE), ""), "", IFERROR(VLOOKUP(DBL_FullList!I218, ContactsDbl!B:D, 2, FALSE), ""))</f>
        <v>dbladmin_intl@sil.org</v>
      </c>
      <c r="K218" t="str">
        <f>IF(0 = IFERROR(VLOOKUP(DBL_FullList!I218,ContactsDbl!B:D, 3, FALSE), ""), "", IFERROR(VLOOKUP(DBL_FullList!I218, ContactsDbl!B:D, 3, FALSE), ""))</f>
        <v>http://www.wycliffe.org</v>
      </c>
      <c r="L218">
        <f t="shared" si="7"/>
        <v>2</v>
      </c>
    </row>
    <row r="219" spans="1:12" x14ac:dyDescent="0.25">
      <c r="A219" t="s">
        <v>3590</v>
      </c>
      <c r="B219" t="str">
        <f>IF(ISERROR(VLOOKUP(F219,STEP!A:A, 1, FALSE)), "N", "Y")</f>
        <v>N</v>
      </c>
      <c r="C219" t="str">
        <f>IF(ISERROR(VLOOKUP(E219, BibleInEveryLanguageTexts!A:A, 1, FALSE)), "N", "Y")</f>
        <v>N</v>
      </c>
      <c r="D219" t="str">
        <f t="shared" si="6"/>
        <v>X</v>
      </c>
      <c r="E219" t="s">
        <v>3591</v>
      </c>
      <c r="F219" t="s">
        <v>3592</v>
      </c>
      <c r="G219" t="s">
        <v>2723</v>
      </c>
      <c r="H219" t="s">
        <v>3593</v>
      </c>
      <c r="I219" t="s">
        <v>2661</v>
      </c>
      <c r="J219" t="str">
        <f>IF(0 = IFERROR(VLOOKUP(DBL_FullList!I219, ContactsDbl!B:D, 2, FALSE), ""), "", IFERROR(VLOOKUP(DBL_FullList!I219, ContactsDbl!B:D, 2, FALSE), ""))</f>
        <v>dbladmin_intl@sil.org</v>
      </c>
      <c r="K219" t="str">
        <f>IF(0 = IFERROR(VLOOKUP(DBL_FullList!I219,ContactsDbl!B:D, 3, FALSE), ""), "", IFERROR(VLOOKUP(DBL_FullList!I219, ContactsDbl!B:D, 3, FALSE), ""))</f>
        <v>http://www.wycliffe.org</v>
      </c>
      <c r="L219">
        <f t="shared" si="7"/>
        <v>2</v>
      </c>
    </row>
    <row r="220" spans="1:12" x14ac:dyDescent="0.25">
      <c r="A220" t="s">
        <v>3594</v>
      </c>
      <c r="B220" t="str">
        <f>IF(ISERROR(VLOOKUP(F220,STEP!A:A, 1, FALSE)), "N", "Y")</f>
        <v>Y</v>
      </c>
      <c r="C220" t="str">
        <f>IF(ISERROR(VLOOKUP(E220, BibleInEveryLanguageTexts!A:A, 1, FALSE)), "N", "Y")</f>
        <v>N</v>
      </c>
      <c r="D220" t="str">
        <f t="shared" si="6"/>
        <v/>
      </c>
      <c r="E220" t="s">
        <v>3595</v>
      </c>
      <c r="F220" t="s">
        <v>3596</v>
      </c>
      <c r="G220" t="s">
        <v>48</v>
      </c>
      <c r="H220" t="s">
        <v>1598</v>
      </c>
      <c r="I220" t="s">
        <v>2661</v>
      </c>
      <c r="J220" t="str">
        <f>IF(0 = IFERROR(VLOOKUP(DBL_FullList!I220, ContactsDbl!B:D, 2, FALSE), ""), "", IFERROR(VLOOKUP(DBL_FullList!I220, ContactsDbl!B:D, 2, FALSE), ""))</f>
        <v>dbladmin_intl@sil.org</v>
      </c>
      <c r="K220" t="str">
        <f>IF(0 = IFERROR(VLOOKUP(DBL_FullList!I220,ContactsDbl!B:D, 3, FALSE), ""), "", IFERROR(VLOOKUP(DBL_FullList!I220, ContactsDbl!B:D, 3, FALSE), ""))</f>
        <v>http://www.wycliffe.org</v>
      </c>
      <c r="L220">
        <f t="shared" si="7"/>
        <v>2</v>
      </c>
    </row>
    <row r="221" spans="1:12" x14ac:dyDescent="0.25">
      <c r="A221" t="s">
        <v>3597</v>
      </c>
      <c r="B221" t="str">
        <f>IF(ISERROR(VLOOKUP(F221,STEP!A:A, 1, FALSE)), "N", "Y")</f>
        <v>N</v>
      </c>
      <c r="C221" t="str">
        <f>IF(ISERROR(VLOOKUP(E221, BibleInEveryLanguageTexts!A:A, 1, FALSE)), "N", "Y")</f>
        <v>N</v>
      </c>
      <c r="D221" t="str">
        <f t="shared" si="6"/>
        <v>X</v>
      </c>
      <c r="E221" t="s">
        <v>3598</v>
      </c>
      <c r="F221" t="s">
        <v>3599</v>
      </c>
      <c r="G221" t="s">
        <v>3600</v>
      </c>
      <c r="H221" t="s">
        <v>3601</v>
      </c>
      <c r="I221" t="s">
        <v>2336</v>
      </c>
      <c r="J221" t="str">
        <f>IF(0 = IFERROR(VLOOKUP(DBL_FullList!I221, ContactsDbl!B:D, 2, FALSE), ""), "", IFERROR(VLOOKUP(DBL_FullList!I221, ContactsDbl!B:D, 2, FALSE), ""))</f>
        <v>info@bsisrael.com</v>
      </c>
      <c r="K221" t="str">
        <f>IF(0 = IFERROR(VLOOKUP(DBL_FullList!I221,ContactsDbl!B:D, 3, FALSE), ""), "", IFERROR(VLOOKUP(DBL_FullList!I221, ContactsDbl!B:D, 3, FALSE), ""))</f>
        <v>http://www.biblesocietyinisrael.com/</v>
      </c>
      <c r="L221">
        <f t="shared" si="7"/>
        <v>2</v>
      </c>
    </row>
    <row r="222" spans="1:12" x14ac:dyDescent="0.25">
      <c r="A222" t="s">
        <v>3602</v>
      </c>
      <c r="B222" t="str">
        <f>IF(ISERROR(VLOOKUP(F222,STEP!A:A, 1, FALSE)), "N", "Y")</f>
        <v>N</v>
      </c>
      <c r="C222" t="str">
        <f>IF(ISERROR(VLOOKUP(E222, BibleInEveryLanguageTexts!A:A, 1, FALSE)), "N", "Y")</f>
        <v>N</v>
      </c>
      <c r="D222" t="str">
        <f t="shared" si="6"/>
        <v>X</v>
      </c>
      <c r="E222" t="s">
        <v>3603</v>
      </c>
      <c r="F222" t="s">
        <v>3604</v>
      </c>
      <c r="G222" t="s">
        <v>3065</v>
      </c>
      <c r="H222" t="s">
        <v>3605</v>
      </c>
      <c r="I222" t="s">
        <v>2661</v>
      </c>
      <c r="J222" t="str">
        <f>IF(0 = IFERROR(VLOOKUP(DBL_FullList!I222, ContactsDbl!B:D, 2, FALSE), ""), "", IFERROR(VLOOKUP(DBL_FullList!I222, ContactsDbl!B:D, 2, FALSE), ""))</f>
        <v>dbladmin_intl@sil.org</v>
      </c>
      <c r="K222" t="str">
        <f>IF(0 = IFERROR(VLOOKUP(DBL_FullList!I222,ContactsDbl!B:D, 3, FALSE), ""), "", IFERROR(VLOOKUP(DBL_FullList!I222, ContactsDbl!B:D, 3, FALSE), ""))</f>
        <v>http://www.wycliffe.org</v>
      </c>
      <c r="L222">
        <f t="shared" si="7"/>
        <v>2</v>
      </c>
    </row>
    <row r="223" spans="1:12" x14ac:dyDescent="0.25">
      <c r="A223" t="s">
        <v>3606</v>
      </c>
      <c r="B223" t="str">
        <f>IF(ISERROR(VLOOKUP(F223,STEP!A:A, 1, FALSE)), "N", "Y")</f>
        <v>N</v>
      </c>
      <c r="C223" t="str">
        <f>IF(ISERROR(VLOOKUP(E223, BibleInEveryLanguageTexts!A:A, 1, FALSE)), "N", "Y")</f>
        <v>N</v>
      </c>
      <c r="D223" t="str">
        <f t="shared" si="6"/>
        <v>X</v>
      </c>
      <c r="E223" t="s">
        <v>3607</v>
      </c>
      <c r="F223" t="s">
        <v>3608</v>
      </c>
      <c r="G223" t="s">
        <v>3609</v>
      </c>
      <c r="H223" t="s">
        <v>3610</v>
      </c>
      <c r="I223" t="s">
        <v>3104</v>
      </c>
      <c r="J223" t="str">
        <f>IF(0 = IFERROR(VLOOKUP(DBL_FullList!I223, ContactsDbl!B:D, 2, FALSE), ""), "", IFERROR(VLOOKUP(DBL_FullList!I223, ContactsDbl!B:D, 2, FALSE), ""))</f>
        <v/>
      </c>
      <c r="K223" t="str">
        <f>IF(0 = IFERROR(VLOOKUP(DBL_FullList!I223,ContactsDbl!B:D, 3, FALSE), ""), "", IFERROR(VLOOKUP(DBL_FullList!I223, ContactsDbl!B:D, 3, FALSE), ""))</f>
        <v/>
      </c>
      <c r="L223">
        <f t="shared" si="7"/>
        <v>0</v>
      </c>
    </row>
    <row r="224" spans="1:12" x14ac:dyDescent="0.25">
      <c r="A224" t="s">
        <v>3611</v>
      </c>
      <c r="B224" t="str">
        <f>IF(ISERROR(VLOOKUP(F224,STEP!A:A, 1, FALSE)), "N", "Y")</f>
        <v>N</v>
      </c>
      <c r="C224" t="str">
        <f>IF(ISERROR(VLOOKUP(E224, BibleInEveryLanguageTexts!A:A, 1, FALSE)), "N", "Y")</f>
        <v>N</v>
      </c>
      <c r="D224" t="str">
        <f t="shared" si="6"/>
        <v>X</v>
      </c>
      <c r="E224" t="s">
        <v>3612</v>
      </c>
      <c r="F224" t="s">
        <v>3613</v>
      </c>
      <c r="G224" t="s">
        <v>2908</v>
      </c>
      <c r="H224" t="s">
        <v>3614</v>
      </c>
      <c r="I224" t="s">
        <v>2647</v>
      </c>
      <c r="J224" t="str">
        <f>IF(0 = IFERROR(VLOOKUP(DBL_FullList!I224, ContactsDbl!B:D, 2, FALSE), ""), "", IFERROR(VLOOKUP(DBL_FullList!I224, ContactsDbl!B:D, 2, FALSE), ""))</f>
        <v>info@biblesociety-uganda.org</v>
      </c>
      <c r="K224" t="str">
        <f>IF(0 = IFERROR(VLOOKUP(DBL_FullList!I224,ContactsDbl!B:D, 3, FALSE), ""), "", IFERROR(VLOOKUP(DBL_FullList!I224, ContactsDbl!B:D, 3, FALSE), ""))</f>
        <v>http://www.biblesociety-uganda.org/</v>
      </c>
      <c r="L224">
        <f t="shared" si="7"/>
        <v>2</v>
      </c>
    </row>
    <row r="225" spans="1:12" x14ac:dyDescent="0.25">
      <c r="A225" t="s">
        <v>3615</v>
      </c>
      <c r="B225" t="str">
        <f>IF(ISERROR(VLOOKUP(F225,STEP!A:A, 1, FALSE)), "N", "Y")</f>
        <v>N</v>
      </c>
      <c r="C225" t="str">
        <f>IF(ISERROR(VLOOKUP(E225, BibleInEveryLanguageTexts!A:A, 1, FALSE)), "N", "Y")</f>
        <v>N</v>
      </c>
      <c r="D225" t="str">
        <f t="shared" si="6"/>
        <v>X</v>
      </c>
      <c r="E225" t="s">
        <v>3616</v>
      </c>
      <c r="F225" t="s">
        <v>3617</v>
      </c>
      <c r="G225" t="s">
        <v>20</v>
      </c>
      <c r="H225" t="s">
        <v>3618</v>
      </c>
      <c r="I225" t="s">
        <v>2329</v>
      </c>
      <c r="J225" t="str">
        <f>IF(0 = IFERROR(VLOOKUP(DBL_FullList!I225, ContactsDbl!B:D, 2, FALSE), ""), "", IFERROR(VLOOKUP(DBL_FullList!I225, ContactsDbl!B:D, 2, FALSE), ""))</f>
        <v/>
      </c>
      <c r="K225" t="str">
        <f>IF(0 = IFERROR(VLOOKUP(DBL_FullList!I225,ContactsDbl!B:D, 3, FALSE), ""), "", IFERROR(VLOOKUP(DBL_FullList!I225, ContactsDbl!B:D, 3, FALSE), ""))</f>
        <v>http://www.bsind.org/</v>
      </c>
      <c r="L225">
        <f t="shared" si="7"/>
        <v>1</v>
      </c>
    </row>
    <row r="226" spans="1:12" x14ac:dyDescent="0.25">
      <c r="A226" t="s">
        <v>3619</v>
      </c>
      <c r="B226" t="str">
        <f>IF(ISERROR(VLOOKUP(F226,STEP!A:A, 1, FALSE)), "N", "Y")</f>
        <v>N</v>
      </c>
      <c r="C226" t="str">
        <f>IF(ISERROR(VLOOKUP(E226, BibleInEveryLanguageTexts!A:A, 1, FALSE)), "N", "Y")</f>
        <v>N</v>
      </c>
      <c r="D226" t="str">
        <f t="shared" si="6"/>
        <v>X</v>
      </c>
      <c r="E226" t="s">
        <v>3620</v>
      </c>
      <c r="F226" t="s">
        <v>3621</v>
      </c>
      <c r="G226" t="s">
        <v>48</v>
      </c>
      <c r="H226" t="s">
        <v>3622</v>
      </c>
      <c r="I226" t="s">
        <v>2661</v>
      </c>
      <c r="J226" t="str">
        <f>IF(0 = IFERROR(VLOOKUP(DBL_FullList!I226, ContactsDbl!B:D, 2, FALSE), ""), "", IFERROR(VLOOKUP(DBL_FullList!I226, ContactsDbl!B:D, 2, FALSE), ""))</f>
        <v>dbladmin_intl@sil.org</v>
      </c>
      <c r="K226" t="str">
        <f>IF(0 = IFERROR(VLOOKUP(DBL_FullList!I226,ContactsDbl!B:D, 3, FALSE), ""), "", IFERROR(VLOOKUP(DBL_FullList!I226, ContactsDbl!B:D, 3, FALSE), ""))</f>
        <v>http://www.wycliffe.org</v>
      </c>
      <c r="L226">
        <f t="shared" si="7"/>
        <v>2</v>
      </c>
    </row>
    <row r="227" spans="1:12" x14ac:dyDescent="0.25">
      <c r="A227" t="s">
        <v>3623</v>
      </c>
      <c r="B227" t="str">
        <f>IF(ISERROR(VLOOKUP(F227,STEP!A:A, 1, FALSE)), "N", "Y")</f>
        <v>N</v>
      </c>
      <c r="C227" t="str">
        <f>IF(ISERROR(VLOOKUP(E227, BibleInEveryLanguageTexts!A:A, 1, FALSE)), "N", "Y")</f>
        <v>N</v>
      </c>
      <c r="D227" t="str">
        <f t="shared" si="6"/>
        <v>X</v>
      </c>
      <c r="E227" t="s">
        <v>3624</v>
      </c>
      <c r="F227" t="s">
        <v>3625</v>
      </c>
      <c r="G227" t="s">
        <v>20</v>
      </c>
      <c r="H227" t="s">
        <v>3626</v>
      </c>
      <c r="I227" t="s">
        <v>2329</v>
      </c>
      <c r="J227" t="str">
        <f>IF(0 = IFERROR(VLOOKUP(DBL_FullList!I227, ContactsDbl!B:D, 2, FALSE), ""), "", IFERROR(VLOOKUP(DBL_FullList!I227, ContactsDbl!B:D, 2, FALSE), ""))</f>
        <v/>
      </c>
      <c r="K227" t="str">
        <f>IF(0 = IFERROR(VLOOKUP(DBL_FullList!I227,ContactsDbl!B:D, 3, FALSE), ""), "", IFERROR(VLOOKUP(DBL_FullList!I227, ContactsDbl!B:D, 3, FALSE), ""))</f>
        <v>http://www.bsind.org/</v>
      </c>
      <c r="L227">
        <f t="shared" si="7"/>
        <v>1</v>
      </c>
    </row>
    <row r="228" spans="1:12" x14ac:dyDescent="0.25">
      <c r="A228" t="s">
        <v>3627</v>
      </c>
      <c r="B228" t="str">
        <f>IF(ISERROR(VLOOKUP(F228,STEP!A:A, 1, FALSE)), "N", "Y")</f>
        <v>Y</v>
      </c>
      <c r="C228" t="str">
        <f>IF(ISERROR(VLOOKUP(E228, BibleInEveryLanguageTexts!A:A, 1, FALSE)), "N", "Y")</f>
        <v>N</v>
      </c>
      <c r="D228" t="str">
        <f t="shared" si="6"/>
        <v/>
      </c>
      <c r="E228" t="s">
        <v>3628</v>
      </c>
      <c r="F228" t="s">
        <v>3629</v>
      </c>
      <c r="G228" t="s">
        <v>48</v>
      </c>
      <c r="H228" t="s">
        <v>3630</v>
      </c>
      <c r="I228" t="s">
        <v>2661</v>
      </c>
      <c r="J228" t="str">
        <f>IF(0 = IFERROR(VLOOKUP(DBL_FullList!I228, ContactsDbl!B:D, 2, FALSE), ""), "", IFERROR(VLOOKUP(DBL_FullList!I228, ContactsDbl!B:D, 2, FALSE), ""))</f>
        <v>dbladmin_intl@sil.org</v>
      </c>
      <c r="K228" t="str">
        <f>IF(0 = IFERROR(VLOOKUP(DBL_FullList!I228,ContactsDbl!B:D, 3, FALSE), ""), "", IFERROR(VLOOKUP(DBL_FullList!I228, ContactsDbl!B:D, 3, FALSE), ""))</f>
        <v>http://www.wycliffe.org</v>
      </c>
      <c r="L228">
        <f t="shared" si="7"/>
        <v>2</v>
      </c>
    </row>
    <row r="229" spans="1:12" x14ac:dyDescent="0.25">
      <c r="A229" t="s">
        <v>3631</v>
      </c>
      <c r="B229" t="str">
        <f>IF(ISERROR(VLOOKUP(F229,STEP!A:A, 1, FALSE)), "N", "Y")</f>
        <v>N</v>
      </c>
      <c r="C229" t="str">
        <f>IF(ISERROR(VLOOKUP(E229, BibleInEveryLanguageTexts!A:A, 1, FALSE)), "N", "Y")</f>
        <v>N</v>
      </c>
      <c r="D229" t="str">
        <f t="shared" si="6"/>
        <v>X</v>
      </c>
      <c r="E229" t="s">
        <v>3632</v>
      </c>
      <c r="F229" t="s">
        <v>3633</v>
      </c>
      <c r="G229" t="s">
        <v>3634</v>
      </c>
      <c r="H229" t="s">
        <v>3635</v>
      </c>
      <c r="I229" t="s">
        <v>2296</v>
      </c>
      <c r="J229" t="str">
        <f>IF(0 = IFERROR(VLOOKUP(DBL_FullList!I229, ContactsDbl!B:D, 2, FALSE), ""), "", IFERROR(VLOOKUP(DBL_FullList!I229, ContactsDbl!B:D, 2, FALSE), ""))</f>
        <v>gjergj@biblesocieties.org</v>
      </c>
      <c r="K229" t="str">
        <f>IF(0 = IFERROR(VLOOKUP(DBL_FullList!I229,ContactsDbl!B:D, 3, FALSE), ""), "", IFERROR(VLOOKUP(DBL_FullList!I229, ContactsDbl!B:D, 3, FALSE), ""))</f>
        <v>http://albanianbiblesociety.com</v>
      </c>
      <c r="L229">
        <f t="shared" si="7"/>
        <v>2</v>
      </c>
    </row>
    <row r="230" spans="1:12" x14ac:dyDescent="0.25">
      <c r="A230" t="s">
        <v>3636</v>
      </c>
      <c r="B230" t="str">
        <f>IF(ISERROR(VLOOKUP(F230,STEP!A:A, 1, FALSE)), "N", "Y")</f>
        <v>N</v>
      </c>
      <c r="C230" t="str">
        <f>IF(ISERROR(VLOOKUP(E230, BibleInEveryLanguageTexts!A:A, 1, FALSE)), "N", "Y")</f>
        <v>N</v>
      </c>
      <c r="D230" t="str">
        <f t="shared" si="6"/>
        <v>X</v>
      </c>
      <c r="E230" t="s">
        <v>3582</v>
      </c>
      <c r="F230" t="s">
        <v>3583</v>
      </c>
      <c r="G230" t="s">
        <v>3584</v>
      </c>
      <c r="H230" t="s">
        <v>3637</v>
      </c>
      <c r="I230" t="s">
        <v>2045</v>
      </c>
      <c r="J230" t="str">
        <f>IF(0 = IFERROR(VLOOKUP(DBL_FullList!I230, ContactsDbl!B:D, 2, FALSE), ""), "", IFERROR(VLOOKUP(DBL_FullList!I230, ContactsDbl!B:D, 2, FALSE), ""))</f>
        <v/>
      </c>
      <c r="K230" t="str">
        <f>IF(0 = IFERROR(VLOOKUP(DBL_FullList!I230,ContactsDbl!B:D, 3, FALSE), ""), "", IFERROR(VLOOKUP(DBL_FullList!I230, ContactsDbl!B:D, 3, FALSE), ""))</f>
        <v/>
      </c>
      <c r="L230">
        <f t="shared" si="7"/>
        <v>0</v>
      </c>
    </row>
    <row r="231" spans="1:12" x14ac:dyDescent="0.25">
      <c r="A231" t="s">
        <v>3638</v>
      </c>
      <c r="B231" t="str">
        <f>IF(ISERROR(VLOOKUP(F231,STEP!A:A, 1, FALSE)), "N", "Y")</f>
        <v>N</v>
      </c>
      <c r="C231" t="str">
        <f>IF(ISERROR(VLOOKUP(E231, BibleInEveryLanguageTexts!A:A, 1, FALSE)), "N", "Y")</f>
        <v>N</v>
      </c>
      <c r="D231" t="str">
        <f t="shared" si="6"/>
        <v>X</v>
      </c>
      <c r="E231" t="s">
        <v>3639</v>
      </c>
      <c r="F231" t="s">
        <v>3640</v>
      </c>
      <c r="G231" t="s">
        <v>3281</v>
      </c>
      <c r="H231" t="s">
        <v>3364</v>
      </c>
      <c r="I231" t="s">
        <v>2417</v>
      </c>
      <c r="J231" t="str">
        <f>IF(0 = IFERROR(VLOOKUP(DBL_FullList!I231, ContactsDbl!B:D, 2, FALSE), ""), "", IFERROR(VLOOKUP(DBL_FullList!I231, ContactsDbl!B:D, 2, FALSE), ""))</f>
        <v>mathewpunnoose@biblemalaysia.org</v>
      </c>
      <c r="K231" t="str">
        <f>IF(0 = IFERROR(VLOOKUP(DBL_FullList!I231,ContactsDbl!B:D, 3, FALSE), ""), "", IFERROR(VLOOKUP(DBL_FullList!I231, ContactsDbl!B:D, 3, FALSE), ""))</f>
        <v>http://www.bible.org.my/</v>
      </c>
      <c r="L231">
        <f t="shared" si="7"/>
        <v>2</v>
      </c>
    </row>
    <row r="232" spans="1:12" x14ac:dyDescent="0.25">
      <c r="A232" t="s">
        <v>3641</v>
      </c>
      <c r="B232" t="str">
        <f>IF(ISERROR(VLOOKUP(F232,STEP!A:A, 1, FALSE)), "N", "Y")</f>
        <v>N</v>
      </c>
      <c r="C232" t="str">
        <f>IF(ISERROR(VLOOKUP(E232, BibleInEveryLanguageTexts!A:A, 1, FALSE)), "N", "Y")</f>
        <v>N</v>
      </c>
      <c r="D232" t="str">
        <f t="shared" si="6"/>
        <v>X</v>
      </c>
      <c r="E232" t="s">
        <v>3642</v>
      </c>
      <c r="F232" t="s">
        <v>3643</v>
      </c>
      <c r="G232" t="s">
        <v>3644</v>
      </c>
      <c r="H232" t="s">
        <v>3645</v>
      </c>
      <c r="I232" t="s">
        <v>2284</v>
      </c>
      <c r="J232" t="str">
        <f>IF(0 = IFERROR(VLOOKUP(DBL_FullList!I232, ContactsDbl!B:D, 2, FALSE), ""), "", IFERROR(VLOOKUP(DBL_FullList!I232, ContactsDbl!B:D, 2, FALSE), ""))</f>
        <v>info@sbuhn.org</v>
      </c>
      <c r="K232" t="str">
        <f>IF(0 = IFERROR(VLOOKUP(DBL_FullList!I232,ContactsDbl!B:D, 3, FALSE), ""), "", IFERROR(VLOOKUP(DBL_FullList!I232, ContactsDbl!B:D, 3, FALSE), ""))</f>
        <v>http://www.sbuhn.org/</v>
      </c>
      <c r="L232">
        <f t="shared" si="7"/>
        <v>2</v>
      </c>
    </row>
    <row r="233" spans="1:12" x14ac:dyDescent="0.25">
      <c r="A233" t="s">
        <v>3646</v>
      </c>
      <c r="B233" t="str">
        <f>IF(ISERROR(VLOOKUP(F233,STEP!A:A, 1, FALSE)), "N", "Y")</f>
        <v>N</v>
      </c>
      <c r="C233" t="str">
        <f>IF(ISERROR(VLOOKUP(E233, BibleInEveryLanguageTexts!A:A, 1, FALSE)), "N", "Y")</f>
        <v>N</v>
      </c>
      <c r="D233" t="str">
        <f t="shared" si="6"/>
        <v>X</v>
      </c>
      <c r="E233" t="s">
        <v>3647</v>
      </c>
      <c r="F233" t="s">
        <v>3648</v>
      </c>
      <c r="G233" t="s">
        <v>11</v>
      </c>
      <c r="H233" t="s">
        <v>3649</v>
      </c>
      <c r="I233" t="s">
        <v>2661</v>
      </c>
      <c r="J233" t="str">
        <f>IF(0 = IFERROR(VLOOKUP(DBL_FullList!I233, ContactsDbl!B:D, 2, FALSE), ""), "", IFERROR(VLOOKUP(DBL_FullList!I233, ContactsDbl!B:D, 2, FALSE), ""))</f>
        <v>dbladmin_intl@sil.org</v>
      </c>
      <c r="K233" t="str">
        <f>IF(0 = IFERROR(VLOOKUP(DBL_FullList!I233,ContactsDbl!B:D, 3, FALSE), ""), "", IFERROR(VLOOKUP(DBL_FullList!I233, ContactsDbl!B:D, 3, FALSE), ""))</f>
        <v>http://www.wycliffe.org</v>
      </c>
      <c r="L233">
        <f t="shared" si="7"/>
        <v>2</v>
      </c>
    </row>
    <row r="234" spans="1:12" x14ac:dyDescent="0.25">
      <c r="A234" t="s">
        <v>3650</v>
      </c>
      <c r="B234" t="str">
        <f>IF(ISERROR(VLOOKUP(F234,STEP!A:A, 1, FALSE)), "N", "Y")</f>
        <v>N</v>
      </c>
      <c r="C234" t="str">
        <f>IF(ISERROR(VLOOKUP(E234, BibleInEveryLanguageTexts!A:A, 1, FALSE)), "N", "Y")</f>
        <v>N</v>
      </c>
      <c r="D234" t="str">
        <f t="shared" si="6"/>
        <v>X</v>
      </c>
      <c r="E234" t="s">
        <v>3651</v>
      </c>
      <c r="F234" t="s">
        <v>3652</v>
      </c>
      <c r="G234" t="s">
        <v>3083</v>
      </c>
      <c r="H234" t="s">
        <v>3653</v>
      </c>
      <c r="I234" t="s">
        <v>2413</v>
      </c>
      <c r="J234" t="str">
        <f>IF(0 = IFERROR(VLOOKUP(DBL_FullList!I234, ContactsDbl!B:D, 2, FALSE), ""), "", IFERROR(VLOOKUP(DBL_FullList!I234, ContactsDbl!B:D, 2, FALSE), ""))</f>
        <v>info@biblesociety-mali.org</v>
      </c>
      <c r="K234" t="str">
        <f>IF(0 = IFERROR(VLOOKUP(DBL_FullList!I234,ContactsDbl!B:D, 3, FALSE), ""), "", IFERROR(VLOOKUP(DBL_FullList!I234, ContactsDbl!B:D, 3, FALSE), ""))</f>
        <v>http://www.biblesociety-mali.org</v>
      </c>
      <c r="L234">
        <f t="shared" si="7"/>
        <v>2</v>
      </c>
    </row>
    <row r="235" spans="1:12" x14ac:dyDescent="0.25">
      <c r="A235" t="s">
        <v>3654</v>
      </c>
      <c r="B235" t="str">
        <f>IF(ISERROR(VLOOKUP(F235,STEP!A:A, 1, FALSE)), "N", "Y")</f>
        <v>N</v>
      </c>
      <c r="C235" t="str">
        <f>IF(ISERROR(VLOOKUP(E235, BibleInEveryLanguageTexts!A:A, 1, FALSE)), "N", "Y")</f>
        <v>N</v>
      </c>
      <c r="D235" t="str">
        <f t="shared" si="6"/>
        <v>X</v>
      </c>
      <c r="E235" t="s">
        <v>3655</v>
      </c>
      <c r="F235" t="s">
        <v>3656</v>
      </c>
      <c r="G235" t="s">
        <v>20</v>
      </c>
      <c r="H235" t="s">
        <v>3657</v>
      </c>
      <c r="I235" t="s">
        <v>2329</v>
      </c>
      <c r="J235" t="str">
        <f>IF(0 = IFERROR(VLOOKUP(DBL_FullList!I235, ContactsDbl!B:D, 2, FALSE), ""), "", IFERROR(VLOOKUP(DBL_FullList!I235, ContactsDbl!B:D, 2, FALSE), ""))</f>
        <v/>
      </c>
      <c r="K235" t="str">
        <f>IF(0 = IFERROR(VLOOKUP(DBL_FullList!I235,ContactsDbl!B:D, 3, FALSE), ""), "", IFERROR(VLOOKUP(DBL_FullList!I235, ContactsDbl!B:D, 3, FALSE), ""))</f>
        <v>http://www.bsind.org/</v>
      </c>
      <c r="L235">
        <f t="shared" si="7"/>
        <v>1</v>
      </c>
    </row>
    <row r="236" spans="1:12" x14ac:dyDescent="0.25">
      <c r="A236" t="s">
        <v>3658</v>
      </c>
      <c r="B236" t="str">
        <f>IF(ISERROR(VLOOKUP(F236,STEP!A:A, 1, FALSE)), "N", "Y")</f>
        <v>Y</v>
      </c>
      <c r="C236" t="str">
        <f>IF(ISERROR(VLOOKUP(E236, BibleInEveryLanguageTexts!A:A, 1, FALSE)), "N", "Y")</f>
        <v>N</v>
      </c>
      <c r="D236" t="str">
        <f t="shared" si="6"/>
        <v/>
      </c>
      <c r="E236" t="s">
        <v>3659</v>
      </c>
      <c r="F236" t="s">
        <v>3660</v>
      </c>
      <c r="G236" t="s">
        <v>48</v>
      </c>
      <c r="H236" t="s">
        <v>3661</v>
      </c>
      <c r="I236" t="s">
        <v>2661</v>
      </c>
      <c r="J236" t="str">
        <f>IF(0 = IFERROR(VLOOKUP(DBL_FullList!I236, ContactsDbl!B:D, 2, FALSE), ""), "", IFERROR(VLOOKUP(DBL_FullList!I236, ContactsDbl!B:D, 2, FALSE), ""))</f>
        <v>dbladmin_intl@sil.org</v>
      </c>
      <c r="K236" t="str">
        <f>IF(0 = IFERROR(VLOOKUP(DBL_FullList!I236,ContactsDbl!B:D, 3, FALSE), ""), "", IFERROR(VLOOKUP(DBL_FullList!I236, ContactsDbl!B:D, 3, FALSE), ""))</f>
        <v>http://www.wycliffe.org</v>
      </c>
      <c r="L236">
        <f t="shared" si="7"/>
        <v>2</v>
      </c>
    </row>
    <row r="237" spans="1:12" x14ac:dyDescent="0.25">
      <c r="A237" t="s">
        <v>3662</v>
      </c>
      <c r="B237" t="str">
        <f>IF(ISERROR(VLOOKUP(F237,STEP!A:A, 1, FALSE)), "N", "Y")</f>
        <v>N</v>
      </c>
      <c r="C237" t="str">
        <f>IF(ISERROR(VLOOKUP(E237, BibleInEveryLanguageTexts!A:A, 1, FALSE)), "N", "Y")</f>
        <v>N</v>
      </c>
      <c r="D237" t="str">
        <f t="shared" si="6"/>
        <v>X</v>
      </c>
      <c r="E237" t="s">
        <v>3258</v>
      </c>
      <c r="F237" t="s">
        <v>3259</v>
      </c>
      <c r="G237" t="s">
        <v>3663</v>
      </c>
      <c r="H237" t="s">
        <v>3664</v>
      </c>
      <c r="I237" t="s">
        <v>3104</v>
      </c>
      <c r="J237" t="str">
        <f>IF(0 = IFERROR(VLOOKUP(DBL_FullList!I237, ContactsDbl!B:D, 2, FALSE), ""), "", IFERROR(VLOOKUP(DBL_FullList!I237, ContactsDbl!B:D, 2, FALSE), ""))</f>
        <v/>
      </c>
      <c r="K237" t="str">
        <f>IF(0 = IFERROR(VLOOKUP(DBL_FullList!I237,ContactsDbl!B:D, 3, FALSE), ""), "", IFERROR(VLOOKUP(DBL_FullList!I237, ContactsDbl!B:D, 3, FALSE), ""))</f>
        <v/>
      </c>
      <c r="L237">
        <f t="shared" si="7"/>
        <v>0</v>
      </c>
    </row>
    <row r="238" spans="1:12" x14ac:dyDescent="0.25">
      <c r="A238" t="s">
        <v>3665</v>
      </c>
      <c r="B238" t="str">
        <f>IF(ISERROR(VLOOKUP(F238,STEP!A:A, 1, FALSE)), "N", "Y")</f>
        <v>N</v>
      </c>
      <c r="C238" t="str">
        <f>IF(ISERROR(VLOOKUP(E238, BibleInEveryLanguageTexts!A:A, 1, FALSE)), "N", "Y")</f>
        <v>N</v>
      </c>
      <c r="D238" t="str">
        <f t="shared" si="6"/>
        <v>X</v>
      </c>
      <c r="E238" t="s">
        <v>3666</v>
      </c>
      <c r="F238" t="s">
        <v>3667</v>
      </c>
      <c r="G238" t="s">
        <v>3065</v>
      </c>
      <c r="H238" t="s">
        <v>3668</v>
      </c>
      <c r="I238" t="s">
        <v>2661</v>
      </c>
      <c r="J238" t="str">
        <f>IF(0 = IFERROR(VLOOKUP(DBL_FullList!I238, ContactsDbl!B:D, 2, FALSE), ""), "", IFERROR(VLOOKUP(DBL_FullList!I238, ContactsDbl!B:D, 2, FALSE), ""))</f>
        <v>dbladmin_intl@sil.org</v>
      </c>
      <c r="K238" t="str">
        <f>IF(0 = IFERROR(VLOOKUP(DBL_FullList!I238,ContactsDbl!B:D, 3, FALSE), ""), "", IFERROR(VLOOKUP(DBL_FullList!I238, ContactsDbl!B:D, 3, FALSE), ""))</f>
        <v>http://www.wycliffe.org</v>
      </c>
      <c r="L238">
        <f t="shared" si="7"/>
        <v>2</v>
      </c>
    </row>
    <row r="239" spans="1:12" x14ac:dyDescent="0.25">
      <c r="A239" t="s">
        <v>3669</v>
      </c>
      <c r="B239" t="str">
        <f>IF(ISERROR(VLOOKUP(F239,STEP!A:A, 1, FALSE)), "N", "Y")</f>
        <v>Y</v>
      </c>
      <c r="C239" t="str">
        <f>IF(ISERROR(VLOOKUP(E239, BibleInEveryLanguageTexts!A:A, 1, FALSE)), "N", "Y")</f>
        <v>N</v>
      </c>
      <c r="D239" t="str">
        <f t="shared" si="6"/>
        <v/>
      </c>
      <c r="E239" t="s">
        <v>3670</v>
      </c>
      <c r="F239" t="s">
        <v>3671</v>
      </c>
      <c r="G239" t="s">
        <v>48</v>
      </c>
      <c r="H239" t="s">
        <v>3672</v>
      </c>
      <c r="I239" t="s">
        <v>2661</v>
      </c>
      <c r="J239" t="str">
        <f>IF(0 = IFERROR(VLOOKUP(DBL_FullList!I239, ContactsDbl!B:D, 2, FALSE), ""), "", IFERROR(VLOOKUP(DBL_FullList!I239, ContactsDbl!B:D, 2, FALSE), ""))</f>
        <v>dbladmin_intl@sil.org</v>
      </c>
      <c r="K239" t="str">
        <f>IF(0 = IFERROR(VLOOKUP(DBL_FullList!I239,ContactsDbl!B:D, 3, FALSE), ""), "", IFERROR(VLOOKUP(DBL_FullList!I239, ContactsDbl!B:D, 3, FALSE), ""))</f>
        <v>http://www.wycliffe.org</v>
      </c>
      <c r="L239">
        <f t="shared" si="7"/>
        <v>2</v>
      </c>
    </row>
    <row r="240" spans="1:12" x14ac:dyDescent="0.25">
      <c r="A240" t="s">
        <v>3673</v>
      </c>
      <c r="B240" t="str">
        <f>IF(ISERROR(VLOOKUP(F240,STEP!A:A, 1, FALSE)), "N", "Y")</f>
        <v>N</v>
      </c>
      <c r="C240" t="str">
        <f>IF(ISERROR(VLOOKUP(E240, BibleInEveryLanguageTexts!A:A, 1, FALSE)), "N", "Y")</f>
        <v>N</v>
      </c>
      <c r="D240" t="str">
        <f t="shared" si="6"/>
        <v>X</v>
      </c>
      <c r="E240" t="s">
        <v>3674</v>
      </c>
      <c r="F240" t="s">
        <v>3675</v>
      </c>
      <c r="G240" t="s">
        <v>2984</v>
      </c>
      <c r="H240" t="s">
        <v>3676</v>
      </c>
      <c r="I240" t="s">
        <v>2456</v>
      </c>
      <c r="J240" t="str">
        <f>IF(0 = IFERROR(VLOOKUP(DBL_FullList!I240, ContactsDbl!B:D, 2, FALSE), ""), "", IFERROR(VLOOKUP(DBL_FullList!I240, ContactsDbl!B:D, 2, FALSE), ""))</f>
        <v/>
      </c>
      <c r="K240" t="str">
        <f>IF(0 = IFERROR(VLOOKUP(DBL_FullList!I240,ContactsDbl!B:D, 3, FALSE), ""), "", IFERROR(VLOOKUP(DBL_FullList!I240, ContactsDbl!B:D, 3, FALSE), ""))</f>
        <v>http://www.myanmarbible.com/</v>
      </c>
      <c r="L240">
        <f t="shared" si="7"/>
        <v>1</v>
      </c>
    </row>
    <row r="241" spans="1:12" x14ac:dyDescent="0.25">
      <c r="A241" t="s">
        <v>3677</v>
      </c>
      <c r="B241" t="str">
        <f>IF(ISERROR(VLOOKUP(F241,STEP!A:A, 1, FALSE)), "N", "Y")</f>
        <v>Y</v>
      </c>
      <c r="C241" t="str">
        <f>IF(ISERROR(VLOOKUP(E241, BibleInEveryLanguageTexts!A:A, 1, FALSE)), "N", "Y")</f>
        <v>N</v>
      </c>
      <c r="D241" t="str">
        <f t="shared" si="6"/>
        <v/>
      </c>
      <c r="E241" t="s">
        <v>3678</v>
      </c>
      <c r="F241" t="s">
        <v>3679</v>
      </c>
      <c r="G241" t="s">
        <v>48</v>
      </c>
      <c r="H241" t="s">
        <v>3680</v>
      </c>
      <c r="I241" t="s">
        <v>2661</v>
      </c>
      <c r="J241" t="str">
        <f>IF(0 = IFERROR(VLOOKUP(DBL_FullList!I241, ContactsDbl!B:D, 2, FALSE), ""), "", IFERROR(VLOOKUP(DBL_FullList!I241, ContactsDbl!B:D, 2, FALSE), ""))</f>
        <v>dbladmin_intl@sil.org</v>
      </c>
      <c r="K241" t="str">
        <f>IF(0 = IFERROR(VLOOKUP(DBL_FullList!I241,ContactsDbl!B:D, 3, FALSE), ""), "", IFERROR(VLOOKUP(DBL_FullList!I241, ContactsDbl!B:D, 3, FALSE), ""))</f>
        <v>http://www.wycliffe.org</v>
      </c>
      <c r="L241">
        <f t="shared" si="7"/>
        <v>2</v>
      </c>
    </row>
    <row r="242" spans="1:12" x14ac:dyDescent="0.25">
      <c r="A242" t="s">
        <v>3681</v>
      </c>
      <c r="B242" t="str">
        <f>IF(ISERROR(VLOOKUP(F242,STEP!A:A, 1, FALSE)), "N", "Y")</f>
        <v>N</v>
      </c>
      <c r="C242" t="str">
        <f>IF(ISERROR(VLOOKUP(E242, BibleInEveryLanguageTexts!A:A, 1, FALSE)), "N", "Y")</f>
        <v>N</v>
      </c>
      <c r="D242" t="str">
        <f t="shared" si="6"/>
        <v>X</v>
      </c>
      <c r="E242" t="s">
        <v>3682</v>
      </c>
      <c r="F242" t="s">
        <v>175</v>
      </c>
      <c r="G242" t="s">
        <v>121</v>
      </c>
      <c r="H242" t="s">
        <v>3683</v>
      </c>
      <c r="I242" t="s">
        <v>2241</v>
      </c>
      <c r="J242" t="str">
        <f>IF(0 = IFERROR(VLOOKUP(DBL_FullList!I242, ContactsDbl!B:D, 2, FALSE), ""), "", IFERROR(VLOOKUP(DBL_FullList!I242, ContactsDbl!B:D, 2, FALSE), ""))</f>
        <v>dbl@dbg.de</v>
      </c>
      <c r="K242" t="str">
        <f>IF(0 = IFERROR(VLOOKUP(DBL_FullList!I242,ContactsDbl!B:D, 3, FALSE), ""), "", IFERROR(VLOOKUP(DBL_FullList!I242, ContactsDbl!B:D, 3, FALSE), ""))</f>
        <v>http://www.die-bibel.de</v>
      </c>
      <c r="L242">
        <f t="shared" si="7"/>
        <v>2</v>
      </c>
    </row>
    <row r="243" spans="1:12" x14ac:dyDescent="0.25">
      <c r="A243" t="s">
        <v>3684</v>
      </c>
      <c r="B243" t="str">
        <f>IF(ISERROR(VLOOKUP(F243,STEP!A:A, 1, FALSE)), "N", "Y")</f>
        <v>N</v>
      </c>
      <c r="C243" t="str">
        <f>IF(ISERROR(VLOOKUP(E243, BibleInEveryLanguageTexts!A:A, 1, FALSE)), "N", "Y")</f>
        <v>N</v>
      </c>
      <c r="D243" t="str">
        <f t="shared" si="6"/>
        <v>X</v>
      </c>
      <c r="E243" t="s">
        <v>3685</v>
      </c>
      <c r="F243" t="s">
        <v>3686</v>
      </c>
      <c r="G243" t="s">
        <v>3584</v>
      </c>
      <c r="H243" t="s">
        <v>3687</v>
      </c>
      <c r="I243" t="s">
        <v>2045</v>
      </c>
      <c r="J243" t="str">
        <f>IF(0 = IFERROR(VLOOKUP(DBL_FullList!I243, ContactsDbl!B:D, 2, FALSE), ""), "", IFERROR(VLOOKUP(DBL_FullList!I243, ContactsDbl!B:D, 2, FALSE), ""))</f>
        <v/>
      </c>
      <c r="K243" t="str">
        <f>IF(0 = IFERROR(VLOOKUP(DBL_FullList!I243,ContactsDbl!B:D, 3, FALSE), ""), "", IFERROR(VLOOKUP(DBL_FullList!I243, ContactsDbl!B:D, 3, FALSE), ""))</f>
        <v/>
      </c>
      <c r="L243">
        <f t="shared" si="7"/>
        <v>0</v>
      </c>
    </row>
    <row r="244" spans="1:12" x14ac:dyDescent="0.25">
      <c r="A244" t="s">
        <v>3688</v>
      </c>
      <c r="B244" t="str">
        <f>IF(ISERROR(VLOOKUP(F244,STEP!A:A, 1, FALSE)), "N", "Y")</f>
        <v>Y</v>
      </c>
      <c r="C244" t="str">
        <f>IF(ISERROR(VLOOKUP(E244, BibleInEveryLanguageTexts!A:A, 1, FALSE)), "N", "Y")</f>
        <v>N</v>
      </c>
      <c r="D244" t="str">
        <f t="shared" si="6"/>
        <v/>
      </c>
      <c r="E244" t="s">
        <v>3689</v>
      </c>
      <c r="F244" t="s">
        <v>3690</v>
      </c>
      <c r="G244" t="s">
        <v>48</v>
      </c>
      <c r="H244" t="s">
        <v>3691</v>
      </c>
      <c r="I244" t="s">
        <v>2661</v>
      </c>
      <c r="J244" t="str">
        <f>IF(0 = IFERROR(VLOOKUP(DBL_FullList!I244, ContactsDbl!B:D, 2, FALSE), ""), "", IFERROR(VLOOKUP(DBL_FullList!I244, ContactsDbl!B:D, 2, FALSE), ""))</f>
        <v>dbladmin_intl@sil.org</v>
      </c>
      <c r="K244" t="str">
        <f>IF(0 = IFERROR(VLOOKUP(DBL_FullList!I244,ContactsDbl!B:D, 3, FALSE), ""), "", IFERROR(VLOOKUP(DBL_FullList!I244, ContactsDbl!B:D, 3, FALSE), ""))</f>
        <v>http://www.wycliffe.org</v>
      </c>
      <c r="L244">
        <f t="shared" si="7"/>
        <v>2</v>
      </c>
    </row>
    <row r="245" spans="1:12" x14ac:dyDescent="0.25">
      <c r="A245" t="s">
        <v>3692</v>
      </c>
      <c r="B245" t="str">
        <f>IF(ISERROR(VLOOKUP(F245,STEP!A:A, 1, FALSE)), "N", "Y")</f>
        <v>N</v>
      </c>
      <c r="C245" t="str">
        <f>IF(ISERROR(VLOOKUP(E245, BibleInEveryLanguageTexts!A:A, 1, FALSE)), "N", "Y")</f>
        <v>N</v>
      </c>
      <c r="D245" t="str">
        <f t="shared" si="6"/>
        <v>X</v>
      </c>
      <c r="E245" t="s">
        <v>3693</v>
      </c>
      <c r="F245" t="s">
        <v>3694</v>
      </c>
      <c r="G245" t="s">
        <v>25</v>
      </c>
      <c r="H245" t="s">
        <v>3695</v>
      </c>
      <c r="I245" t="s">
        <v>2661</v>
      </c>
      <c r="J245" t="str">
        <f>IF(0 = IFERROR(VLOOKUP(DBL_FullList!I245, ContactsDbl!B:D, 2, FALSE), ""), "", IFERROR(VLOOKUP(DBL_FullList!I245, ContactsDbl!B:D, 2, FALSE), ""))</f>
        <v>dbladmin_intl@sil.org</v>
      </c>
      <c r="K245" t="str">
        <f>IF(0 = IFERROR(VLOOKUP(DBL_FullList!I245,ContactsDbl!B:D, 3, FALSE), ""), "", IFERROR(VLOOKUP(DBL_FullList!I245, ContactsDbl!B:D, 3, FALSE), ""))</f>
        <v>http://www.wycliffe.org</v>
      </c>
      <c r="L245">
        <f t="shared" si="7"/>
        <v>2</v>
      </c>
    </row>
    <row r="246" spans="1:12" x14ac:dyDescent="0.25">
      <c r="A246" t="s">
        <v>3696</v>
      </c>
      <c r="B246" t="str">
        <f>IF(ISERROR(VLOOKUP(F246,STEP!A:A, 1, FALSE)), "N", "Y")</f>
        <v>N</v>
      </c>
      <c r="C246" t="str">
        <f>IF(ISERROR(VLOOKUP(E246, BibleInEveryLanguageTexts!A:A, 1, FALSE)), "N", "Y")</f>
        <v>N</v>
      </c>
      <c r="D246" t="str">
        <f t="shared" si="6"/>
        <v>X</v>
      </c>
      <c r="E246" t="s">
        <v>3697</v>
      </c>
      <c r="F246" t="s">
        <v>3698</v>
      </c>
      <c r="G246" t="s">
        <v>3699</v>
      </c>
      <c r="H246" t="s">
        <v>3700</v>
      </c>
      <c r="I246" t="s">
        <v>2483</v>
      </c>
      <c r="J246" t="str">
        <f>IF(0 = IFERROR(VLOOKUP(DBL_FullList!I246, ContactsDbl!B:D, 2, FALSE), ""), "", IFERROR(VLOOKUP(DBL_FullList!I246, ContactsDbl!B:D, 2, FALSE), ""))</f>
        <v>freddy.fonseca@sbnic.org</v>
      </c>
      <c r="K246" t="str">
        <f>IF(0 = IFERROR(VLOOKUP(DBL_FullList!I246,ContactsDbl!B:D, 3, FALSE), ""), "", IFERROR(VLOOKUP(DBL_FullList!I246, ContactsDbl!B:D, 3, FALSE), ""))</f>
        <v>http://www.sociedadbiblica.org.ni/</v>
      </c>
      <c r="L246">
        <f t="shared" si="7"/>
        <v>2</v>
      </c>
    </row>
    <row r="247" spans="1:12" x14ac:dyDescent="0.25">
      <c r="A247" t="s">
        <v>3701</v>
      </c>
      <c r="B247" t="str">
        <f>IF(ISERROR(VLOOKUP(F247,STEP!A:A, 1, FALSE)), "N", "Y")</f>
        <v>Y</v>
      </c>
      <c r="C247" t="str">
        <f>IF(ISERROR(VLOOKUP(E247, BibleInEveryLanguageTexts!A:A, 1, FALSE)), "N", "Y")</f>
        <v>N</v>
      </c>
      <c r="D247" t="str">
        <f t="shared" si="6"/>
        <v/>
      </c>
      <c r="E247" t="s">
        <v>3702</v>
      </c>
      <c r="F247" t="s">
        <v>3703</v>
      </c>
      <c r="G247" t="s">
        <v>48</v>
      </c>
      <c r="H247" t="s">
        <v>3704</v>
      </c>
      <c r="I247" t="s">
        <v>2661</v>
      </c>
      <c r="J247" t="str">
        <f>IF(0 = IFERROR(VLOOKUP(DBL_FullList!I247, ContactsDbl!B:D, 2, FALSE), ""), "", IFERROR(VLOOKUP(DBL_FullList!I247, ContactsDbl!B:D, 2, FALSE), ""))</f>
        <v>dbladmin_intl@sil.org</v>
      </c>
      <c r="K247" t="str">
        <f>IF(0 = IFERROR(VLOOKUP(DBL_FullList!I247,ContactsDbl!B:D, 3, FALSE), ""), "", IFERROR(VLOOKUP(DBL_FullList!I247, ContactsDbl!B:D, 3, FALSE), ""))</f>
        <v>http://www.wycliffe.org</v>
      </c>
      <c r="L247">
        <f t="shared" si="7"/>
        <v>2</v>
      </c>
    </row>
    <row r="248" spans="1:12" x14ac:dyDescent="0.25">
      <c r="A248" t="s">
        <v>3705</v>
      </c>
      <c r="B248" t="str">
        <f>IF(ISERROR(VLOOKUP(F248,STEP!A:A, 1, FALSE)), "N", "Y")</f>
        <v>N</v>
      </c>
      <c r="C248" t="str">
        <f>IF(ISERROR(VLOOKUP(E248, BibleInEveryLanguageTexts!A:A, 1, FALSE)), "N", "Y")</f>
        <v>N</v>
      </c>
      <c r="D248" t="str">
        <f t="shared" si="6"/>
        <v>X</v>
      </c>
      <c r="E248" t="s">
        <v>3706</v>
      </c>
      <c r="F248" t="s">
        <v>3707</v>
      </c>
      <c r="G248" t="s">
        <v>2743</v>
      </c>
      <c r="H248" t="s">
        <v>3708</v>
      </c>
      <c r="I248" t="s">
        <v>2073</v>
      </c>
      <c r="J248" t="str">
        <f>IF(0 = IFERROR(VLOOKUP(DBL_FullList!I248, ContactsDbl!B:D, 2, FALSE), ""), "", IFERROR(VLOOKUP(DBL_FullList!I248, ContactsDbl!B:D, 2, FALSE), ""))</f>
        <v>ajiboye@biblesociety-nigeria.org</v>
      </c>
      <c r="K248" t="str">
        <f>IF(0 = IFERROR(VLOOKUP(DBL_FullList!I248,ContactsDbl!B:D, 3, FALSE), ""), "", IFERROR(VLOOKUP(DBL_FullList!I248, ContactsDbl!B:D, 3, FALSE), ""))</f>
        <v>http://www.biblesociety-nigeria.org/</v>
      </c>
      <c r="L248">
        <f t="shared" si="7"/>
        <v>2</v>
      </c>
    </row>
    <row r="249" spans="1:12" x14ac:dyDescent="0.25">
      <c r="A249" t="s">
        <v>3709</v>
      </c>
      <c r="B249" t="str">
        <f>IF(ISERROR(VLOOKUP(F249,STEP!A:A, 1, FALSE)), "N", "Y")</f>
        <v>Y</v>
      </c>
      <c r="C249" t="str">
        <f>IF(ISERROR(VLOOKUP(E249, BibleInEveryLanguageTexts!A:A, 1, FALSE)), "N", "Y")</f>
        <v>N</v>
      </c>
      <c r="D249" t="str">
        <f t="shared" si="6"/>
        <v/>
      </c>
      <c r="E249" t="s">
        <v>2911</v>
      </c>
      <c r="F249" t="s">
        <v>2912</v>
      </c>
      <c r="G249" t="s">
        <v>48</v>
      </c>
      <c r="H249" t="s">
        <v>3710</v>
      </c>
      <c r="I249" t="s">
        <v>2661</v>
      </c>
      <c r="J249" t="str">
        <f>IF(0 = IFERROR(VLOOKUP(DBL_FullList!I249, ContactsDbl!B:D, 2, FALSE), ""), "", IFERROR(VLOOKUP(DBL_FullList!I249, ContactsDbl!B:D, 2, FALSE), ""))</f>
        <v>dbladmin_intl@sil.org</v>
      </c>
      <c r="K249" t="str">
        <f>IF(0 = IFERROR(VLOOKUP(DBL_FullList!I249,ContactsDbl!B:D, 3, FALSE), ""), "", IFERROR(VLOOKUP(DBL_FullList!I249, ContactsDbl!B:D, 3, FALSE), ""))</f>
        <v>http://www.wycliffe.org</v>
      </c>
      <c r="L249">
        <f t="shared" si="7"/>
        <v>2</v>
      </c>
    </row>
    <row r="250" spans="1:12" x14ac:dyDescent="0.25">
      <c r="A250" t="s">
        <v>3711</v>
      </c>
      <c r="B250" t="str">
        <f>IF(ISERROR(VLOOKUP(F250,STEP!A:A, 1, FALSE)), "N", "Y")</f>
        <v>Y</v>
      </c>
      <c r="C250" t="str">
        <f>IF(ISERROR(VLOOKUP(E250, BibleInEveryLanguageTexts!A:A, 1, FALSE)), "N", "Y")</f>
        <v>N</v>
      </c>
      <c r="D250" t="str">
        <f t="shared" si="6"/>
        <v/>
      </c>
      <c r="E250" t="s">
        <v>3712</v>
      </c>
      <c r="F250" t="s">
        <v>3713</v>
      </c>
      <c r="G250" t="s">
        <v>48</v>
      </c>
      <c r="H250" t="s">
        <v>3714</v>
      </c>
      <c r="I250" t="s">
        <v>2661</v>
      </c>
      <c r="J250" t="str">
        <f>IF(0 = IFERROR(VLOOKUP(DBL_FullList!I250, ContactsDbl!B:D, 2, FALSE), ""), "", IFERROR(VLOOKUP(DBL_FullList!I250, ContactsDbl!B:D, 2, FALSE), ""))</f>
        <v>dbladmin_intl@sil.org</v>
      </c>
      <c r="K250" t="str">
        <f>IF(0 = IFERROR(VLOOKUP(DBL_FullList!I250,ContactsDbl!B:D, 3, FALSE), ""), "", IFERROR(VLOOKUP(DBL_FullList!I250, ContactsDbl!B:D, 3, FALSE), ""))</f>
        <v>http://www.wycliffe.org</v>
      </c>
      <c r="L250">
        <f t="shared" si="7"/>
        <v>2</v>
      </c>
    </row>
    <row r="251" spans="1:12" x14ac:dyDescent="0.25">
      <c r="A251" t="s">
        <v>3715</v>
      </c>
      <c r="B251" t="str">
        <f>IF(ISERROR(VLOOKUP(F251,STEP!A:A, 1, FALSE)), "N", "Y")</f>
        <v>N</v>
      </c>
      <c r="C251" t="str">
        <f>IF(ISERROR(VLOOKUP(E251, BibleInEveryLanguageTexts!A:A, 1, FALSE)), "N", "Y")</f>
        <v>N</v>
      </c>
      <c r="D251" t="str">
        <f t="shared" si="6"/>
        <v>X</v>
      </c>
      <c r="E251" t="s">
        <v>3716</v>
      </c>
      <c r="F251" t="s">
        <v>3717</v>
      </c>
      <c r="G251" t="s">
        <v>3718</v>
      </c>
      <c r="H251" t="s">
        <v>3719</v>
      </c>
      <c r="I251" t="s">
        <v>2245</v>
      </c>
      <c r="J251" t="str">
        <f>IF(0 = IFERROR(VLOOKUP(DBL_FullList!I251, ContactsDbl!B:D, 2, FALSE), ""), "", IFERROR(VLOOKUP(DBL_FullList!I251, ContactsDbl!B:D, 2, FALSE), ""))</f>
        <v/>
      </c>
      <c r="K251" t="str">
        <f>IF(0 = IFERROR(VLOOKUP(DBL_FullList!I251,ContactsDbl!B:D, 3, FALSE), ""), "", IFERROR(VLOOKUP(DBL_FullList!I251, ContactsDbl!B:D, 3, FALSE), ""))</f>
        <v>http://www.bible.ge/</v>
      </c>
      <c r="L251">
        <f t="shared" si="7"/>
        <v>1</v>
      </c>
    </row>
    <row r="252" spans="1:12" x14ac:dyDescent="0.25">
      <c r="A252" t="s">
        <v>3720</v>
      </c>
      <c r="B252" t="str">
        <f>IF(ISERROR(VLOOKUP(F252,STEP!A:A, 1, FALSE)), "N", "Y")</f>
        <v>N</v>
      </c>
      <c r="C252" t="str">
        <f>IF(ISERROR(VLOOKUP(E252, BibleInEveryLanguageTexts!A:A, 1, FALSE)), "N", "Y")</f>
        <v>N</v>
      </c>
      <c r="D252" t="str">
        <f t="shared" si="6"/>
        <v>X</v>
      </c>
      <c r="E252" t="s">
        <v>3721</v>
      </c>
      <c r="F252" t="s">
        <v>3722</v>
      </c>
      <c r="G252" t="s">
        <v>2984</v>
      </c>
      <c r="H252" t="s">
        <v>3723</v>
      </c>
      <c r="I252" t="s">
        <v>2456</v>
      </c>
      <c r="J252" t="str">
        <f>IF(0 = IFERROR(VLOOKUP(DBL_FullList!I252, ContactsDbl!B:D, 2, FALSE), ""), "", IFERROR(VLOOKUP(DBL_FullList!I252, ContactsDbl!B:D, 2, FALSE), ""))</f>
        <v/>
      </c>
      <c r="K252" t="str">
        <f>IF(0 = IFERROR(VLOOKUP(DBL_FullList!I252,ContactsDbl!B:D, 3, FALSE), ""), "", IFERROR(VLOOKUP(DBL_FullList!I252, ContactsDbl!B:D, 3, FALSE), ""))</f>
        <v>http://www.myanmarbible.com/</v>
      </c>
      <c r="L252">
        <f t="shared" si="7"/>
        <v>1</v>
      </c>
    </row>
    <row r="253" spans="1:12" x14ac:dyDescent="0.25">
      <c r="A253" t="s">
        <v>3724</v>
      </c>
      <c r="B253" t="str">
        <f>IF(ISERROR(VLOOKUP(F253,STEP!A:A, 1, FALSE)), "N", "Y")</f>
        <v>N</v>
      </c>
      <c r="C253" t="str">
        <f>IF(ISERROR(VLOOKUP(E253, BibleInEveryLanguageTexts!A:A, 1, FALSE)), "N", "Y")</f>
        <v>N</v>
      </c>
      <c r="D253" t="str">
        <f t="shared" si="6"/>
        <v>X</v>
      </c>
      <c r="E253" t="s">
        <v>3725</v>
      </c>
      <c r="F253" t="s">
        <v>3726</v>
      </c>
      <c r="G253" t="s">
        <v>2815</v>
      </c>
      <c r="H253" t="s">
        <v>3727</v>
      </c>
      <c r="I253" t="s">
        <v>2362</v>
      </c>
      <c r="J253" t="str">
        <f>IF(0 = IFERROR(VLOOKUP(DBL_FullList!I253, ContactsDbl!B:D, 2, FALSE), ""), "", IFERROR(VLOOKUP(DBL_FullList!I253, ContactsDbl!B:D, 2, FALSE), ""))</f>
        <v>muriuki@biblesociety-kenya.org</v>
      </c>
      <c r="K253" t="str">
        <f>IF(0 = IFERROR(VLOOKUP(DBL_FullList!I253,ContactsDbl!B:D, 3, FALSE), ""), "", IFERROR(VLOOKUP(DBL_FullList!I253, ContactsDbl!B:D, 3, FALSE), ""))</f>
        <v>http://www.biblesociety-kenya.org/</v>
      </c>
      <c r="L253">
        <f t="shared" si="7"/>
        <v>2</v>
      </c>
    </row>
    <row r="254" spans="1:12" x14ac:dyDescent="0.25">
      <c r="A254" t="s">
        <v>3728</v>
      </c>
      <c r="B254" t="str">
        <f>IF(ISERROR(VLOOKUP(F254,STEP!A:A, 1, FALSE)), "N", "Y")</f>
        <v>N</v>
      </c>
      <c r="C254" t="str">
        <f>IF(ISERROR(VLOOKUP(E254, BibleInEveryLanguageTexts!A:A, 1, FALSE)), "N", "Y")</f>
        <v>N</v>
      </c>
      <c r="D254" t="str">
        <f t="shared" si="6"/>
        <v>X</v>
      </c>
      <c r="E254" t="s">
        <v>3729</v>
      </c>
      <c r="F254" t="s">
        <v>3730</v>
      </c>
      <c r="G254" t="s">
        <v>20</v>
      </c>
      <c r="H254" t="s">
        <v>3731</v>
      </c>
      <c r="I254" t="s">
        <v>2329</v>
      </c>
      <c r="J254" t="str">
        <f>IF(0 = IFERROR(VLOOKUP(DBL_FullList!I254, ContactsDbl!B:D, 2, FALSE), ""), "", IFERROR(VLOOKUP(DBL_FullList!I254, ContactsDbl!B:D, 2, FALSE), ""))</f>
        <v/>
      </c>
      <c r="K254" t="str">
        <f>IF(0 = IFERROR(VLOOKUP(DBL_FullList!I254,ContactsDbl!B:D, 3, FALSE), ""), "", IFERROR(VLOOKUP(DBL_FullList!I254, ContactsDbl!B:D, 3, FALSE), ""))</f>
        <v>http://www.bsind.org/</v>
      </c>
      <c r="L254">
        <f t="shared" si="7"/>
        <v>1</v>
      </c>
    </row>
    <row r="255" spans="1:12" x14ac:dyDescent="0.25">
      <c r="A255" t="s">
        <v>3732</v>
      </c>
      <c r="B255" t="str">
        <f>IF(ISERROR(VLOOKUP(F255,STEP!A:A, 1, FALSE)), "N", "Y")</f>
        <v>N</v>
      </c>
      <c r="C255" t="str">
        <f>IF(ISERROR(VLOOKUP(E255, BibleInEveryLanguageTexts!A:A, 1, FALSE)), "N", "Y")</f>
        <v>N</v>
      </c>
      <c r="D255" t="str">
        <f t="shared" si="6"/>
        <v>X</v>
      </c>
      <c r="E255" t="s">
        <v>3733</v>
      </c>
      <c r="F255" t="s">
        <v>3734</v>
      </c>
      <c r="G255" t="s">
        <v>2838</v>
      </c>
      <c r="H255" t="s">
        <v>3735</v>
      </c>
      <c r="I255" t="s">
        <v>2661</v>
      </c>
      <c r="J255" t="str">
        <f>IF(0 = IFERROR(VLOOKUP(DBL_FullList!I255, ContactsDbl!B:D, 2, FALSE), ""), "", IFERROR(VLOOKUP(DBL_FullList!I255, ContactsDbl!B:D, 2, FALSE), ""))</f>
        <v>dbladmin_intl@sil.org</v>
      </c>
      <c r="K255" t="str">
        <f>IF(0 = IFERROR(VLOOKUP(DBL_FullList!I255,ContactsDbl!B:D, 3, FALSE), ""), "", IFERROR(VLOOKUP(DBL_FullList!I255, ContactsDbl!B:D, 3, FALSE), ""))</f>
        <v>http://www.wycliffe.org</v>
      </c>
      <c r="L255">
        <f t="shared" si="7"/>
        <v>2</v>
      </c>
    </row>
    <row r="256" spans="1:12" x14ac:dyDescent="0.25">
      <c r="A256" t="s">
        <v>3736</v>
      </c>
      <c r="B256" t="str">
        <f>IF(ISERROR(VLOOKUP(F256,STEP!A:A, 1, FALSE)), "N", "Y")</f>
        <v>N</v>
      </c>
      <c r="C256" t="str">
        <f>IF(ISERROR(VLOOKUP(E256, BibleInEveryLanguageTexts!A:A, 1, FALSE)), "N", "Y")</f>
        <v>N</v>
      </c>
      <c r="D256" t="str">
        <f t="shared" si="6"/>
        <v>X</v>
      </c>
      <c r="E256" t="s">
        <v>3737</v>
      </c>
      <c r="F256" t="s">
        <v>3738</v>
      </c>
      <c r="G256" t="s">
        <v>102</v>
      </c>
      <c r="H256" t="s">
        <v>3739</v>
      </c>
      <c r="I256" t="s">
        <v>2267</v>
      </c>
      <c r="J256" t="str">
        <f>IF(0 = IFERROR(VLOOKUP(DBL_FullList!I256, ContactsDbl!B:D, 2, FALSE), ""), "", IFERROR(VLOOKUP(DBL_FullList!I256, ContactsDbl!B:D, 2, FALSE), ""))</f>
        <v>alliancegn@yahoo.com</v>
      </c>
      <c r="K256" t="str">
        <f>IF(0 = IFERROR(VLOOKUP(DBL_FullList!I256,ContactsDbl!B:D, 3, FALSE), ""), "", IFERROR(VLOOKUP(DBL_FullList!I256, ContactsDbl!B:D, 3, FALSE), ""))</f>
        <v/>
      </c>
      <c r="L256">
        <f t="shared" si="7"/>
        <v>2</v>
      </c>
    </row>
    <row r="257" spans="1:12" x14ac:dyDescent="0.25">
      <c r="A257" t="s">
        <v>3740</v>
      </c>
      <c r="B257" t="str">
        <f>IF(ISERROR(VLOOKUP(F257,STEP!A:A, 1, FALSE)), "N", "Y")</f>
        <v>N</v>
      </c>
      <c r="C257" t="str">
        <f>IF(ISERROR(VLOOKUP(E257, BibleInEveryLanguageTexts!A:A, 1, FALSE)), "N", "Y")</f>
        <v>N</v>
      </c>
      <c r="D257" t="str">
        <f t="shared" si="6"/>
        <v>X</v>
      </c>
      <c r="E257" t="s">
        <v>3741</v>
      </c>
      <c r="F257" t="s">
        <v>3742</v>
      </c>
      <c r="G257" t="s">
        <v>20</v>
      </c>
      <c r="H257" t="s">
        <v>3743</v>
      </c>
      <c r="I257" t="s">
        <v>2329</v>
      </c>
      <c r="J257" t="str">
        <f>IF(0 = IFERROR(VLOOKUP(DBL_FullList!I257, ContactsDbl!B:D, 2, FALSE), ""), "", IFERROR(VLOOKUP(DBL_FullList!I257, ContactsDbl!B:D, 2, FALSE), ""))</f>
        <v/>
      </c>
      <c r="K257" t="str">
        <f>IF(0 = IFERROR(VLOOKUP(DBL_FullList!I257,ContactsDbl!B:D, 3, FALSE), ""), "", IFERROR(VLOOKUP(DBL_FullList!I257, ContactsDbl!B:D, 3, FALSE), ""))</f>
        <v>http://www.bsind.org/</v>
      </c>
      <c r="L257">
        <f t="shared" si="7"/>
        <v>1</v>
      </c>
    </row>
    <row r="258" spans="1:12" x14ac:dyDescent="0.25">
      <c r="A258" t="s">
        <v>3744</v>
      </c>
      <c r="B258" t="str">
        <f>IF(ISERROR(VLOOKUP(F258,STEP!A:A, 1, FALSE)), "N", "Y")</f>
        <v>N</v>
      </c>
      <c r="C258" t="str">
        <f>IF(ISERROR(VLOOKUP(E258, BibleInEveryLanguageTexts!A:A, 1, FALSE)), "N", "Y")</f>
        <v>N</v>
      </c>
      <c r="D258" t="str">
        <f t="shared" si="6"/>
        <v>X</v>
      </c>
      <c r="E258" t="s">
        <v>3745</v>
      </c>
      <c r="F258" t="s">
        <v>3746</v>
      </c>
      <c r="G258" t="s">
        <v>2743</v>
      </c>
      <c r="H258" t="s">
        <v>3747</v>
      </c>
      <c r="I258" t="s">
        <v>2073</v>
      </c>
      <c r="J258" t="str">
        <f>IF(0 = IFERROR(VLOOKUP(DBL_FullList!I258, ContactsDbl!B:D, 2, FALSE), ""), "", IFERROR(VLOOKUP(DBL_FullList!I258, ContactsDbl!B:D, 2, FALSE), ""))</f>
        <v>ajiboye@biblesociety-nigeria.org</v>
      </c>
      <c r="K258" t="str">
        <f>IF(0 = IFERROR(VLOOKUP(DBL_FullList!I258,ContactsDbl!B:D, 3, FALSE), ""), "", IFERROR(VLOOKUP(DBL_FullList!I258, ContactsDbl!B:D, 3, FALSE), ""))</f>
        <v>http://www.biblesociety-nigeria.org/</v>
      </c>
      <c r="L258">
        <f t="shared" si="7"/>
        <v>2</v>
      </c>
    </row>
    <row r="259" spans="1:12" x14ac:dyDescent="0.25">
      <c r="A259" t="s">
        <v>3748</v>
      </c>
      <c r="B259" t="str">
        <f>IF(ISERROR(VLOOKUP(F259,STEP!A:A, 1, FALSE)), "N", "Y")</f>
        <v>N</v>
      </c>
      <c r="C259" t="str">
        <f>IF(ISERROR(VLOOKUP(E259, BibleInEveryLanguageTexts!A:A, 1, FALSE)), "N", "Y")</f>
        <v>N</v>
      </c>
      <c r="D259" t="str">
        <f t="shared" ref="D259:D322" si="8">IF(AND("N" = B259, "N" = C259), "X", "")</f>
        <v>X</v>
      </c>
      <c r="E259" t="s">
        <v>3749</v>
      </c>
      <c r="F259" t="s">
        <v>3750</v>
      </c>
      <c r="G259" t="s">
        <v>3751</v>
      </c>
      <c r="H259" t="s">
        <v>3752</v>
      </c>
      <c r="I259" t="s">
        <v>2661</v>
      </c>
      <c r="J259" t="str">
        <f>IF(0 = IFERROR(VLOOKUP(DBL_FullList!I259, ContactsDbl!B:D, 2, FALSE), ""), "", IFERROR(VLOOKUP(DBL_FullList!I259, ContactsDbl!B:D, 2, FALSE), ""))</f>
        <v>dbladmin_intl@sil.org</v>
      </c>
      <c r="K259" t="str">
        <f>IF(0 = IFERROR(VLOOKUP(DBL_FullList!I259,ContactsDbl!B:D, 3, FALSE), ""), "", IFERROR(VLOOKUP(DBL_FullList!I259, ContactsDbl!B:D, 3, FALSE), ""))</f>
        <v>http://www.wycliffe.org</v>
      </c>
      <c r="L259">
        <f t="shared" ref="L259:L322" si="9">IF("" &lt;&gt; J259, 2, IF("" &lt;&gt; K259, 1, 0))</f>
        <v>2</v>
      </c>
    </row>
    <row r="260" spans="1:12" x14ac:dyDescent="0.25">
      <c r="A260" t="s">
        <v>3753</v>
      </c>
      <c r="B260" t="str">
        <f>IF(ISERROR(VLOOKUP(F260,STEP!A:A, 1, FALSE)), "N", "Y")</f>
        <v>Y</v>
      </c>
      <c r="C260" t="str">
        <f>IF(ISERROR(VLOOKUP(E260, BibleInEveryLanguageTexts!A:A, 1, FALSE)), "N", "Y")</f>
        <v>N</v>
      </c>
      <c r="D260" t="str">
        <f t="shared" si="8"/>
        <v/>
      </c>
      <c r="E260" t="s">
        <v>3754</v>
      </c>
      <c r="F260" t="s">
        <v>3755</v>
      </c>
      <c r="G260" t="s">
        <v>3074</v>
      </c>
      <c r="H260" t="s">
        <v>3756</v>
      </c>
      <c r="I260" t="s">
        <v>2673</v>
      </c>
      <c r="J260" t="str">
        <f>IF(0 = IFERROR(VLOOKUP(DBL_FullList!I260, ContactsDbl!B:D, 2, FALSE), ""), "", IFERROR(VLOOKUP(DBL_FullList!I260, ContactsDbl!B:D, 2, FALSE), ""))</f>
        <v>gnyirenda@biblesociety-zambia.org</v>
      </c>
      <c r="K260" t="str">
        <f>IF(0 = IFERROR(VLOOKUP(DBL_FullList!I260,ContactsDbl!B:D, 3, FALSE), ""), "", IFERROR(VLOOKUP(DBL_FullList!I260, ContactsDbl!B:D, 3, FALSE), ""))</f>
        <v>www.biblesociety-zambia.org</v>
      </c>
      <c r="L260">
        <f t="shared" si="9"/>
        <v>2</v>
      </c>
    </row>
    <row r="261" spans="1:12" x14ac:dyDescent="0.25">
      <c r="A261" t="s">
        <v>3757</v>
      </c>
      <c r="B261" t="str">
        <f>IF(ISERROR(VLOOKUP(F261,STEP!A:A, 1, FALSE)), "N", "Y")</f>
        <v>N</v>
      </c>
      <c r="C261" t="str">
        <f>IF(ISERROR(VLOOKUP(E261, BibleInEveryLanguageTexts!A:A, 1, FALSE)), "N", "Y")</f>
        <v>N</v>
      </c>
      <c r="D261" t="str">
        <f t="shared" si="8"/>
        <v>X</v>
      </c>
      <c r="E261" t="s">
        <v>3642</v>
      </c>
      <c r="F261" t="s">
        <v>3643</v>
      </c>
      <c r="G261" t="s">
        <v>3644</v>
      </c>
      <c r="H261" t="s">
        <v>3758</v>
      </c>
      <c r="I261" t="s">
        <v>2661</v>
      </c>
      <c r="J261" t="str">
        <f>IF(0 = IFERROR(VLOOKUP(DBL_FullList!I261, ContactsDbl!B:D, 2, FALSE), ""), "", IFERROR(VLOOKUP(DBL_FullList!I261, ContactsDbl!B:D, 2, FALSE), ""))</f>
        <v>dbladmin_intl@sil.org</v>
      </c>
      <c r="K261" t="str">
        <f>IF(0 = IFERROR(VLOOKUP(DBL_FullList!I261,ContactsDbl!B:D, 3, FALSE), ""), "", IFERROR(VLOOKUP(DBL_FullList!I261, ContactsDbl!B:D, 3, FALSE), ""))</f>
        <v>http://www.wycliffe.org</v>
      </c>
      <c r="L261">
        <f t="shared" si="9"/>
        <v>2</v>
      </c>
    </row>
    <row r="262" spans="1:12" x14ac:dyDescent="0.25">
      <c r="A262" t="s">
        <v>3759</v>
      </c>
      <c r="B262" t="str">
        <f>IF(ISERROR(VLOOKUP(F262,STEP!A:A, 1, FALSE)), "N", "Y")</f>
        <v>Y</v>
      </c>
      <c r="C262" t="str">
        <f>IF(ISERROR(VLOOKUP(E262, BibleInEveryLanguageTexts!A:A, 1, FALSE)), "N", "Y")</f>
        <v>N</v>
      </c>
      <c r="D262" t="str">
        <f t="shared" si="8"/>
        <v/>
      </c>
      <c r="E262" t="s">
        <v>3760</v>
      </c>
      <c r="F262" t="s">
        <v>3761</v>
      </c>
      <c r="G262" t="s">
        <v>48</v>
      </c>
      <c r="H262" t="s">
        <v>3762</v>
      </c>
      <c r="I262" t="s">
        <v>2661</v>
      </c>
      <c r="J262" t="str">
        <f>IF(0 = IFERROR(VLOOKUP(DBL_FullList!I262, ContactsDbl!B:D, 2, FALSE), ""), "", IFERROR(VLOOKUP(DBL_FullList!I262, ContactsDbl!B:D, 2, FALSE), ""))</f>
        <v>dbladmin_intl@sil.org</v>
      </c>
      <c r="K262" t="str">
        <f>IF(0 = IFERROR(VLOOKUP(DBL_FullList!I262,ContactsDbl!B:D, 3, FALSE), ""), "", IFERROR(VLOOKUP(DBL_FullList!I262, ContactsDbl!B:D, 3, FALSE), ""))</f>
        <v>http://www.wycliffe.org</v>
      </c>
      <c r="L262">
        <f t="shared" si="9"/>
        <v>2</v>
      </c>
    </row>
    <row r="263" spans="1:12" x14ac:dyDescent="0.25">
      <c r="A263" t="s">
        <v>3763</v>
      </c>
      <c r="B263" t="str">
        <f>IF(ISERROR(VLOOKUP(F263,STEP!A:A, 1, FALSE)), "N", "Y")</f>
        <v>Y</v>
      </c>
      <c r="C263" t="str">
        <f>IF(ISERROR(VLOOKUP(E263, BibleInEveryLanguageTexts!A:A, 1, FALSE)), "N", "Y")</f>
        <v>N</v>
      </c>
      <c r="D263" t="str">
        <f t="shared" si="8"/>
        <v/>
      </c>
      <c r="E263" t="s">
        <v>3764</v>
      </c>
      <c r="F263" t="s">
        <v>3765</v>
      </c>
      <c r="G263" t="s">
        <v>48</v>
      </c>
      <c r="H263" t="s">
        <v>3764</v>
      </c>
      <c r="I263" t="s">
        <v>2661</v>
      </c>
      <c r="J263" t="str">
        <f>IF(0 = IFERROR(VLOOKUP(DBL_FullList!I263, ContactsDbl!B:D, 2, FALSE), ""), "", IFERROR(VLOOKUP(DBL_FullList!I263, ContactsDbl!B:D, 2, FALSE), ""))</f>
        <v>dbladmin_intl@sil.org</v>
      </c>
      <c r="K263" t="str">
        <f>IF(0 = IFERROR(VLOOKUP(DBL_FullList!I263,ContactsDbl!B:D, 3, FALSE), ""), "", IFERROR(VLOOKUP(DBL_FullList!I263, ContactsDbl!B:D, 3, FALSE), ""))</f>
        <v>http://www.wycliffe.org</v>
      </c>
      <c r="L263">
        <f t="shared" si="9"/>
        <v>2</v>
      </c>
    </row>
    <row r="264" spans="1:12" x14ac:dyDescent="0.25">
      <c r="A264" t="s">
        <v>3766</v>
      </c>
      <c r="B264" t="str">
        <f>IF(ISERROR(VLOOKUP(F264,STEP!A:A, 1, FALSE)), "N", "Y")</f>
        <v>Y</v>
      </c>
      <c r="C264" t="str">
        <f>IF(ISERROR(VLOOKUP(E264, BibleInEveryLanguageTexts!A:A, 1, FALSE)), "N", "Y")</f>
        <v>N</v>
      </c>
      <c r="D264" t="str">
        <f t="shared" si="8"/>
        <v/>
      </c>
      <c r="E264" t="s">
        <v>3767</v>
      </c>
      <c r="F264" t="s">
        <v>3768</v>
      </c>
      <c r="G264" t="s">
        <v>48</v>
      </c>
      <c r="H264" t="s">
        <v>3769</v>
      </c>
      <c r="I264" t="s">
        <v>2661</v>
      </c>
      <c r="J264" t="str">
        <f>IF(0 = IFERROR(VLOOKUP(DBL_FullList!I264, ContactsDbl!B:D, 2, FALSE), ""), "", IFERROR(VLOOKUP(DBL_FullList!I264, ContactsDbl!B:D, 2, FALSE), ""))</f>
        <v>dbladmin_intl@sil.org</v>
      </c>
      <c r="K264" t="str">
        <f>IF(0 = IFERROR(VLOOKUP(DBL_FullList!I264,ContactsDbl!B:D, 3, FALSE), ""), "", IFERROR(VLOOKUP(DBL_FullList!I264, ContactsDbl!B:D, 3, FALSE), ""))</f>
        <v>http://www.wycliffe.org</v>
      </c>
      <c r="L264">
        <f t="shared" si="9"/>
        <v>2</v>
      </c>
    </row>
    <row r="265" spans="1:12" x14ac:dyDescent="0.25">
      <c r="A265" t="s">
        <v>3770</v>
      </c>
      <c r="B265" t="str">
        <f>IF(ISERROR(VLOOKUP(F265,STEP!A:A, 1, FALSE)), "N", "Y")</f>
        <v>N</v>
      </c>
      <c r="C265" t="str">
        <f>IF(ISERROR(VLOOKUP(E265, BibleInEveryLanguageTexts!A:A, 1, FALSE)), "N", "Y")</f>
        <v>N</v>
      </c>
      <c r="D265" t="str">
        <f t="shared" si="8"/>
        <v>X</v>
      </c>
      <c r="E265" t="s">
        <v>3771</v>
      </c>
      <c r="F265" t="s">
        <v>3772</v>
      </c>
      <c r="G265" t="s">
        <v>2880</v>
      </c>
      <c r="H265" t="s">
        <v>3773</v>
      </c>
      <c r="I265" t="s">
        <v>2661</v>
      </c>
      <c r="J265" t="str">
        <f>IF(0 = IFERROR(VLOOKUP(DBL_FullList!I265, ContactsDbl!B:D, 2, FALSE), ""), "", IFERROR(VLOOKUP(DBL_FullList!I265, ContactsDbl!B:D, 2, FALSE), ""))</f>
        <v>dbladmin_intl@sil.org</v>
      </c>
      <c r="K265" t="str">
        <f>IF(0 = IFERROR(VLOOKUP(DBL_FullList!I265,ContactsDbl!B:D, 3, FALSE), ""), "", IFERROR(VLOOKUP(DBL_FullList!I265, ContactsDbl!B:D, 3, FALSE), ""))</f>
        <v>http://www.wycliffe.org</v>
      </c>
      <c r="L265">
        <f t="shared" si="9"/>
        <v>2</v>
      </c>
    </row>
    <row r="266" spans="1:12" x14ac:dyDescent="0.25">
      <c r="A266" t="s">
        <v>3774</v>
      </c>
      <c r="B266" t="str">
        <f>IF(ISERROR(VLOOKUP(F266,STEP!A:A, 1, FALSE)), "N", "Y")</f>
        <v>N</v>
      </c>
      <c r="C266" t="str">
        <f>IF(ISERROR(VLOOKUP(E266, BibleInEveryLanguageTexts!A:A, 1, FALSE)), "N", "Y")</f>
        <v>N</v>
      </c>
      <c r="D266" t="str">
        <f t="shared" si="8"/>
        <v>X</v>
      </c>
      <c r="E266" t="s">
        <v>3775</v>
      </c>
      <c r="F266" t="s">
        <v>3776</v>
      </c>
      <c r="G266" t="s">
        <v>3531</v>
      </c>
      <c r="H266" t="s">
        <v>3777</v>
      </c>
      <c r="I266" t="s">
        <v>2110</v>
      </c>
      <c r="J266" t="str">
        <f>IF(0 = IFERROR(VLOOKUP(DBL_FullList!I266, ContactsDbl!B:D, 2, FALSE), ""), "", IFERROR(VLOOKUP(DBL_FullList!I266, ContactsDbl!B:D, 2, FALSE), ""))</f>
        <v>joychen@bstwn.org</v>
      </c>
      <c r="K266" t="str">
        <f>IF(0 = IFERROR(VLOOKUP(DBL_FullList!I266,ContactsDbl!B:D, 3, FALSE), ""), "", IFERROR(VLOOKUP(DBL_FullList!I266, ContactsDbl!B:D, 3, FALSE), ""))</f>
        <v>www.bstwn.org</v>
      </c>
      <c r="L266">
        <f t="shared" si="9"/>
        <v>2</v>
      </c>
    </row>
    <row r="267" spans="1:12" x14ac:dyDescent="0.25">
      <c r="A267" t="s">
        <v>3778</v>
      </c>
      <c r="B267" t="str">
        <f>IF(ISERROR(VLOOKUP(F267,STEP!A:A, 1, FALSE)), "N", "Y")</f>
        <v>N</v>
      </c>
      <c r="C267" t="str">
        <f>IF(ISERROR(VLOOKUP(E267, BibleInEveryLanguageTexts!A:A, 1, FALSE)), "N", "Y")</f>
        <v>N</v>
      </c>
      <c r="D267" t="str">
        <f t="shared" si="8"/>
        <v>X</v>
      </c>
      <c r="E267" t="s">
        <v>199</v>
      </c>
      <c r="F267" t="s">
        <v>197</v>
      </c>
      <c r="G267" t="s">
        <v>3779</v>
      </c>
      <c r="H267" t="s">
        <v>3780</v>
      </c>
      <c r="I267" t="s">
        <v>183</v>
      </c>
      <c r="J267" t="str">
        <f>IF(0 = IFERROR(VLOOKUP(DBL_FullList!I267, ContactsDbl!B:D, 2, FALSE), ""), "", IFERROR(VLOOKUP(DBL_FullList!I267, ContactsDbl!B:D, 2, FALSE), ""))</f>
        <v>dbl@biblesocieties.org</v>
      </c>
      <c r="K267" t="str">
        <f>IF(0 = IFERROR(VLOOKUP(DBL_FullList!I267,ContactsDbl!B:D, 3, FALSE), ""), "", IFERROR(VLOOKUP(DBL_FullList!I267, ContactsDbl!B:D, 3, FALSE), ""))</f>
        <v>http://www.unitedbiblesocieties.org/</v>
      </c>
      <c r="L267">
        <f t="shared" si="9"/>
        <v>2</v>
      </c>
    </row>
    <row r="268" spans="1:12" x14ac:dyDescent="0.25">
      <c r="A268" t="s">
        <v>3781</v>
      </c>
      <c r="B268" t="str">
        <f>IF(ISERROR(VLOOKUP(F268,STEP!A:A, 1, FALSE)), "N", "Y")</f>
        <v>N</v>
      </c>
      <c r="C268" t="str">
        <f>IF(ISERROR(VLOOKUP(E268, BibleInEveryLanguageTexts!A:A, 1, FALSE)), "N", "Y")</f>
        <v>N</v>
      </c>
      <c r="D268" t="str">
        <f t="shared" si="8"/>
        <v>X</v>
      </c>
      <c r="E268" t="s">
        <v>3782</v>
      </c>
      <c r="F268" t="s">
        <v>3783</v>
      </c>
      <c r="G268" t="s">
        <v>3784</v>
      </c>
      <c r="H268" t="s">
        <v>3785</v>
      </c>
      <c r="I268" t="s">
        <v>2623</v>
      </c>
      <c r="J268" t="str">
        <f>IF(0 = IFERROR(VLOOKUP(DBL_FullList!I268, ContactsDbl!B:D, 2, FALSE), ""), "", IFERROR(VLOOKUP(DBL_FullList!I268, ContactsDbl!B:D, 2, FALSE), ""))</f>
        <v>seree@thaibible.or.th</v>
      </c>
      <c r="K268" t="str">
        <f>IF(0 = IFERROR(VLOOKUP(DBL_FullList!I268,ContactsDbl!B:D, 3, FALSE), ""), "", IFERROR(VLOOKUP(DBL_FullList!I268, ContactsDbl!B:D, 3, FALSE), ""))</f>
        <v>http://www.thaibible.or.th/</v>
      </c>
      <c r="L268">
        <f t="shared" si="9"/>
        <v>2</v>
      </c>
    </row>
    <row r="269" spans="1:12" x14ac:dyDescent="0.25">
      <c r="A269" t="s">
        <v>3786</v>
      </c>
      <c r="B269" t="str">
        <f>IF(ISERROR(VLOOKUP(F269,STEP!A:A, 1, FALSE)), "N", "Y")</f>
        <v>N</v>
      </c>
      <c r="C269" t="str">
        <f>IF(ISERROR(VLOOKUP(E269, BibleInEveryLanguageTexts!A:A, 1, FALSE)), "N", "Y")</f>
        <v>N</v>
      </c>
      <c r="D269" t="str">
        <f t="shared" si="8"/>
        <v>X</v>
      </c>
      <c r="E269" t="s">
        <v>3787</v>
      </c>
      <c r="F269" t="s">
        <v>3788</v>
      </c>
      <c r="G269" t="s">
        <v>333</v>
      </c>
      <c r="H269" t="s">
        <v>3789</v>
      </c>
      <c r="I269" t="s">
        <v>2661</v>
      </c>
      <c r="J269" t="str">
        <f>IF(0 = IFERROR(VLOOKUP(DBL_FullList!I269, ContactsDbl!B:D, 2, FALSE), ""), "", IFERROR(VLOOKUP(DBL_FullList!I269, ContactsDbl!B:D, 2, FALSE), ""))</f>
        <v>dbladmin_intl@sil.org</v>
      </c>
      <c r="K269" t="str">
        <f>IF(0 = IFERROR(VLOOKUP(DBL_FullList!I269,ContactsDbl!B:D, 3, FALSE), ""), "", IFERROR(VLOOKUP(DBL_FullList!I269, ContactsDbl!B:D, 3, FALSE), ""))</f>
        <v>http://www.wycliffe.org</v>
      </c>
      <c r="L269">
        <f t="shared" si="9"/>
        <v>2</v>
      </c>
    </row>
    <row r="270" spans="1:12" x14ac:dyDescent="0.25">
      <c r="A270" t="s">
        <v>3790</v>
      </c>
      <c r="B270" t="str">
        <f>IF(ISERROR(VLOOKUP(F270,STEP!A:A, 1, FALSE)), "N", "Y")</f>
        <v>Y</v>
      </c>
      <c r="C270" t="str">
        <f>IF(ISERROR(VLOOKUP(E270, BibleInEveryLanguageTexts!A:A, 1, FALSE)), "N", "Y")</f>
        <v>N</v>
      </c>
      <c r="D270" t="str">
        <f t="shared" si="8"/>
        <v/>
      </c>
      <c r="E270" t="s">
        <v>3791</v>
      </c>
      <c r="F270" t="s">
        <v>3792</v>
      </c>
      <c r="G270" t="s">
        <v>2793</v>
      </c>
      <c r="H270" t="s">
        <v>3793</v>
      </c>
      <c r="I270" t="s">
        <v>2661</v>
      </c>
      <c r="J270" t="str">
        <f>IF(0 = IFERROR(VLOOKUP(DBL_FullList!I270, ContactsDbl!B:D, 2, FALSE), ""), "", IFERROR(VLOOKUP(DBL_FullList!I270, ContactsDbl!B:D, 2, FALSE), ""))</f>
        <v>dbladmin_intl@sil.org</v>
      </c>
      <c r="K270" t="str">
        <f>IF(0 = IFERROR(VLOOKUP(DBL_FullList!I270,ContactsDbl!B:D, 3, FALSE), ""), "", IFERROR(VLOOKUP(DBL_FullList!I270, ContactsDbl!B:D, 3, FALSE), ""))</f>
        <v>http://www.wycliffe.org</v>
      </c>
      <c r="L270">
        <f t="shared" si="9"/>
        <v>2</v>
      </c>
    </row>
    <row r="271" spans="1:12" x14ac:dyDescent="0.25">
      <c r="A271" t="s">
        <v>3794</v>
      </c>
      <c r="B271" t="str">
        <f>IF(ISERROR(VLOOKUP(F271,STEP!A:A, 1, FALSE)), "N", "Y")</f>
        <v>N</v>
      </c>
      <c r="C271" t="str">
        <f>IF(ISERROR(VLOOKUP(E271, BibleInEveryLanguageTexts!A:A, 1, FALSE)), "N", "Y")</f>
        <v>N</v>
      </c>
      <c r="D271" t="str">
        <f t="shared" si="8"/>
        <v>X</v>
      </c>
      <c r="E271" t="s">
        <v>3063</v>
      </c>
      <c r="F271" t="s">
        <v>3064</v>
      </c>
      <c r="G271" t="s">
        <v>3065</v>
      </c>
      <c r="H271" t="s">
        <v>3795</v>
      </c>
      <c r="I271" t="s">
        <v>2661</v>
      </c>
      <c r="J271" t="str">
        <f>IF(0 = IFERROR(VLOOKUP(DBL_FullList!I271, ContactsDbl!B:D, 2, FALSE), ""), "", IFERROR(VLOOKUP(DBL_FullList!I271, ContactsDbl!B:D, 2, FALSE), ""))</f>
        <v>dbladmin_intl@sil.org</v>
      </c>
      <c r="K271" t="str">
        <f>IF(0 = IFERROR(VLOOKUP(DBL_FullList!I271,ContactsDbl!B:D, 3, FALSE), ""), "", IFERROR(VLOOKUP(DBL_FullList!I271, ContactsDbl!B:D, 3, FALSE), ""))</f>
        <v>http://www.wycliffe.org</v>
      </c>
      <c r="L271">
        <f t="shared" si="9"/>
        <v>2</v>
      </c>
    </row>
    <row r="272" spans="1:12" x14ac:dyDescent="0.25">
      <c r="A272" t="s">
        <v>3796</v>
      </c>
      <c r="B272" t="str">
        <f>IF(ISERROR(VLOOKUP(F272,STEP!A:A, 1, FALSE)), "N", "Y")</f>
        <v>N</v>
      </c>
      <c r="C272" t="str">
        <f>IF(ISERROR(VLOOKUP(E272, BibleInEveryLanguageTexts!A:A, 1, FALSE)), "N", "Y")</f>
        <v>N</v>
      </c>
      <c r="D272" t="str">
        <f t="shared" si="8"/>
        <v>X</v>
      </c>
      <c r="E272" t="s">
        <v>3797</v>
      </c>
      <c r="F272" t="s">
        <v>3798</v>
      </c>
      <c r="G272" t="s">
        <v>3799</v>
      </c>
      <c r="H272" t="s">
        <v>3800</v>
      </c>
      <c r="I272" t="s">
        <v>2087</v>
      </c>
      <c r="J272" t="str">
        <f>IF(0 = IFERROR(VLOOKUP(DBL_FullList!I272, ContactsDbl!B:D, 2, FALSE), ""), "", IFERROR(VLOOKUP(DBL_FullList!I272, ContactsDbl!B:D, 2, FALSE), ""))</f>
        <v>alex.lim@bible.org.sg</v>
      </c>
      <c r="K272" t="str">
        <f>IF(0 = IFERROR(VLOOKUP(DBL_FullList!I272,ContactsDbl!B:D, 3, FALSE), ""), "", IFERROR(VLOOKUP(DBL_FullList!I272, ContactsDbl!B:D, 3, FALSE), ""))</f>
        <v>http://www.bible.org.sg/</v>
      </c>
      <c r="L272">
        <f t="shared" si="9"/>
        <v>2</v>
      </c>
    </row>
    <row r="273" spans="1:12" x14ac:dyDescent="0.25">
      <c r="A273" t="s">
        <v>3801</v>
      </c>
      <c r="B273" t="str">
        <f>IF(ISERROR(VLOOKUP(F273,STEP!A:A, 1, FALSE)), "N", "Y")</f>
        <v>N</v>
      </c>
      <c r="C273" t="str">
        <f>IF(ISERROR(VLOOKUP(E273, BibleInEveryLanguageTexts!A:A, 1, FALSE)), "N", "Y")</f>
        <v>N</v>
      </c>
      <c r="D273" t="str">
        <f t="shared" si="8"/>
        <v>X</v>
      </c>
      <c r="E273" t="s">
        <v>3802</v>
      </c>
      <c r="F273" t="s">
        <v>3803</v>
      </c>
      <c r="G273" t="s">
        <v>2908</v>
      </c>
      <c r="H273" t="s">
        <v>3804</v>
      </c>
      <c r="I273" t="s">
        <v>2182</v>
      </c>
      <c r="J273" t="str">
        <f>IF(0 = IFERROR(VLOOKUP(DBL_FullList!I273, ContactsDbl!B:D, 2, FALSE), ""), "", IFERROR(VLOOKUP(DBL_FullList!I273, ContactsDbl!B:D, 2, FALSE), ""))</f>
        <v/>
      </c>
      <c r="K273" t="str">
        <f>IF(0 = IFERROR(VLOOKUP(DBL_FullList!I273,ContactsDbl!B:D, 3, FALSE), ""), "", IFERROR(VLOOKUP(DBL_FullList!I273, ContactsDbl!B:D, 3, FALSE), ""))</f>
        <v>http://www.biblesociety-cd.org/</v>
      </c>
      <c r="L273">
        <f t="shared" si="9"/>
        <v>1</v>
      </c>
    </row>
    <row r="274" spans="1:12" x14ac:dyDescent="0.25">
      <c r="A274" t="s">
        <v>3805</v>
      </c>
      <c r="B274" t="str">
        <f>IF(ISERROR(VLOOKUP(F274,STEP!A:A, 1, FALSE)), "N", "Y")</f>
        <v>N</v>
      </c>
      <c r="C274" t="str">
        <f>IF(ISERROR(VLOOKUP(E274, BibleInEveryLanguageTexts!A:A, 1, FALSE)), "N", "Y")</f>
        <v>N</v>
      </c>
      <c r="D274" t="str">
        <f t="shared" si="8"/>
        <v>X</v>
      </c>
      <c r="E274" t="s">
        <v>3806</v>
      </c>
      <c r="F274" t="s">
        <v>3807</v>
      </c>
      <c r="G274" t="s">
        <v>20</v>
      </c>
      <c r="H274" t="s">
        <v>3808</v>
      </c>
      <c r="I274" t="s">
        <v>2329</v>
      </c>
      <c r="J274" t="str">
        <f>IF(0 = IFERROR(VLOOKUP(DBL_FullList!I274, ContactsDbl!B:D, 2, FALSE), ""), "", IFERROR(VLOOKUP(DBL_FullList!I274, ContactsDbl!B:D, 2, FALSE), ""))</f>
        <v/>
      </c>
      <c r="K274" t="str">
        <f>IF(0 = IFERROR(VLOOKUP(DBL_FullList!I274,ContactsDbl!B:D, 3, FALSE), ""), "", IFERROR(VLOOKUP(DBL_FullList!I274, ContactsDbl!B:D, 3, FALSE), ""))</f>
        <v>http://www.bsind.org/</v>
      </c>
      <c r="L274">
        <f t="shared" si="9"/>
        <v>1</v>
      </c>
    </row>
    <row r="275" spans="1:12" x14ac:dyDescent="0.25">
      <c r="A275" t="s">
        <v>3809</v>
      </c>
      <c r="B275" t="str">
        <f>IF(ISERROR(VLOOKUP(F275,STEP!A:A, 1, FALSE)), "N", "Y")</f>
        <v>Y</v>
      </c>
      <c r="C275" t="str">
        <f>IF(ISERROR(VLOOKUP(E275, BibleInEveryLanguageTexts!A:A, 1, FALSE)), "N", "Y")</f>
        <v>N</v>
      </c>
      <c r="D275" t="str">
        <f t="shared" si="8"/>
        <v/>
      </c>
      <c r="E275" t="s">
        <v>3810</v>
      </c>
      <c r="F275" t="s">
        <v>3811</v>
      </c>
      <c r="G275" t="s">
        <v>48</v>
      </c>
      <c r="H275" t="s">
        <v>3812</v>
      </c>
      <c r="I275" t="s">
        <v>2661</v>
      </c>
      <c r="J275" t="str">
        <f>IF(0 = IFERROR(VLOOKUP(DBL_FullList!I275, ContactsDbl!B:D, 2, FALSE), ""), "", IFERROR(VLOOKUP(DBL_FullList!I275, ContactsDbl!B:D, 2, FALSE), ""))</f>
        <v>dbladmin_intl@sil.org</v>
      </c>
      <c r="K275" t="str">
        <f>IF(0 = IFERROR(VLOOKUP(DBL_FullList!I275,ContactsDbl!B:D, 3, FALSE), ""), "", IFERROR(VLOOKUP(DBL_FullList!I275, ContactsDbl!B:D, 3, FALSE), ""))</f>
        <v>http://www.wycliffe.org</v>
      </c>
      <c r="L275">
        <f t="shared" si="9"/>
        <v>2</v>
      </c>
    </row>
    <row r="276" spans="1:12" x14ac:dyDescent="0.25">
      <c r="A276" t="s">
        <v>3813</v>
      </c>
      <c r="B276" t="str">
        <f>IF(ISERROR(VLOOKUP(F276,STEP!A:A, 1, FALSE)), "N", "Y")</f>
        <v>N</v>
      </c>
      <c r="C276" t="str">
        <f>IF(ISERROR(VLOOKUP(E276, BibleInEveryLanguageTexts!A:A, 1, FALSE)), "N", "Y")</f>
        <v>N</v>
      </c>
      <c r="D276" t="str">
        <f t="shared" si="8"/>
        <v>X</v>
      </c>
      <c r="E276" t="s">
        <v>3814</v>
      </c>
      <c r="F276" t="s">
        <v>3815</v>
      </c>
      <c r="G276" t="s">
        <v>3816</v>
      </c>
      <c r="H276" t="s">
        <v>3817</v>
      </c>
      <c r="I276" t="s">
        <v>2599</v>
      </c>
      <c r="J276" t="str">
        <f>IF(0 = IFERROR(VLOOKUP(DBL_FullList!I276, ContactsDbl!B:D, 2, FALSE), ""), "", IFERROR(VLOOKUP(DBL_FullList!I276, ContactsDbl!B:D, 2, FALSE), ""))</f>
        <v>ismailkanani@biblesocieties.org</v>
      </c>
      <c r="K276" t="str">
        <f>IF(0 = IFERROR(VLOOKUP(DBL_FullList!I276,ContactsDbl!B:D, 3, FALSE), ""), "", IFERROR(VLOOKUP(DBL_FullList!I276, ContactsDbl!B:D, 3, FALSE), ""))</f>
        <v>http://biblesociety-sudan.org/</v>
      </c>
      <c r="L276">
        <f t="shared" si="9"/>
        <v>2</v>
      </c>
    </row>
    <row r="277" spans="1:12" x14ac:dyDescent="0.25">
      <c r="A277" t="s">
        <v>3818</v>
      </c>
      <c r="B277" t="str">
        <f>IF(ISERROR(VLOOKUP(F277,STEP!A:A, 1, FALSE)), "N", "Y")</f>
        <v>N</v>
      </c>
      <c r="C277" t="str">
        <f>IF(ISERROR(VLOOKUP(E277, BibleInEveryLanguageTexts!A:A, 1, FALSE)), "N", "Y")</f>
        <v>N</v>
      </c>
      <c r="D277" t="str">
        <f t="shared" si="8"/>
        <v>X</v>
      </c>
      <c r="E277" t="s">
        <v>1253</v>
      </c>
      <c r="F277" t="s">
        <v>3819</v>
      </c>
      <c r="G277" t="s">
        <v>3820</v>
      </c>
      <c r="H277" t="s">
        <v>3821</v>
      </c>
      <c r="I277" t="s">
        <v>2009</v>
      </c>
      <c r="J277" t="str">
        <f>IF(0 = IFERROR(VLOOKUP(DBL_FullList!I277, ContactsDbl!B:D, 2, FALSE), ""), "", IFERROR(VLOOKUP(DBL_FullList!I277, ContactsDbl!B:D, 2, FALSE), ""))</f>
        <v>jwatson@biblesociety.org.nz</v>
      </c>
      <c r="K277" t="str">
        <f>IF(0 = IFERROR(VLOOKUP(DBL_FullList!I277,ContactsDbl!B:D, 3, FALSE), ""), "", IFERROR(VLOOKUP(DBL_FullList!I277, ContactsDbl!B:D, 3, FALSE), ""))</f>
        <v>http://www.biblesociety.org.nz/</v>
      </c>
      <c r="L277">
        <f t="shared" si="9"/>
        <v>2</v>
      </c>
    </row>
    <row r="278" spans="1:12" x14ac:dyDescent="0.25">
      <c r="A278" t="s">
        <v>3822</v>
      </c>
      <c r="B278" t="str">
        <f>IF(ISERROR(VLOOKUP(F278,STEP!A:A, 1, FALSE)), "N", "Y")</f>
        <v>N</v>
      </c>
      <c r="C278" t="str">
        <f>IF(ISERROR(VLOOKUP(E278, BibleInEveryLanguageTexts!A:A, 1, FALSE)), "N", "Y")</f>
        <v>N</v>
      </c>
      <c r="D278" t="str">
        <f t="shared" si="8"/>
        <v>X</v>
      </c>
      <c r="E278" t="s">
        <v>3598</v>
      </c>
      <c r="F278" t="s">
        <v>3599</v>
      </c>
      <c r="G278" t="s">
        <v>3600</v>
      </c>
      <c r="H278" t="s">
        <v>3823</v>
      </c>
      <c r="I278" t="s">
        <v>1997</v>
      </c>
      <c r="J278" t="str">
        <f>IF(0 = IFERROR(VLOOKUP(DBL_FullList!I278, ContactsDbl!B:D, 2, FALSE), ""), "", IFERROR(VLOOKUP(DBL_FullList!I278, ContactsDbl!B:D, 2, FALSE), ""))</f>
        <v>Lee.Harris@biblica.com</v>
      </c>
      <c r="K278" t="str">
        <f>IF(0 = IFERROR(VLOOKUP(DBL_FullList!I278,ContactsDbl!B:D, 3, FALSE), ""), "", IFERROR(VLOOKUP(DBL_FullList!I278, ContactsDbl!B:D, 3, FALSE), ""))</f>
        <v>http://www.Biblica.com</v>
      </c>
      <c r="L278">
        <f t="shared" si="9"/>
        <v>2</v>
      </c>
    </row>
    <row r="279" spans="1:12" x14ac:dyDescent="0.25">
      <c r="A279" t="s">
        <v>3824</v>
      </c>
      <c r="B279" t="str">
        <f>IF(ISERROR(VLOOKUP(F279,STEP!A:A, 1, FALSE)), "N", "Y")</f>
        <v>N</v>
      </c>
      <c r="C279" t="str">
        <f>IF(ISERROR(VLOOKUP(E279, BibleInEveryLanguageTexts!A:A, 1, FALSE)), "N", "Y")</f>
        <v>N</v>
      </c>
      <c r="D279" t="str">
        <f t="shared" si="8"/>
        <v>X</v>
      </c>
      <c r="E279" t="s">
        <v>3825</v>
      </c>
      <c r="F279" t="s">
        <v>3826</v>
      </c>
      <c r="G279" t="s">
        <v>20</v>
      </c>
      <c r="H279" t="s">
        <v>3827</v>
      </c>
      <c r="I279" t="s">
        <v>2329</v>
      </c>
      <c r="J279" t="str">
        <f>IF(0 = IFERROR(VLOOKUP(DBL_FullList!I279, ContactsDbl!B:D, 2, FALSE), ""), "", IFERROR(VLOOKUP(DBL_FullList!I279, ContactsDbl!B:D, 2, FALSE), ""))</f>
        <v/>
      </c>
      <c r="K279" t="str">
        <f>IF(0 = IFERROR(VLOOKUP(DBL_FullList!I279,ContactsDbl!B:D, 3, FALSE), ""), "", IFERROR(VLOOKUP(DBL_FullList!I279, ContactsDbl!B:D, 3, FALSE), ""))</f>
        <v>http://www.bsind.org/</v>
      </c>
      <c r="L279">
        <f t="shared" si="9"/>
        <v>1</v>
      </c>
    </row>
    <row r="280" spans="1:12" x14ac:dyDescent="0.25">
      <c r="A280" t="s">
        <v>3828</v>
      </c>
      <c r="B280" t="str">
        <f>IF(ISERROR(VLOOKUP(F280,STEP!A:A, 1, FALSE)), "N", "Y")</f>
        <v>N</v>
      </c>
      <c r="C280" t="str">
        <f>IF(ISERROR(VLOOKUP(E280, BibleInEveryLanguageTexts!A:A, 1, FALSE)), "N", "Y")</f>
        <v>N</v>
      </c>
      <c r="D280" t="str">
        <f t="shared" si="8"/>
        <v>X</v>
      </c>
      <c r="E280" t="s">
        <v>3729</v>
      </c>
      <c r="F280" t="s">
        <v>3730</v>
      </c>
      <c r="G280" t="s">
        <v>2984</v>
      </c>
      <c r="H280" t="s">
        <v>3829</v>
      </c>
      <c r="I280" t="s">
        <v>2456</v>
      </c>
      <c r="J280" t="str">
        <f>IF(0 = IFERROR(VLOOKUP(DBL_FullList!I280, ContactsDbl!B:D, 2, FALSE), ""), "", IFERROR(VLOOKUP(DBL_FullList!I280, ContactsDbl!B:D, 2, FALSE), ""))</f>
        <v/>
      </c>
      <c r="K280" t="str">
        <f>IF(0 = IFERROR(VLOOKUP(DBL_FullList!I280,ContactsDbl!B:D, 3, FALSE), ""), "", IFERROR(VLOOKUP(DBL_FullList!I280, ContactsDbl!B:D, 3, FALSE), ""))</f>
        <v>http://www.myanmarbible.com/</v>
      </c>
      <c r="L280">
        <f t="shared" si="9"/>
        <v>1</v>
      </c>
    </row>
    <row r="281" spans="1:12" x14ac:dyDescent="0.25">
      <c r="A281" t="s">
        <v>3830</v>
      </c>
      <c r="B281" t="str">
        <f>IF(ISERROR(VLOOKUP(F281,STEP!A:A, 1, FALSE)), "N", "Y")</f>
        <v>N</v>
      </c>
      <c r="C281" t="str">
        <f>IF(ISERROR(VLOOKUP(E281, BibleInEveryLanguageTexts!A:A, 1, FALSE)), "N", "Y")</f>
        <v>N</v>
      </c>
      <c r="D281" t="str">
        <f t="shared" si="8"/>
        <v>X</v>
      </c>
      <c r="E281" t="s">
        <v>3831</v>
      </c>
      <c r="F281" t="s">
        <v>3832</v>
      </c>
      <c r="G281" t="s">
        <v>3833</v>
      </c>
      <c r="H281" t="s">
        <v>3834</v>
      </c>
      <c r="I281" t="s">
        <v>2354</v>
      </c>
      <c r="J281" t="str">
        <f>IF(0 = IFERROR(VLOOKUP(DBL_FullList!I281, ContactsDbl!B:D, 2, FALSE), ""), "", IFERROR(VLOOKUP(DBL_FullList!I281, ContactsDbl!B:D, 2, FALSE), ""))</f>
        <v>hjyang@bskorea.or.kr</v>
      </c>
      <c r="K281" t="str">
        <f>IF(0 = IFERROR(VLOOKUP(DBL_FullList!I281,ContactsDbl!B:D, 3, FALSE), ""), "", IFERROR(VLOOKUP(DBL_FullList!I281, ContactsDbl!B:D, 3, FALSE), ""))</f>
        <v>http://www.bskorea.or.kr/</v>
      </c>
      <c r="L281">
        <f t="shared" si="9"/>
        <v>2</v>
      </c>
    </row>
    <row r="282" spans="1:12" x14ac:dyDescent="0.25">
      <c r="A282" t="s">
        <v>3835</v>
      </c>
      <c r="B282" t="str">
        <f>IF(ISERROR(VLOOKUP(F282,STEP!A:A, 1, FALSE)), "N", "Y")</f>
        <v>N</v>
      </c>
      <c r="C282" t="str">
        <f>IF(ISERROR(VLOOKUP(E282, BibleInEveryLanguageTexts!A:A, 1, FALSE)), "N", "Y")</f>
        <v>Y</v>
      </c>
      <c r="D282" t="str">
        <f t="shared" si="8"/>
        <v/>
      </c>
      <c r="E282" t="s">
        <v>1661</v>
      </c>
      <c r="F282" t="s">
        <v>3836</v>
      </c>
      <c r="G282" t="s">
        <v>2858</v>
      </c>
      <c r="H282" t="s">
        <v>3837</v>
      </c>
      <c r="I282" t="s">
        <v>1997</v>
      </c>
      <c r="J282" t="str">
        <f>IF(0 = IFERROR(VLOOKUP(DBL_FullList!I282, ContactsDbl!B:D, 2, FALSE), ""), "", IFERROR(VLOOKUP(DBL_FullList!I282, ContactsDbl!B:D, 2, FALSE), ""))</f>
        <v>Lee.Harris@biblica.com</v>
      </c>
      <c r="K282" t="str">
        <f>IF(0 = IFERROR(VLOOKUP(DBL_FullList!I282,ContactsDbl!B:D, 3, FALSE), ""), "", IFERROR(VLOOKUP(DBL_FullList!I282, ContactsDbl!B:D, 3, FALSE), ""))</f>
        <v>http://www.Biblica.com</v>
      </c>
      <c r="L282">
        <f t="shared" si="9"/>
        <v>2</v>
      </c>
    </row>
    <row r="283" spans="1:12" x14ac:dyDescent="0.25">
      <c r="A283" t="s">
        <v>3838</v>
      </c>
      <c r="B283" t="str">
        <f>IF(ISERROR(VLOOKUP(F283,STEP!A:A, 1, FALSE)), "N", "Y")</f>
        <v>N</v>
      </c>
      <c r="C283" t="str">
        <f>IF(ISERROR(VLOOKUP(E283, BibleInEveryLanguageTexts!A:A, 1, FALSE)), "N", "Y")</f>
        <v>N</v>
      </c>
      <c r="D283" t="str">
        <f t="shared" si="8"/>
        <v>X</v>
      </c>
      <c r="E283" t="s">
        <v>1112</v>
      </c>
      <c r="F283" t="s">
        <v>3839</v>
      </c>
      <c r="G283" t="s">
        <v>3840</v>
      </c>
      <c r="H283" t="s">
        <v>3841</v>
      </c>
      <c r="I283" t="s">
        <v>2321</v>
      </c>
      <c r="J283" t="str">
        <f>IF(0 = IFERROR(VLOOKUP(DBL_FullList!I283, ContactsDbl!B:D, 2, FALSE), ""), "", IFERROR(VLOOKUP(DBL_FullList!I283, ContactsDbl!B:D, 2, FALSE), ""))</f>
        <v>gretar@grafarvogskirkja.is</v>
      </c>
      <c r="K283" t="str">
        <f>IF(0 = IFERROR(VLOOKUP(DBL_FullList!I283,ContactsDbl!B:D, 3, FALSE), ""), "", IFERROR(VLOOKUP(DBL_FullList!I283, ContactsDbl!B:D, 3, FALSE), ""))</f>
        <v>http://www.biblian.is/</v>
      </c>
      <c r="L283">
        <f t="shared" si="9"/>
        <v>2</v>
      </c>
    </row>
    <row r="284" spans="1:12" x14ac:dyDescent="0.25">
      <c r="A284" t="s">
        <v>3842</v>
      </c>
      <c r="B284" t="str">
        <f>IF(ISERROR(VLOOKUP(F284,STEP!A:A, 1, FALSE)), "N", "Y")</f>
        <v>N</v>
      </c>
      <c r="C284" t="str">
        <f>IF(ISERROR(VLOOKUP(E284, BibleInEveryLanguageTexts!A:A, 1, FALSE)), "N", "Y")</f>
        <v>Y</v>
      </c>
      <c r="D284" t="str">
        <f t="shared" si="8"/>
        <v/>
      </c>
      <c r="E284" t="s">
        <v>12</v>
      </c>
      <c r="F284" t="s">
        <v>10</v>
      </c>
      <c r="G284" t="s">
        <v>11</v>
      </c>
      <c r="H284" t="s">
        <v>3843</v>
      </c>
      <c r="I284" t="s">
        <v>2205</v>
      </c>
      <c r="J284" t="str">
        <f>IF(0 = IFERROR(VLOOKUP(DBL_FullList!I284, ContactsDbl!B:D, 2, FALSE), ""), "", IFERROR(VLOOKUP(DBL_FullList!I284, ContactsDbl!B:D, 2, FALSE), ""))</f>
        <v>dbladmin@biblesocieties.org</v>
      </c>
      <c r="K284" t="str">
        <f>IF(0 = IFERROR(VLOOKUP(DBL_FullList!I284,ContactsDbl!B:D, 3, FALSE), ""), "", IFERROR(VLOOKUP(DBL_FullList!I284, ContactsDbl!B:D, 3, FALSE), ""))</f>
        <v>http://www.dblipc.org</v>
      </c>
      <c r="L284">
        <f t="shared" si="9"/>
        <v>2</v>
      </c>
    </row>
    <row r="285" spans="1:12" x14ac:dyDescent="0.25">
      <c r="A285" t="s">
        <v>3844</v>
      </c>
      <c r="B285" t="str">
        <f>IF(ISERROR(VLOOKUP(F285,STEP!A:A, 1, FALSE)), "N", "Y")</f>
        <v>N</v>
      </c>
      <c r="C285" t="str">
        <f>IF(ISERROR(VLOOKUP(E285, BibleInEveryLanguageTexts!A:A, 1, FALSE)), "N", "Y")</f>
        <v>N</v>
      </c>
      <c r="D285" t="str">
        <f t="shared" si="8"/>
        <v>X</v>
      </c>
      <c r="E285" t="s">
        <v>3845</v>
      </c>
      <c r="F285" t="s">
        <v>3846</v>
      </c>
      <c r="G285" t="s">
        <v>3847</v>
      </c>
      <c r="H285" t="s">
        <v>3848</v>
      </c>
      <c r="I285" t="s">
        <v>2563</v>
      </c>
      <c r="J285" t="str">
        <f>IF(0 = IFERROR(VLOOKUP(DBL_FullList!I285, ContactsDbl!B:D, 2, FALSE), ""), "", IFERROR(VLOOKUP(DBL_FullList!I285, ContactsDbl!B:D, 2, FALSE), ""))</f>
        <v/>
      </c>
      <c r="K285" t="str">
        <f>IF(0 = IFERROR(VLOOKUP(DBL_FullList!I285,ContactsDbl!B:D, 3, FALSE), ""), "", IFERROR(VLOOKUP(DBL_FullList!I285, ContactsDbl!B:D, 3, FALSE), ""))</f>
        <v>http://www.scottishbiblesociety.org</v>
      </c>
      <c r="L285">
        <f t="shared" si="9"/>
        <v>1</v>
      </c>
    </row>
    <row r="286" spans="1:12" x14ac:dyDescent="0.25">
      <c r="A286" t="s">
        <v>3849</v>
      </c>
      <c r="B286" t="str">
        <f>IF(ISERROR(VLOOKUP(F286,STEP!A:A, 1, FALSE)), "N", "Y")</f>
        <v>N</v>
      </c>
      <c r="C286" t="str">
        <f>IF(ISERROR(VLOOKUP(E286, BibleInEveryLanguageTexts!A:A, 1, FALSE)), "N", "Y")</f>
        <v>N</v>
      </c>
      <c r="D286" t="str">
        <f t="shared" si="8"/>
        <v>X</v>
      </c>
      <c r="E286" t="s">
        <v>517</v>
      </c>
      <c r="F286" t="s">
        <v>515</v>
      </c>
      <c r="G286" t="s">
        <v>516</v>
      </c>
      <c r="H286" t="s">
        <v>3850</v>
      </c>
      <c r="I286" t="s">
        <v>1997</v>
      </c>
      <c r="J286" t="str">
        <f>IF(0 = IFERROR(VLOOKUP(DBL_FullList!I286, ContactsDbl!B:D, 2, FALSE), ""), "", IFERROR(VLOOKUP(DBL_FullList!I286, ContactsDbl!B:D, 2, FALSE), ""))</f>
        <v>Lee.Harris@biblica.com</v>
      </c>
      <c r="K286" t="str">
        <f>IF(0 = IFERROR(VLOOKUP(DBL_FullList!I286,ContactsDbl!B:D, 3, FALSE), ""), "", IFERROR(VLOOKUP(DBL_FullList!I286, ContactsDbl!B:D, 3, FALSE), ""))</f>
        <v>http://www.Biblica.com</v>
      </c>
      <c r="L286">
        <f t="shared" si="9"/>
        <v>2</v>
      </c>
    </row>
    <row r="287" spans="1:12" x14ac:dyDescent="0.25">
      <c r="A287" t="s">
        <v>3851</v>
      </c>
      <c r="B287" t="str">
        <f>IF(ISERROR(VLOOKUP(F287,STEP!A:A, 1, FALSE)), "N", "Y")</f>
        <v>N</v>
      </c>
      <c r="C287" t="str">
        <f>IF(ISERROR(VLOOKUP(E287, BibleInEveryLanguageTexts!A:A, 1, FALSE)), "N", "Y")</f>
        <v>N</v>
      </c>
      <c r="D287" t="str">
        <f t="shared" si="8"/>
        <v>X</v>
      </c>
      <c r="E287" t="s">
        <v>3775</v>
      </c>
      <c r="F287" t="s">
        <v>3776</v>
      </c>
      <c r="G287" t="s">
        <v>3852</v>
      </c>
      <c r="H287" t="s">
        <v>3853</v>
      </c>
      <c r="I287" t="s">
        <v>2280</v>
      </c>
      <c r="J287" t="str">
        <f>IF(0 = IFERROR(VLOOKUP(DBL_FullList!I287, ContactsDbl!B:D, 2, FALSE), ""), "", IFERROR(VLOOKUP(DBL_FullList!I287, ContactsDbl!B:D, 2, FALSE), ""))</f>
        <v>ignatius@hkbs.org.hk</v>
      </c>
      <c r="K287" t="str">
        <f>IF(0 = IFERROR(VLOOKUP(DBL_FullList!I287,ContactsDbl!B:D, 3, FALSE), ""), "", IFERROR(VLOOKUP(DBL_FullList!I287, ContactsDbl!B:D, 3, FALSE), ""))</f>
        <v>www.hkbs.org.hk</v>
      </c>
      <c r="L287">
        <f t="shared" si="9"/>
        <v>2</v>
      </c>
    </row>
    <row r="288" spans="1:12" x14ac:dyDescent="0.25">
      <c r="A288" t="s">
        <v>3854</v>
      </c>
      <c r="B288" t="str">
        <f>IF(ISERROR(VLOOKUP(F288,STEP!A:A, 1, FALSE)), "N", "Y")</f>
        <v>Y</v>
      </c>
      <c r="C288" t="str">
        <f>IF(ISERROR(VLOOKUP(E288, BibleInEveryLanguageTexts!A:A, 1, FALSE)), "N", "Y")</f>
        <v>N</v>
      </c>
      <c r="D288" t="str">
        <f t="shared" si="8"/>
        <v/>
      </c>
      <c r="E288" t="s">
        <v>3855</v>
      </c>
      <c r="F288" t="s">
        <v>3856</v>
      </c>
      <c r="G288" t="s">
        <v>48</v>
      </c>
      <c r="H288" t="s">
        <v>3857</v>
      </c>
      <c r="I288" t="s">
        <v>2661</v>
      </c>
      <c r="J288" t="str">
        <f>IF(0 = IFERROR(VLOOKUP(DBL_FullList!I288, ContactsDbl!B:D, 2, FALSE), ""), "", IFERROR(VLOOKUP(DBL_FullList!I288, ContactsDbl!B:D, 2, FALSE), ""))</f>
        <v>dbladmin_intl@sil.org</v>
      </c>
      <c r="K288" t="str">
        <f>IF(0 = IFERROR(VLOOKUP(DBL_FullList!I288,ContactsDbl!B:D, 3, FALSE), ""), "", IFERROR(VLOOKUP(DBL_FullList!I288, ContactsDbl!B:D, 3, FALSE), ""))</f>
        <v>http://www.wycliffe.org</v>
      </c>
      <c r="L288">
        <f t="shared" si="9"/>
        <v>2</v>
      </c>
    </row>
    <row r="289" spans="1:12" x14ac:dyDescent="0.25">
      <c r="A289" t="s">
        <v>3858</v>
      </c>
      <c r="B289" t="str">
        <f>IF(ISERROR(VLOOKUP(F289,STEP!A:A, 1, FALSE)), "N", "Y")</f>
        <v>N</v>
      </c>
      <c r="C289" t="str">
        <f>IF(ISERROR(VLOOKUP(E289, BibleInEveryLanguageTexts!A:A, 1, FALSE)), "N", "Y")</f>
        <v>N</v>
      </c>
      <c r="D289" t="str">
        <f t="shared" si="8"/>
        <v>X</v>
      </c>
      <c r="E289" t="s">
        <v>3859</v>
      </c>
      <c r="F289" t="s">
        <v>3860</v>
      </c>
      <c r="G289" t="s">
        <v>3861</v>
      </c>
      <c r="H289" t="s">
        <v>3862</v>
      </c>
      <c r="I289" t="s">
        <v>2393</v>
      </c>
      <c r="J289" t="str">
        <f>IF(0 = IFERROR(VLOOKUP(DBL_FullList!I289, ContactsDbl!B:D, 2, FALSE), ""), "", IFERROR(VLOOKUP(DBL_FullList!I289, ContactsDbl!B:D, 2, FALSE), ""))</f>
        <v>pstevens@biblesocieties.org</v>
      </c>
      <c r="K289" t="str">
        <f>IF(0 = IFERROR(VLOOKUP(DBL_FullList!I289,ContactsDbl!B:D, 3, FALSE), ""), "", IFERROR(VLOOKUP(DBL_FullList!I289, ContactsDbl!B:D, 3, FALSE), ""))</f>
        <v>http://www.unitedbiblesocieties.org/society/bible-society-in-liberia/</v>
      </c>
      <c r="L289">
        <f t="shared" si="9"/>
        <v>2</v>
      </c>
    </row>
    <row r="290" spans="1:12" x14ac:dyDescent="0.25">
      <c r="A290" t="s">
        <v>3863</v>
      </c>
      <c r="B290" t="str">
        <f>IF(ISERROR(VLOOKUP(F290,STEP!A:A, 1, FALSE)), "N", "Y")</f>
        <v>N</v>
      </c>
      <c r="C290" t="str">
        <f>IF(ISERROR(VLOOKUP(E290, BibleInEveryLanguageTexts!A:A, 1, FALSE)), "N", "Y")</f>
        <v>N</v>
      </c>
      <c r="D290" t="str">
        <f t="shared" si="8"/>
        <v>X</v>
      </c>
      <c r="E290" t="s">
        <v>3864</v>
      </c>
      <c r="F290" t="s">
        <v>3865</v>
      </c>
      <c r="G290" t="s">
        <v>3074</v>
      </c>
      <c r="H290" t="s">
        <v>3866</v>
      </c>
      <c r="I290" t="s">
        <v>183</v>
      </c>
      <c r="J290" t="str">
        <f>IF(0 = IFERROR(VLOOKUP(DBL_FullList!I290, ContactsDbl!B:D, 2, FALSE), ""), "", IFERROR(VLOOKUP(DBL_FullList!I290, ContactsDbl!B:D, 2, FALSE), ""))</f>
        <v>dbl@biblesocieties.org</v>
      </c>
      <c r="K290" t="str">
        <f>IF(0 = IFERROR(VLOOKUP(DBL_FullList!I290,ContactsDbl!B:D, 3, FALSE), ""), "", IFERROR(VLOOKUP(DBL_FullList!I290, ContactsDbl!B:D, 3, FALSE), ""))</f>
        <v>http://www.unitedbiblesocieties.org/</v>
      </c>
      <c r="L290">
        <f t="shared" si="9"/>
        <v>2</v>
      </c>
    </row>
    <row r="291" spans="1:12" x14ac:dyDescent="0.25">
      <c r="A291" t="s">
        <v>3867</v>
      </c>
      <c r="B291" t="str">
        <f>IF(ISERROR(VLOOKUP(F291,STEP!A:A, 1, FALSE)), "N", "Y")</f>
        <v>N</v>
      </c>
      <c r="C291" t="str">
        <f>IF(ISERROR(VLOOKUP(E291, BibleInEveryLanguageTexts!A:A, 1, FALSE)), "N", "Y")</f>
        <v>N</v>
      </c>
      <c r="D291" t="str">
        <f t="shared" si="8"/>
        <v>X</v>
      </c>
      <c r="E291" t="s">
        <v>3868</v>
      </c>
      <c r="F291" t="s">
        <v>3869</v>
      </c>
      <c r="G291" t="s">
        <v>2743</v>
      </c>
      <c r="H291" t="s">
        <v>3870</v>
      </c>
      <c r="I291" t="s">
        <v>2661</v>
      </c>
      <c r="J291" t="str">
        <f>IF(0 = IFERROR(VLOOKUP(DBL_FullList!I291, ContactsDbl!B:D, 2, FALSE), ""), "", IFERROR(VLOOKUP(DBL_FullList!I291, ContactsDbl!B:D, 2, FALSE), ""))</f>
        <v>dbladmin_intl@sil.org</v>
      </c>
      <c r="K291" t="str">
        <f>IF(0 = IFERROR(VLOOKUP(DBL_FullList!I291,ContactsDbl!B:D, 3, FALSE), ""), "", IFERROR(VLOOKUP(DBL_FullList!I291, ContactsDbl!B:D, 3, FALSE), ""))</f>
        <v>http://www.wycliffe.org</v>
      </c>
      <c r="L291">
        <f t="shared" si="9"/>
        <v>2</v>
      </c>
    </row>
    <row r="292" spans="1:12" x14ac:dyDescent="0.25">
      <c r="A292" t="s">
        <v>3871</v>
      </c>
      <c r="B292" t="str">
        <f>IF(ISERROR(VLOOKUP(F292,STEP!A:A, 1, FALSE)), "N", "Y")</f>
        <v>N</v>
      </c>
      <c r="C292" t="str">
        <f>IF(ISERROR(VLOOKUP(E292, BibleInEveryLanguageTexts!A:A, 1, FALSE)), "N", "Y")</f>
        <v>N</v>
      </c>
      <c r="D292" t="str">
        <f t="shared" si="8"/>
        <v>X</v>
      </c>
      <c r="E292" t="s">
        <v>3872</v>
      </c>
      <c r="F292" t="s">
        <v>3873</v>
      </c>
      <c r="G292" t="s">
        <v>2756</v>
      </c>
      <c r="H292" t="s">
        <v>3874</v>
      </c>
      <c r="I292" t="s">
        <v>2661</v>
      </c>
      <c r="J292" t="str">
        <f>IF(0 = IFERROR(VLOOKUP(DBL_FullList!I292, ContactsDbl!B:D, 2, FALSE), ""), "", IFERROR(VLOOKUP(DBL_FullList!I292, ContactsDbl!B:D, 2, FALSE), ""))</f>
        <v>dbladmin_intl@sil.org</v>
      </c>
      <c r="K292" t="str">
        <f>IF(0 = IFERROR(VLOOKUP(DBL_FullList!I292,ContactsDbl!B:D, 3, FALSE), ""), "", IFERROR(VLOOKUP(DBL_FullList!I292, ContactsDbl!B:D, 3, FALSE), ""))</f>
        <v>http://www.wycliffe.org</v>
      </c>
      <c r="L292">
        <f t="shared" si="9"/>
        <v>2</v>
      </c>
    </row>
    <row r="293" spans="1:12" x14ac:dyDescent="0.25">
      <c r="A293" t="s">
        <v>3875</v>
      </c>
      <c r="B293" t="str">
        <f>IF(ISERROR(VLOOKUP(F293,STEP!A:A, 1, FALSE)), "N", "Y")</f>
        <v>N</v>
      </c>
      <c r="C293" t="str">
        <f>IF(ISERROR(VLOOKUP(E293, BibleInEveryLanguageTexts!A:A, 1, FALSE)), "N", "Y")</f>
        <v>Y</v>
      </c>
      <c r="D293" t="str">
        <f t="shared" si="8"/>
        <v/>
      </c>
      <c r="E293" t="s">
        <v>12</v>
      </c>
      <c r="F293" t="s">
        <v>10</v>
      </c>
      <c r="G293" t="s">
        <v>27</v>
      </c>
      <c r="H293" t="s">
        <v>3876</v>
      </c>
      <c r="I293" t="s">
        <v>3104</v>
      </c>
      <c r="J293" t="str">
        <f>IF(0 = IFERROR(VLOOKUP(DBL_FullList!I293, ContactsDbl!B:D, 2, FALSE), ""), "", IFERROR(VLOOKUP(DBL_FullList!I293, ContactsDbl!B:D, 2, FALSE), ""))</f>
        <v/>
      </c>
      <c r="K293" t="str">
        <f>IF(0 = IFERROR(VLOOKUP(DBL_FullList!I293,ContactsDbl!B:D, 3, FALSE), ""), "", IFERROR(VLOOKUP(DBL_FullList!I293, ContactsDbl!B:D, 3, FALSE), ""))</f>
        <v/>
      </c>
      <c r="L293">
        <f t="shared" si="9"/>
        <v>0</v>
      </c>
    </row>
    <row r="294" spans="1:12" x14ac:dyDescent="0.25">
      <c r="A294" t="s">
        <v>3877</v>
      </c>
      <c r="B294" t="str">
        <f>IF(ISERROR(VLOOKUP(F294,STEP!A:A, 1, FALSE)), "N", "Y")</f>
        <v>N</v>
      </c>
      <c r="C294" t="str">
        <f>IF(ISERROR(VLOOKUP(E294, BibleInEveryLanguageTexts!A:A, 1, FALSE)), "N", "Y")</f>
        <v>N</v>
      </c>
      <c r="D294" t="str">
        <f t="shared" si="8"/>
        <v>X</v>
      </c>
      <c r="E294" t="s">
        <v>3878</v>
      </c>
      <c r="F294" t="s">
        <v>3879</v>
      </c>
      <c r="G294" t="s">
        <v>121</v>
      </c>
      <c r="H294" t="s">
        <v>3880</v>
      </c>
      <c r="I294" t="s">
        <v>2241</v>
      </c>
      <c r="J294" t="str">
        <f>IF(0 = IFERROR(VLOOKUP(DBL_FullList!I294, ContactsDbl!B:D, 2, FALSE), ""), "", IFERROR(VLOOKUP(DBL_FullList!I294, ContactsDbl!B:D, 2, FALSE), ""))</f>
        <v>dbl@dbg.de</v>
      </c>
      <c r="K294" t="str">
        <f>IF(0 = IFERROR(VLOOKUP(DBL_FullList!I294,ContactsDbl!B:D, 3, FALSE), ""), "", IFERROR(VLOOKUP(DBL_FullList!I294, ContactsDbl!B:D, 3, FALSE), ""))</f>
        <v>http://www.die-bibel.de</v>
      </c>
      <c r="L294">
        <f t="shared" si="9"/>
        <v>2</v>
      </c>
    </row>
    <row r="295" spans="1:12" x14ac:dyDescent="0.25">
      <c r="A295" t="s">
        <v>3881</v>
      </c>
      <c r="B295" t="str">
        <f>IF(ISERROR(VLOOKUP(F295,STEP!A:A, 1, FALSE)), "N", "Y")</f>
        <v>N</v>
      </c>
      <c r="C295" t="str">
        <f>IF(ISERROR(VLOOKUP(E295, BibleInEveryLanguageTexts!A:A, 1, FALSE)), "N", "Y")</f>
        <v>N</v>
      </c>
      <c r="D295" t="str">
        <f t="shared" si="8"/>
        <v>X</v>
      </c>
      <c r="E295" t="s">
        <v>3882</v>
      </c>
      <c r="F295" t="s">
        <v>3883</v>
      </c>
      <c r="G295" t="s">
        <v>2984</v>
      </c>
      <c r="H295" t="s">
        <v>3884</v>
      </c>
      <c r="I295" t="s">
        <v>183</v>
      </c>
      <c r="J295" t="str">
        <f>IF(0 = IFERROR(VLOOKUP(DBL_FullList!I295, ContactsDbl!B:D, 2, FALSE), ""), "", IFERROR(VLOOKUP(DBL_FullList!I295, ContactsDbl!B:D, 2, FALSE), ""))</f>
        <v>dbl@biblesocieties.org</v>
      </c>
      <c r="K295" t="str">
        <f>IF(0 = IFERROR(VLOOKUP(DBL_FullList!I295,ContactsDbl!B:D, 3, FALSE), ""), "", IFERROR(VLOOKUP(DBL_FullList!I295, ContactsDbl!B:D, 3, FALSE), ""))</f>
        <v>http://www.unitedbiblesocieties.org/</v>
      </c>
      <c r="L295">
        <f t="shared" si="9"/>
        <v>2</v>
      </c>
    </row>
    <row r="296" spans="1:12" x14ac:dyDescent="0.25">
      <c r="A296" t="s">
        <v>3885</v>
      </c>
      <c r="B296" t="str">
        <f>IF(ISERROR(VLOOKUP(F296,STEP!A:A, 1, FALSE)), "N", "Y")</f>
        <v>N</v>
      </c>
      <c r="C296" t="str">
        <f>IF(ISERROR(VLOOKUP(E296, BibleInEveryLanguageTexts!A:A, 1, FALSE)), "N", "Y")</f>
        <v>N</v>
      </c>
      <c r="D296" t="str">
        <f t="shared" si="8"/>
        <v>X</v>
      </c>
      <c r="E296" t="s">
        <v>3831</v>
      </c>
      <c r="F296" t="s">
        <v>3832</v>
      </c>
      <c r="G296" t="s">
        <v>3886</v>
      </c>
      <c r="H296" t="s">
        <v>3887</v>
      </c>
      <c r="I296" t="s">
        <v>1997</v>
      </c>
      <c r="J296" t="str">
        <f>IF(0 = IFERROR(VLOOKUP(DBL_FullList!I296, ContactsDbl!B:D, 2, FALSE), ""), "", IFERROR(VLOOKUP(DBL_FullList!I296, ContactsDbl!B:D, 2, FALSE), ""))</f>
        <v>Lee.Harris@biblica.com</v>
      </c>
      <c r="K296" t="str">
        <f>IF(0 = IFERROR(VLOOKUP(DBL_FullList!I296,ContactsDbl!B:D, 3, FALSE), ""), "", IFERROR(VLOOKUP(DBL_FullList!I296, ContactsDbl!B:D, 3, FALSE), ""))</f>
        <v>http://www.Biblica.com</v>
      </c>
      <c r="L296">
        <f t="shared" si="9"/>
        <v>2</v>
      </c>
    </row>
    <row r="297" spans="1:12" x14ac:dyDescent="0.25">
      <c r="A297" t="s">
        <v>3888</v>
      </c>
      <c r="B297" t="str">
        <f>IF(ISERROR(VLOOKUP(F297,STEP!A:A, 1, FALSE)), "N", "Y")</f>
        <v>N</v>
      </c>
      <c r="C297" t="str">
        <f>IF(ISERROR(VLOOKUP(E297, BibleInEveryLanguageTexts!A:A, 1, FALSE)), "N", "Y")</f>
        <v>Y</v>
      </c>
      <c r="D297" t="str">
        <f t="shared" si="8"/>
        <v/>
      </c>
      <c r="E297" t="s">
        <v>36</v>
      </c>
      <c r="F297" t="s">
        <v>34</v>
      </c>
      <c r="G297" t="s">
        <v>35</v>
      </c>
      <c r="H297" t="s">
        <v>3889</v>
      </c>
      <c r="I297" t="s">
        <v>1997</v>
      </c>
      <c r="J297" t="str">
        <f>IF(0 = IFERROR(VLOOKUP(DBL_FullList!I297, ContactsDbl!B:D, 2, FALSE), ""), "", IFERROR(VLOOKUP(DBL_FullList!I297, ContactsDbl!B:D, 2, FALSE), ""))</f>
        <v>Lee.Harris@biblica.com</v>
      </c>
      <c r="K297" t="str">
        <f>IF(0 = IFERROR(VLOOKUP(DBL_FullList!I297,ContactsDbl!B:D, 3, FALSE), ""), "", IFERROR(VLOOKUP(DBL_FullList!I297, ContactsDbl!B:D, 3, FALSE), ""))</f>
        <v>http://www.Biblica.com</v>
      </c>
      <c r="L297">
        <f t="shared" si="9"/>
        <v>2</v>
      </c>
    </row>
    <row r="298" spans="1:12" x14ac:dyDescent="0.25">
      <c r="A298" t="s">
        <v>3890</v>
      </c>
      <c r="B298" t="str">
        <f>IF(ISERROR(VLOOKUP(F298,STEP!A:A, 1, FALSE)), "N", "Y")</f>
        <v>Y</v>
      </c>
      <c r="C298" t="str">
        <f>IF(ISERROR(VLOOKUP(E298, BibleInEveryLanguageTexts!A:A, 1, FALSE)), "N", "Y")</f>
        <v>N</v>
      </c>
      <c r="D298" t="str">
        <f t="shared" si="8"/>
        <v/>
      </c>
      <c r="E298" t="s">
        <v>3891</v>
      </c>
      <c r="F298" t="s">
        <v>3892</v>
      </c>
      <c r="G298" t="s">
        <v>48</v>
      </c>
      <c r="H298" t="s">
        <v>3893</v>
      </c>
      <c r="I298" t="s">
        <v>2661</v>
      </c>
      <c r="J298" t="str">
        <f>IF(0 = IFERROR(VLOOKUP(DBL_FullList!I298, ContactsDbl!B:D, 2, FALSE), ""), "", IFERROR(VLOOKUP(DBL_FullList!I298, ContactsDbl!B:D, 2, FALSE), ""))</f>
        <v>dbladmin_intl@sil.org</v>
      </c>
      <c r="K298" t="str">
        <f>IF(0 = IFERROR(VLOOKUP(DBL_FullList!I298,ContactsDbl!B:D, 3, FALSE), ""), "", IFERROR(VLOOKUP(DBL_FullList!I298, ContactsDbl!B:D, 3, FALSE), ""))</f>
        <v>http://www.wycliffe.org</v>
      </c>
      <c r="L298">
        <f t="shared" si="9"/>
        <v>2</v>
      </c>
    </row>
    <row r="299" spans="1:12" x14ac:dyDescent="0.25">
      <c r="A299" t="s">
        <v>3894</v>
      </c>
      <c r="B299" t="str">
        <f>IF(ISERROR(VLOOKUP(F299,STEP!A:A, 1, FALSE)), "N", "Y")</f>
        <v>N</v>
      </c>
      <c r="C299" t="str">
        <f>IF(ISERROR(VLOOKUP(E299, BibleInEveryLanguageTexts!A:A, 1, FALSE)), "N", "Y")</f>
        <v>N</v>
      </c>
      <c r="D299" t="str">
        <f t="shared" si="8"/>
        <v>X</v>
      </c>
      <c r="E299" t="s">
        <v>3895</v>
      </c>
      <c r="F299" t="s">
        <v>3896</v>
      </c>
      <c r="G299" t="s">
        <v>25</v>
      </c>
      <c r="H299" t="s">
        <v>3897</v>
      </c>
      <c r="I299" t="s">
        <v>2661</v>
      </c>
      <c r="J299" t="str">
        <f>IF(0 = IFERROR(VLOOKUP(DBL_FullList!I299, ContactsDbl!B:D, 2, FALSE), ""), "", IFERROR(VLOOKUP(DBL_FullList!I299, ContactsDbl!B:D, 2, FALSE), ""))</f>
        <v>dbladmin_intl@sil.org</v>
      </c>
      <c r="K299" t="str">
        <f>IF(0 = IFERROR(VLOOKUP(DBL_FullList!I299,ContactsDbl!B:D, 3, FALSE), ""), "", IFERROR(VLOOKUP(DBL_FullList!I299, ContactsDbl!B:D, 3, FALSE), ""))</f>
        <v>http://www.wycliffe.org</v>
      </c>
      <c r="L299">
        <f t="shared" si="9"/>
        <v>2</v>
      </c>
    </row>
    <row r="300" spans="1:12" x14ac:dyDescent="0.25">
      <c r="A300" t="s">
        <v>3898</v>
      </c>
      <c r="B300" t="str">
        <f>IF(ISERROR(VLOOKUP(F300,STEP!A:A, 1, FALSE)), "N", "Y")</f>
        <v>N</v>
      </c>
      <c r="C300" t="str">
        <f>IF(ISERROR(VLOOKUP(E300, BibleInEveryLanguageTexts!A:A, 1, FALSE)), "N", "Y")</f>
        <v>N</v>
      </c>
      <c r="D300" t="str">
        <f t="shared" si="8"/>
        <v>X</v>
      </c>
      <c r="E300" t="s">
        <v>3899</v>
      </c>
      <c r="F300" t="s">
        <v>3900</v>
      </c>
      <c r="G300" t="s">
        <v>20</v>
      </c>
      <c r="H300" t="s">
        <v>3901</v>
      </c>
      <c r="I300" t="s">
        <v>2329</v>
      </c>
      <c r="J300" t="str">
        <f>IF(0 = IFERROR(VLOOKUP(DBL_FullList!I300, ContactsDbl!B:D, 2, FALSE), ""), "", IFERROR(VLOOKUP(DBL_FullList!I300, ContactsDbl!B:D, 2, FALSE), ""))</f>
        <v/>
      </c>
      <c r="K300" t="str">
        <f>IF(0 = IFERROR(VLOOKUP(DBL_FullList!I300,ContactsDbl!B:D, 3, FALSE), ""), "", IFERROR(VLOOKUP(DBL_FullList!I300, ContactsDbl!B:D, 3, FALSE), ""))</f>
        <v>http://www.bsind.org/</v>
      </c>
      <c r="L300">
        <f t="shared" si="9"/>
        <v>1</v>
      </c>
    </row>
    <row r="301" spans="1:12" x14ac:dyDescent="0.25">
      <c r="A301" t="s">
        <v>3902</v>
      </c>
      <c r="B301" t="str">
        <f>IF(ISERROR(VLOOKUP(F301,STEP!A:A, 1, FALSE)), "N", "Y")</f>
        <v>Y</v>
      </c>
      <c r="C301" t="str">
        <f>IF(ISERROR(VLOOKUP(E301, BibleInEveryLanguageTexts!A:A, 1, FALSE)), "N", "Y")</f>
        <v>N</v>
      </c>
      <c r="D301" t="str">
        <f t="shared" si="8"/>
        <v/>
      </c>
      <c r="E301" t="s">
        <v>3903</v>
      </c>
      <c r="F301" t="s">
        <v>3904</v>
      </c>
      <c r="G301" t="s">
        <v>48</v>
      </c>
      <c r="H301" t="s">
        <v>3905</v>
      </c>
      <c r="I301" t="s">
        <v>2661</v>
      </c>
      <c r="J301" t="str">
        <f>IF(0 = IFERROR(VLOOKUP(DBL_FullList!I301, ContactsDbl!B:D, 2, FALSE), ""), "", IFERROR(VLOOKUP(DBL_FullList!I301, ContactsDbl!B:D, 2, FALSE), ""))</f>
        <v>dbladmin_intl@sil.org</v>
      </c>
      <c r="K301" t="str">
        <f>IF(0 = IFERROR(VLOOKUP(DBL_FullList!I301,ContactsDbl!B:D, 3, FALSE), ""), "", IFERROR(VLOOKUP(DBL_FullList!I301, ContactsDbl!B:D, 3, FALSE), ""))</f>
        <v>http://www.wycliffe.org</v>
      </c>
      <c r="L301">
        <f t="shared" si="9"/>
        <v>2</v>
      </c>
    </row>
    <row r="302" spans="1:12" x14ac:dyDescent="0.25">
      <c r="A302" t="s">
        <v>3906</v>
      </c>
      <c r="B302" t="str">
        <f>IF(ISERROR(VLOOKUP(F302,STEP!A:A, 1, FALSE)), "N", "Y")</f>
        <v>Y</v>
      </c>
      <c r="C302" t="str">
        <f>IF(ISERROR(VLOOKUP(E302, BibleInEveryLanguageTexts!A:A, 1, FALSE)), "N", "Y")</f>
        <v>N</v>
      </c>
      <c r="D302" t="str">
        <f t="shared" si="8"/>
        <v/>
      </c>
      <c r="E302" t="s">
        <v>3907</v>
      </c>
      <c r="F302" t="s">
        <v>3908</v>
      </c>
      <c r="G302" t="s">
        <v>48</v>
      </c>
      <c r="H302" t="s">
        <v>3909</v>
      </c>
      <c r="I302" t="s">
        <v>2661</v>
      </c>
      <c r="J302" t="str">
        <f>IF(0 = IFERROR(VLOOKUP(DBL_FullList!I302, ContactsDbl!B:D, 2, FALSE), ""), "", IFERROR(VLOOKUP(DBL_FullList!I302, ContactsDbl!B:D, 2, FALSE), ""))</f>
        <v>dbladmin_intl@sil.org</v>
      </c>
      <c r="K302" t="str">
        <f>IF(0 = IFERROR(VLOOKUP(DBL_FullList!I302,ContactsDbl!B:D, 3, FALSE), ""), "", IFERROR(VLOOKUP(DBL_FullList!I302, ContactsDbl!B:D, 3, FALSE), ""))</f>
        <v>http://www.wycliffe.org</v>
      </c>
      <c r="L302">
        <f t="shared" si="9"/>
        <v>2</v>
      </c>
    </row>
    <row r="303" spans="1:12" x14ac:dyDescent="0.25">
      <c r="A303" t="s">
        <v>3910</v>
      </c>
      <c r="B303" t="str">
        <f>IF(ISERROR(VLOOKUP(F303,STEP!A:A, 1, FALSE)), "N", "Y")</f>
        <v>Y</v>
      </c>
      <c r="C303" t="str">
        <f>IF(ISERROR(VLOOKUP(E303, BibleInEveryLanguageTexts!A:A, 1, FALSE)), "N", "Y")</f>
        <v>N</v>
      </c>
      <c r="D303" t="str">
        <f t="shared" si="8"/>
        <v/>
      </c>
      <c r="E303" t="s">
        <v>3911</v>
      </c>
      <c r="F303" t="s">
        <v>3912</v>
      </c>
      <c r="G303" t="s">
        <v>3913</v>
      </c>
      <c r="H303" t="s">
        <v>3914</v>
      </c>
      <c r="I303" t="s">
        <v>2178</v>
      </c>
      <c r="J303" t="str">
        <f>IF(0 = IFERROR(VLOOKUP(DBL_FullList!I303, ContactsDbl!B:D, 2, FALSE), ""), "", IFERROR(VLOOKUP(DBL_FullList!I303, ContactsDbl!B:D, 2, FALSE), ""))</f>
        <v>bibelselskabet@bibelselskabet.dk</v>
      </c>
      <c r="K303" t="str">
        <f>IF(0 = IFERROR(VLOOKUP(DBL_FullList!I303,ContactsDbl!B:D, 3, FALSE), ""), "", IFERROR(VLOOKUP(DBL_FullList!I303, ContactsDbl!B:D, 3, FALSE), ""))</f>
        <v>http://www.bibelselskabet.dk/</v>
      </c>
      <c r="L303">
        <f t="shared" si="9"/>
        <v>2</v>
      </c>
    </row>
    <row r="304" spans="1:12" x14ac:dyDescent="0.25">
      <c r="A304" t="s">
        <v>3915</v>
      </c>
      <c r="B304" t="str">
        <f>IF(ISERROR(VLOOKUP(F304,STEP!A:A, 1, FALSE)), "N", "Y")</f>
        <v>N</v>
      </c>
      <c r="C304" t="str">
        <f>IF(ISERROR(VLOOKUP(E304, BibleInEveryLanguageTexts!A:A, 1, FALSE)), "N", "Y")</f>
        <v>Y</v>
      </c>
      <c r="D304" t="str">
        <f t="shared" si="8"/>
        <v/>
      </c>
      <c r="E304" t="s">
        <v>371</v>
      </c>
      <c r="F304" t="s">
        <v>370</v>
      </c>
      <c r="G304" t="s">
        <v>20</v>
      </c>
      <c r="H304" t="s">
        <v>3916</v>
      </c>
      <c r="I304" t="s">
        <v>2329</v>
      </c>
      <c r="J304" t="str">
        <f>IF(0 = IFERROR(VLOOKUP(DBL_FullList!I304, ContactsDbl!B:D, 2, FALSE), ""), "", IFERROR(VLOOKUP(DBL_FullList!I304, ContactsDbl!B:D, 2, FALSE), ""))</f>
        <v/>
      </c>
      <c r="K304" t="str">
        <f>IF(0 = IFERROR(VLOOKUP(DBL_FullList!I304,ContactsDbl!B:D, 3, FALSE), ""), "", IFERROR(VLOOKUP(DBL_FullList!I304, ContactsDbl!B:D, 3, FALSE), ""))</f>
        <v>http://www.bsind.org/</v>
      </c>
      <c r="L304">
        <f t="shared" si="9"/>
        <v>1</v>
      </c>
    </row>
    <row r="305" spans="1:12" x14ac:dyDescent="0.25">
      <c r="A305" t="s">
        <v>3917</v>
      </c>
      <c r="B305" t="str">
        <f>IF(ISERROR(VLOOKUP(F305,STEP!A:A, 1, FALSE)), "N", "Y")</f>
        <v>N</v>
      </c>
      <c r="C305" t="str">
        <f>IF(ISERROR(VLOOKUP(E305, BibleInEveryLanguageTexts!A:A, 1, FALSE)), "N", "Y")</f>
        <v>N</v>
      </c>
      <c r="D305" t="str">
        <f t="shared" si="8"/>
        <v>X</v>
      </c>
      <c r="E305" t="s">
        <v>1923</v>
      </c>
      <c r="F305" t="s">
        <v>3918</v>
      </c>
      <c r="G305" t="s">
        <v>2997</v>
      </c>
      <c r="H305" t="s">
        <v>3919</v>
      </c>
      <c r="I305" t="s">
        <v>2248</v>
      </c>
      <c r="J305" t="str">
        <f>IF(0 = IFERROR(VLOOKUP(DBL_FullList!I305, ContactsDbl!B:D, 2, FALSE), ""), "", IFERROR(VLOOKUP(DBL_FullList!I305, ContactsDbl!B:D, 2, FALSE), ""))</f>
        <v>dokurugu@biblesociety-ghana.org</v>
      </c>
      <c r="K305" t="str">
        <f>IF(0 = IFERROR(VLOOKUP(DBL_FullList!I305,ContactsDbl!B:D, 3, FALSE), ""), "", IFERROR(VLOOKUP(DBL_FullList!I305, ContactsDbl!B:D, 3, FALSE), ""))</f>
        <v>http://www.biblesociety-ghana.org/</v>
      </c>
      <c r="L305">
        <f t="shared" si="9"/>
        <v>2</v>
      </c>
    </row>
    <row r="306" spans="1:12" x14ac:dyDescent="0.25">
      <c r="A306" t="s">
        <v>3920</v>
      </c>
      <c r="B306" t="str">
        <f>IF(ISERROR(VLOOKUP(F306,STEP!A:A, 1, FALSE)), "N", "Y")</f>
        <v>N</v>
      </c>
      <c r="C306" t="str">
        <f>IF(ISERROR(VLOOKUP(E306, BibleInEveryLanguageTexts!A:A, 1, FALSE)), "N", "Y")</f>
        <v>N</v>
      </c>
      <c r="D306" t="str">
        <f t="shared" si="8"/>
        <v>X</v>
      </c>
      <c r="E306" t="s">
        <v>3921</v>
      </c>
      <c r="F306" t="s">
        <v>3922</v>
      </c>
      <c r="G306" t="s">
        <v>2858</v>
      </c>
      <c r="H306" t="s">
        <v>3923</v>
      </c>
      <c r="I306" t="s">
        <v>2505</v>
      </c>
      <c r="J306" t="str">
        <f>IF(0 = IFERROR(VLOOKUP(DBL_FullList!I306, ContactsDbl!B:D, 2, FALSE), ""), "", IFERROR(VLOOKUP(DBL_FullList!I306, ContactsDbl!B:D, 2, FALSE), ""))</f>
        <v/>
      </c>
      <c r="K306" t="str">
        <f>IF(0 = IFERROR(VLOOKUP(DBL_FullList!I306,ContactsDbl!B:D, 3, FALSE), ""), "", IFERROR(VLOOKUP(DBL_FullList!I306, ContactsDbl!B:D, 3, FALSE), ""))</f>
        <v>http://www.bible.org.ph/</v>
      </c>
      <c r="L306">
        <f t="shared" si="9"/>
        <v>1</v>
      </c>
    </row>
    <row r="307" spans="1:12" x14ac:dyDescent="0.25">
      <c r="A307" s="1" t="s">
        <v>3924</v>
      </c>
      <c r="B307" t="str">
        <f>IF(ISERROR(VLOOKUP(F307,STEP!A:A, 1, FALSE)), "N", "Y")</f>
        <v>N</v>
      </c>
      <c r="C307" t="str">
        <f>IF(ISERROR(VLOOKUP(E307, BibleInEveryLanguageTexts!A:A, 1, FALSE)), "N", "Y")</f>
        <v>N</v>
      </c>
      <c r="D307" t="str">
        <f t="shared" si="8"/>
        <v>X</v>
      </c>
      <c r="E307" t="s">
        <v>3925</v>
      </c>
      <c r="F307" t="s">
        <v>3926</v>
      </c>
      <c r="G307" t="s">
        <v>306</v>
      </c>
      <c r="H307" t="s">
        <v>3927</v>
      </c>
      <c r="I307" t="s">
        <v>183</v>
      </c>
      <c r="J307" t="str">
        <f>IF(0 = IFERROR(VLOOKUP(DBL_FullList!I307, ContactsDbl!B:D, 2, FALSE), ""), "", IFERROR(VLOOKUP(DBL_FullList!I307, ContactsDbl!B:D, 2, FALSE), ""))</f>
        <v>dbl@biblesocieties.org</v>
      </c>
      <c r="K307" t="str">
        <f>IF(0 = IFERROR(VLOOKUP(DBL_FullList!I307,ContactsDbl!B:D, 3, FALSE), ""), "", IFERROR(VLOOKUP(DBL_FullList!I307, ContactsDbl!B:D, 3, FALSE), ""))</f>
        <v>http://www.unitedbiblesocieties.org/</v>
      </c>
      <c r="L307">
        <f t="shared" si="9"/>
        <v>2</v>
      </c>
    </row>
    <row r="308" spans="1:12" x14ac:dyDescent="0.25">
      <c r="A308" t="s">
        <v>3928</v>
      </c>
      <c r="B308" t="str">
        <f>IF(ISERROR(VLOOKUP(F308,STEP!A:A, 1, FALSE)), "N", "Y")</f>
        <v>N</v>
      </c>
      <c r="C308" t="str">
        <f>IF(ISERROR(VLOOKUP(E308, BibleInEveryLanguageTexts!A:A, 1, FALSE)), "N", "Y")</f>
        <v>N</v>
      </c>
      <c r="D308" t="str">
        <f t="shared" si="8"/>
        <v>X</v>
      </c>
      <c r="E308" t="s">
        <v>3929</v>
      </c>
      <c r="F308" t="s">
        <v>3930</v>
      </c>
      <c r="G308" t="s">
        <v>2838</v>
      </c>
      <c r="H308" t="s">
        <v>3931</v>
      </c>
      <c r="I308" t="s">
        <v>2661</v>
      </c>
      <c r="J308" t="str">
        <f>IF(0 = IFERROR(VLOOKUP(DBL_FullList!I308, ContactsDbl!B:D, 2, FALSE), ""), "", IFERROR(VLOOKUP(DBL_FullList!I308, ContactsDbl!B:D, 2, FALSE), ""))</f>
        <v>dbladmin_intl@sil.org</v>
      </c>
      <c r="K308" t="str">
        <f>IF(0 = IFERROR(VLOOKUP(DBL_FullList!I308,ContactsDbl!B:D, 3, FALSE), ""), "", IFERROR(VLOOKUP(DBL_FullList!I308, ContactsDbl!B:D, 3, FALSE), ""))</f>
        <v>http://www.wycliffe.org</v>
      </c>
      <c r="L308">
        <f t="shared" si="9"/>
        <v>2</v>
      </c>
    </row>
    <row r="309" spans="1:12" x14ac:dyDescent="0.25">
      <c r="A309" t="s">
        <v>3932</v>
      </c>
      <c r="B309" t="str">
        <f>IF(ISERROR(VLOOKUP(F309,STEP!A:A, 1, FALSE)), "N", "Y")</f>
        <v>N</v>
      </c>
      <c r="C309" t="str">
        <f>IF(ISERROR(VLOOKUP(E309, BibleInEveryLanguageTexts!A:A, 1, FALSE)), "N", "Y")</f>
        <v>N</v>
      </c>
      <c r="D309" t="str">
        <f t="shared" si="8"/>
        <v>X</v>
      </c>
      <c r="E309" t="s">
        <v>3933</v>
      </c>
      <c r="F309" t="s">
        <v>3934</v>
      </c>
      <c r="G309" t="s">
        <v>2756</v>
      </c>
      <c r="H309" t="s">
        <v>3935</v>
      </c>
      <c r="I309" t="s">
        <v>2661</v>
      </c>
      <c r="J309" t="str">
        <f>IF(0 = IFERROR(VLOOKUP(DBL_FullList!I309, ContactsDbl!B:D, 2, FALSE), ""), "", IFERROR(VLOOKUP(DBL_FullList!I309, ContactsDbl!B:D, 2, FALSE), ""))</f>
        <v>dbladmin_intl@sil.org</v>
      </c>
      <c r="K309" t="str">
        <f>IF(0 = IFERROR(VLOOKUP(DBL_FullList!I309,ContactsDbl!B:D, 3, FALSE), ""), "", IFERROR(VLOOKUP(DBL_FullList!I309, ContactsDbl!B:D, 3, FALSE), ""))</f>
        <v>http://www.wycliffe.org</v>
      </c>
      <c r="L309">
        <f t="shared" si="9"/>
        <v>2</v>
      </c>
    </row>
    <row r="310" spans="1:12" x14ac:dyDescent="0.25">
      <c r="A310" t="s">
        <v>3936</v>
      </c>
      <c r="B310" t="str">
        <f>IF(ISERROR(VLOOKUP(F310,STEP!A:A, 1, FALSE)), "N", "Y")</f>
        <v>Y</v>
      </c>
      <c r="C310" t="str">
        <f>IF(ISERROR(VLOOKUP(E310, BibleInEveryLanguageTexts!A:A, 1, FALSE)), "N", "Y")</f>
        <v>N</v>
      </c>
      <c r="D310" t="str">
        <f t="shared" si="8"/>
        <v/>
      </c>
      <c r="E310" t="s">
        <v>3911</v>
      </c>
      <c r="F310" t="s">
        <v>3912</v>
      </c>
      <c r="G310" t="s">
        <v>3913</v>
      </c>
      <c r="H310" t="s">
        <v>3937</v>
      </c>
      <c r="I310" t="s">
        <v>2178</v>
      </c>
      <c r="J310" t="str">
        <f>IF(0 = IFERROR(VLOOKUP(DBL_FullList!I310, ContactsDbl!B:D, 2, FALSE), ""), "", IFERROR(VLOOKUP(DBL_FullList!I310, ContactsDbl!B:D, 2, FALSE), ""))</f>
        <v>bibelselskabet@bibelselskabet.dk</v>
      </c>
      <c r="K310" t="str">
        <f>IF(0 = IFERROR(VLOOKUP(DBL_FullList!I310,ContactsDbl!B:D, 3, FALSE), ""), "", IFERROR(VLOOKUP(DBL_FullList!I310, ContactsDbl!B:D, 3, FALSE), ""))</f>
        <v>http://www.bibelselskabet.dk/</v>
      </c>
      <c r="L310">
        <f t="shared" si="9"/>
        <v>2</v>
      </c>
    </row>
    <row r="311" spans="1:12" x14ac:dyDescent="0.25">
      <c r="A311" t="s">
        <v>3938</v>
      </c>
      <c r="B311" t="str">
        <f>IF(ISERROR(VLOOKUP(F311,STEP!A:A, 1, FALSE)), "N", "Y")</f>
        <v>Y</v>
      </c>
      <c r="C311" t="str">
        <f>IF(ISERROR(VLOOKUP(E311, BibleInEveryLanguageTexts!A:A, 1, FALSE)), "N", "Y")</f>
        <v>N</v>
      </c>
      <c r="D311" t="str">
        <f t="shared" si="8"/>
        <v/>
      </c>
      <c r="E311" t="s">
        <v>3939</v>
      </c>
      <c r="F311" t="s">
        <v>3940</v>
      </c>
      <c r="G311" t="s">
        <v>48</v>
      </c>
      <c r="H311" t="s">
        <v>3941</v>
      </c>
      <c r="I311" t="s">
        <v>2661</v>
      </c>
      <c r="J311" t="str">
        <f>IF(0 = IFERROR(VLOOKUP(DBL_FullList!I311, ContactsDbl!B:D, 2, FALSE), ""), "", IFERROR(VLOOKUP(DBL_FullList!I311, ContactsDbl!B:D, 2, FALSE), ""))</f>
        <v>dbladmin_intl@sil.org</v>
      </c>
      <c r="K311" t="str">
        <f>IF(0 = IFERROR(VLOOKUP(DBL_FullList!I311,ContactsDbl!B:D, 3, FALSE), ""), "", IFERROR(VLOOKUP(DBL_FullList!I311, ContactsDbl!B:D, 3, FALSE), ""))</f>
        <v>http://www.wycliffe.org</v>
      </c>
      <c r="L311">
        <f t="shared" si="9"/>
        <v>2</v>
      </c>
    </row>
    <row r="312" spans="1:12" x14ac:dyDescent="0.25">
      <c r="A312" t="s">
        <v>3942</v>
      </c>
      <c r="B312" t="str">
        <f>IF(ISERROR(VLOOKUP(F312,STEP!A:A, 1, FALSE)), "N", "Y")</f>
        <v>N</v>
      </c>
      <c r="C312" t="str">
        <f>IF(ISERROR(VLOOKUP(E312, BibleInEveryLanguageTexts!A:A, 1, FALSE)), "N", "Y")</f>
        <v>N</v>
      </c>
      <c r="D312" t="str">
        <f t="shared" si="8"/>
        <v>X</v>
      </c>
      <c r="E312" t="s">
        <v>3943</v>
      </c>
      <c r="F312" t="s">
        <v>3944</v>
      </c>
      <c r="G312" t="s">
        <v>102</v>
      </c>
      <c r="H312" t="s">
        <v>3945</v>
      </c>
      <c r="I312" t="s">
        <v>2267</v>
      </c>
      <c r="J312" t="str">
        <f>IF(0 = IFERROR(VLOOKUP(DBL_FullList!I312, ContactsDbl!B:D, 2, FALSE), ""), "", IFERROR(VLOOKUP(DBL_FullList!I312, ContactsDbl!B:D, 2, FALSE), ""))</f>
        <v>alliancegn@yahoo.com</v>
      </c>
      <c r="K312" t="str">
        <f>IF(0 = IFERROR(VLOOKUP(DBL_FullList!I312,ContactsDbl!B:D, 3, FALSE), ""), "", IFERROR(VLOOKUP(DBL_FullList!I312, ContactsDbl!B:D, 3, FALSE), ""))</f>
        <v/>
      </c>
      <c r="L312">
        <f t="shared" si="9"/>
        <v>2</v>
      </c>
    </row>
    <row r="313" spans="1:12" x14ac:dyDescent="0.25">
      <c r="A313" t="s">
        <v>3946</v>
      </c>
      <c r="B313" t="str">
        <f>IF(ISERROR(VLOOKUP(F313,STEP!A:A, 1, FALSE)), "N", "Y")</f>
        <v>N</v>
      </c>
      <c r="C313" t="str">
        <f>IF(ISERROR(VLOOKUP(E313, BibleInEveryLanguageTexts!A:A, 1, FALSE)), "N", "Y")</f>
        <v>N</v>
      </c>
      <c r="D313" t="str">
        <f t="shared" si="8"/>
        <v>X</v>
      </c>
      <c r="E313" t="s">
        <v>3947</v>
      </c>
      <c r="F313" t="s">
        <v>3948</v>
      </c>
      <c r="G313" t="s">
        <v>2756</v>
      </c>
      <c r="H313" t="s">
        <v>3949</v>
      </c>
      <c r="I313" t="s">
        <v>2126</v>
      </c>
      <c r="J313" t="str">
        <f>IF(0 = IFERROR(VLOOKUP(DBL_FullList!I313, ContactsDbl!B:D, 2, FALSE), ""), "", IFERROR(VLOOKUP(DBL_FullList!I313, ContactsDbl!B:D, 2, FALSE), ""))</f>
        <v>gluke@biblesocieties.org</v>
      </c>
      <c r="K313" t="str">
        <f>IF(0 = IFERROR(VLOOKUP(DBL_FullList!I313,ContactsDbl!B:D, 3, FALSE), ""), "", IFERROR(VLOOKUP(DBL_FullList!I313, ContactsDbl!B:D, 3, FALSE), ""))</f>
        <v>http://www.biblesociety-cameroon.org/</v>
      </c>
      <c r="L313">
        <f t="shared" si="9"/>
        <v>2</v>
      </c>
    </row>
    <row r="314" spans="1:12" x14ac:dyDescent="0.25">
      <c r="A314" t="s">
        <v>3950</v>
      </c>
      <c r="B314" t="str">
        <f>IF(ISERROR(VLOOKUP(F314,STEP!A:A, 1, FALSE)), "N", "Y")</f>
        <v>N</v>
      </c>
      <c r="C314" t="str">
        <f>IF(ISERROR(VLOOKUP(E314, BibleInEveryLanguageTexts!A:A, 1, FALSE)), "N", "Y")</f>
        <v>N</v>
      </c>
      <c r="D314" t="str">
        <f t="shared" si="8"/>
        <v>X</v>
      </c>
      <c r="E314" t="s">
        <v>3951</v>
      </c>
      <c r="F314" t="s">
        <v>3952</v>
      </c>
      <c r="G314" t="s">
        <v>2733</v>
      </c>
      <c r="H314" t="s">
        <v>3364</v>
      </c>
      <c r="I314" t="s">
        <v>2013</v>
      </c>
      <c r="J314" t="str">
        <f>IF(0 = IFERROR(VLOOKUP(DBL_FullList!I314, ContactsDbl!B:D, 2, FALSE), ""), "", IFERROR(VLOOKUP(DBL_FullList!I314, ContactsDbl!B:D, 2, FALSE), ""))</f>
        <v>fcossio@biblesocieties.org</v>
      </c>
      <c r="K314" t="str">
        <f>IF(0 = IFERROR(VLOOKUP(DBL_FullList!I314,ContactsDbl!B:D, 3, FALSE), ""), "", IFERROR(VLOOKUP(DBL_FullList!I314, ContactsDbl!B:D, 3, FALSE), ""))</f>
        <v>http://sociedadbiblicaboliviana.org</v>
      </c>
      <c r="L314">
        <f t="shared" si="9"/>
        <v>2</v>
      </c>
    </row>
    <row r="315" spans="1:12" x14ac:dyDescent="0.25">
      <c r="A315" t="s">
        <v>3953</v>
      </c>
      <c r="B315" t="str">
        <f>IF(ISERROR(VLOOKUP(F315,STEP!A:A, 1, FALSE)), "N", "Y")</f>
        <v>Y</v>
      </c>
      <c r="C315" t="str">
        <f>IF(ISERROR(VLOOKUP(E315, BibleInEveryLanguageTexts!A:A, 1, FALSE)), "N", "Y")</f>
        <v>N</v>
      </c>
      <c r="D315" t="str">
        <f t="shared" si="8"/>
        <v/>
      </c>
      <c r="E315" t="s">
        <v>3954</v>
      </c>
      <c r="F315" t="s">
        <v>3955</v>
      </c>
      <c r="G315" t="s">
        <v>48</v>
      </c>
      <c r="H315" t="s">
        <v>3956</v>
      </c>
      <c r="I315" t="s">
        <v>2661</v>
      </c>
      <c r="J315" t="str">
        <f>IF(0 = IFERROR(VLOOKUP(DBL_FullList!I315, ContactsDbl!B:D, 2, FALSE), ""), "", IFERROR(VLOOKUP(DBL_FullList!I315, ContactsDbl!B:D, 2, FALSE), ""))</f>
        <v>dbladmin_intl@sil.org</v>
      </c>
      <c r="K315" t="str">
        <f>IF(0 = IFERROR(VLOOKUP(DBL_FullList!I315,ContactsDbl!B:D, 3, FALSE), ""), "", IFERROR(VLOOKUP(DBL_FullList!I315, ContactsDbl!B:D, 3, FALSE), ""))</f>
        <v>http://www.wycliffe.org</v>
      </c>
      <c r="L315">
        <f t="shared" si="9"/>
        <v>2</v>
      </c>
    </row>
    <row r="316" spans="1:12" x14ac:dyDescent="0.25">
      <c r="A316" t="s">
        <v>3957</v>
      </c>
      <c r="B316" t="str">
        <f>IF(ISERROR(VLOOKUP(F316,STEP!A:A, 1, FALSE)), "N", "Y")</f>
        <v>N</v>
      </c>
      <c r="C316" t="str">
        <f>IF(ISERROR(VLOOKUP(E316, BibleInEveryLanguageTexts!A:A, 1, FALSE)), "N", "Y")</f>
        <v>N</v>
      </c>
      <c r="D316" t="str">
        <f t="shared" si="8"/>
        <v>X</v>
      </c>
      <c r="E316" t="s">
        <v>3958</v>
      </c>
      <c r="F316" t="s">
        <v>3959</v>
      </c>
      <c r="G316" t="s">
        <v>268</v>
      </c>
      <c r="H316" t="s">
        <v>3960</v>
      </c>
      <c r="I316" t="s">
        <v>2131</v>
      </c>
      <c r="J316" t="str">
        <f>IF(0 = IFERROR(VLOOKUP(DBL_FullList!I316, ContactsDbl!B:D, 2, FALSE), ""), "", IFERROR(VLOOKUP(DBL_FullList!I316, ContactsDbl!B:D, 2, FALSE), ""))</f>
        <v>dbl@biblesociety.ca</v>
      </c>
      <c r="K316" t="str">
        <f>IF(0 = IFERROR(VLOOKUP(DBL_FullList!I316,ContactsDbl!B:D, 3, FALSE), ""), "", IFERROR(VLOOKUP(DBL_FullList!I316, ContactsDbl!B:D, 3, FALSE), ""))</f>
        <v>http://www.biblesociety.ca</v>
      </c>
      <c r="L316">
        <f t="shared" si="9"/>
        <v>2</v>
      </c>
    </row>
    <row r="317" spans="1:12" x14ac:dyDescent="0.25">
      <c r="A317" t="s">
        <v>3961</v>
      </c>
      <c r="B317" t="str">
        <f>IF(ISERROR(VLOOKUP(F317,STEP!A:A, 1, FALSE)), "N", "Y")</f>
        <v>N</v>
      </c>
      <c r="C317" t="str">
        <f>IF(ISERROR(VLOOKUP(E317, BibleInEveryLanguageTexts!A:A, 1, FALSE)), "N", "Y")</f>
        <v>N</v>
      </c>
      <c r="D317" t="str">
        <f t="shared" si="8"/>
        <v>X</v>
      </c>
      <c r="E317" t="s">
        <v>3962</v>
      </c>
      <c r="F317" t="s">
        <v>3963</v>
      </c>
      <c r="G317" t="s">
        <v>2997</v>
      </c>
      <c r="H317" t="s">
        <v>3964</v>
      </c>
      <c r="I317" t="s">
        <v>2661</v>
      </c>
      <c r="J317" t="str">
        <f>IF(0 = IFERROR(VLOOKUP(DBL_FullList!I317, ContactsDbl!B:D, 2, FALSE), ""), "", IFERROR(VLOOKUP(DBL_FullList!I317, ContactsDbl!B:D, 2, FALSE), ""))</f>
        <v>dbladmin_intl@sil.org</v>
      </c>
      <c r="K317" t="str">
        <f>IF(0 = IFERROR(VLOOKUP(DBL_FullList!I317,ContactsDbl!B:D, 3, FALSE), ""), "", IFERROR(VLOOKUP(DBL_FullList!I317, ContactsDbl!B:D, 3, FALSE), ""))</f>
        <v>http://www.wycliffe.org</v>
      </c>
      <c r="L317">
        <f t="shared" si="9"/>
        <v>2</v>
      </c>
    </row>
    <row r="318" spans="1:12" x14ac:dyDescent="0.25">
      <c r="A318" t="s">
        <v>3965</v>
      </c>
      <c r="B318" t="str">
        <f>IF(ISERROR(VLOOKUP(F318,STEP!A:A, 1, FALSE)), "N", "Y")</f>
        <v>N</v>
      </c>
      <c r="C318" t="str">
        <f>IF(ISERROR(VLOOKUP(E318, BibleInEveryLanguageTexts!A:A, 1, FALSE)), "N", "Y")</f>
        <v>Y</v>
      </c>
      <c r="D318" t="str">
        <f t="shared" si="8"/>
        <v/>
      </c>
      <c r="E318" t="s">
        <v>2700</v>
      </c>
      <c r="F318" t="s">
        <v>3317</v>
      </c>
      <c r="G318" t="s">
        <v>3418</v>
      </c>
      <c r="H318" t="s">
        <v>3966</v>
      </c>
      <c r="I318" t="s">
        <v>2226</v>
      </c>
      <c r="J318" t="str">
        <f>IF(0 = IFERROR(VLOOKUP(DBL_FullList!I318, ContactsDbl!B:D, 2, FALSE), ""), "", IFERROR(VLOOKUP(DBL_FullList!I318, ContactsDbl!B:D, 2, FALSE), ""))</f>
        <v>alliance.biblique@sbf.fr</v>
      </c>
      <c r="K318" t="str">
        <f>IF(0 = IFERROR(VLOOKUP(DBL_FullList!I318,ContactsDbl!B:D, 3, FALSE), ""), "", IFERROR(VLOOKUP(DBL_FullList!I318, ContactsDbl!B:D, 3, FALSE), ""))</f>
        <v>www.alliancebiblique.fr</v>
      </c>
      <c r="L318">
        <f t="shared" si="9"/>
        <v>2</v>
      </c>
    </row>
    <row r="319" spans="1:12" x14ac:dyDescent="0.25">
      <c r="A319" t="s">
        <v>3967</v>
      </c>
      <c r="B319" t="str">
        <f>IF(ISERROR(VLOOKUP(F319,STEP!A:A, 1, FALSE)), "N", "Y")</f>
        <v>N</v>
      </c>
      <c r="C319" t="str">
        <f>IF(ISERROR(VLOOKUP(E319, BibleInEveryLanguageTexts!A:A, 1, FALSE)), "N", "Y")</f>
        <v>N</v>
      </c>
      <c r="D319" t="str">
        <f t="shared" si="8"/>
        <v>X</v>
      </c>
      <c r="E319" t="s">
        <v>3968</v>
      </c>
      <c r="F319" t="s">
        <v>3969</v>
      </c>
      <c r="G319" t="s">
        <v>20</v>
      </c>
      <c r="H319" t="s">
        <v>3970</v>
      </c>
      <c r="I319" t="s">
        <v>2329</v>
      </c>
      <c r="J319" t="str">
        <f>IF(0 = IFERROR(VLOOKUP(DBL_FullList!I319, ContactsDbl!B:D, 2, FALSE), ""), "", IFERROR(VLOOKUP(DBL_FullList!I319, ContactsDbl!B:D, 2, FALSE), ""))</f>
        <v/>
      </c>
      <c r="K319" t="str">
        <f>IF(0 = IFERROR(VLOOKUP(DBL_FullList!I319,ContactsDbl!B:D, 3, FALSE), ""), "", IFERROR(VLOOKUP(DBL_FullList!I319, ContactsDbl!B:D, 3, FALSE), ""))</f>
        <v>http://www.bsind.org/</v>
      </c>
      <c r="L319">
        <f t="shared" si="9"/>
        <v>1</v>
      </c>
    </row>
    <row r="320" spans="1:12" x14ac:dyDescent="0.25">
      <c r="A320" t="s">
        <v>3971</v>
      </c>
      <c r="B320" t="str">
        <f>IF(ISERROR(VLOOKUP(F320,STEP!A:A, 1, FALSE)), "N", "Y")</f>
        <v>N</v>
      </c>
      <c r="C320" t="str">
        <f>IF(ISERROR(VLOOKUP(E320, BibleInEveryLanguageTexts!A:A, 1, FALSE)), "N", "Y")</f>
        <v>N</v>
      </c>
      <c r="D320" t="str">
        <f t="shared" si="8"/>
        <v>X</v>
      </c>
      <c r="E320" t="s">
        <v>3674</v>
      </c>
      <c r="F320" t="s">
        <v>3675</v>
      </c>
      <c r="G320" t="s">
        <v>20</v>
      </c>
      <c r="H320" t="s">
        <v>3972</v>
      </c>
      <c r="I320" t="s">
        <v>2329</v>
      </c>
      <c r="J320" t="str">
        <f>IF(0 = IFERROR(VLOOKUP(DBL_FullList!I320, ContactsDbl!B:D, 2, FALSE), ""), "", IFERROR(VLOOKUP(DBL_FullList!I320, ContactsDbl!B:D, 2, FALSE), ""))</f>
        <v/>
      </c>
      <c r="K320" t="str">
        <f>IF(0 = IFERROR(VLOOKUP(DBL_FullList!I320,ContactsDbl!B:D, 3, FALSE), ""), "", IFERROR(VLOOKUP(DBL_FullList!I320, ContactsDbl!B:D, 3, FALSE), ""))</f>
        <v>http://www.bsind.org/</v>
      </c>
      <c r="L320">
        <f t="shared" si="9"/>
        <v>1</v>
      </c>
    </row>
    <row r="321" spans="1:12" x14ac:dyDescent="0.25">
      <c r="A321" t="s">
        <v>3973</v>
      </c>
      <c r="B321" t="str">
        <f>IF(ISERROR(VLOOKUP(F321,STEP!A:A, 1, FALSE)), "N", "Y")</f>
        <v>N</v>
      </c>
      <c r="C321" t="str">
        <f>IF(ISERROR(VLOOKUP(E321, BibleInEveryLanguageTexts!A:A, 1, FALSE)), "N", "Y")</f>
        <v>Y</v>
      </c>
      <c r="D321" t="str">
        <f t="shared" si="8"/>
        <v/>
      </c>
      <c r="E321" t="s">
        <v>2704</v>
      </c>
      <c r="F321" t="s">
        <v>3193</v>
      </c>
      <c r="G321" t="s">
        <v>3194</v>
      </c>
      <c r="H321" t="s">
        <v>1408</v>
      </c>
      <c r="I321" t="s">
        <v>1997</v>
      </c>
      <c r="J321" t="str">
        <f>IF(0 = IFERROR(VLOOKUP(DBL_FullList!I321, ContactsDbl!B:D, 2, FALSE), ""), "", IFERROR(VLOOKUP(DBL_FullList!I321, ContactsDbl!B:D, 2, FALSE), ""))</f>
        <v>Lee.Harris@biblica.com</v>
      </c>
      <c r="K321" t="str">
        <f>IF(0 = IFERROR(VLOOKUP(DBL_FullList!I321,ContactsDbl!B:D, 3, FALSE), ""), "", IFERROR(VLOOKUP(DBL_FullList!I321, ContactsDbl!B:D, 3, FALSE), ""))</f>
        <v>http://www.Biblica.com</v>
      </c>
      <c r="L321">
        <f t="shared" si="9"/>
        <v>2</v>
      </c>
    </row>
    <row r="322" spans="1:12" x14ac:dyDescent="0.25">
      <c r="A322" t="s">
        <v>3974</v>
      </c>
      <c r="B322" t="str">
        <f>IF(ISERROR(VLOOKUP(F322,STEP!A:A, 1, FALSE)), "N", "Y")</f>
        <v>N</v>
      </c>
      <c r="C322" t="str">
        <f>IF(ISERROR(VLOOKUP(E322, BibleInEveryLanguageTexts!A:A, 1, FALSE)), "N", "Y")</f>
        <v>Y</v>
      </c>
      <c r="D322" t="str">
        <f t="shared" si="8"/>
        <v/>
      </c>
      <c r="E322" t="s">
        <v>2700</v>
      </c>
      <c r="F322" t="s">
        <v>3317</v>
      </c>
      <c r="G322" t="s">
        <v>3975</v>
      </c>
      <c r="H322" t="s">
        <v>3976</v>
      </c>
      <c r="I322" t="s">
        <v>2548</v>
      </c>
      <c r="J322" t="str">
        <f>IF(0 = IFERROR(VLOOKUP(DBL_FullList!I322, ContactsDbl!B:D, 2, FALSE), ""), "", IFERROR(VLOOKUP(DBL_FullList!I322, ContactsDbl!B:D, 2, FALSE), ""))</f>
        <v>lj@bible.ch</v>
      </c>
      <c r="K322" t="str">
        <f>IF(0 = IFERROR(VLOOKUP(DBL_FullList!I322,ContactsDbl!B:D, 3, FALSE), ""), "", IFERROR(VLOOKUP(DBL_FullList!I322, ContactsDbl!B:D, 3, FALSE), ""))</f>
        <v>https://www.bible-society.org/en</v>
      </c>
      <c r="L322">
        <f t="shared" si="9"/>
        <v>2</v>
      </c>
    </row>
    <row r="323" spans="1:12" x14ac:dyDescent="0.25">
      <c r="A323" t="s">
        <v>3977</v>
      </c>
      <c r="B323" t="str">
        <f>IF(ISERROR(VLOOKUP(F323,STEP!A:A, 1, FALSE)), "N", "Y")</f>
        <v>N</v>
      </c>
      <c r="C323" t="str">
        <f>IF(ISERROR(VLOOKUP(E323, BibleInEveryLanguageTexts!A:A, 1, FALSE)), "N", "Y")</f>
        <v>N</v>
      </c>
      <c r="D323" t="str">
        <f t="shared" ref="D323:D386" si="10">IF(AND("N" = B323, "N" = C323), "X", "")</f>
        <v>X</v>
      </c>
      <c r="E323" t="s">
        <v>3978</v>
      </c>
      <c r="F323" t="s">
        <v>3979</v>
      </c>
      <c r="G323" t="s">
        <v>2848</v>
      </c>
      <c r="H323" t="s">
        <v>3980</v>
      </c>
      <c r="I323" t="s">
        <v>2661</v>
      </c>
      <c r="J323" t="str">
        <f>IF(0 = IFERROR(VLOOKUP(DBL_FullList!I323, ContactsDbl!B:D, 2, FALSE), ""), "", IFERROR(VLOOKUP(DBL_FullList!I323, ContactsDbl!B:D, 2, FALSE), ""))</f>
        <v>dbladmin_intl@sil.org</v>
      </c>
      <c r="K323" t="str">
        <f>IF(0 = IFERROR(VLOOKUP(DBL_FullList!I323,ContactsDbl!B:D, 3, FALSE), ""), "", IFERROR(VLOOKUP(DBL_FullList!I323, ContactsDbl!B:D, 3, FALSE), ""))</f>
        <v>http://www.wycliffe.org</v>
      </c>
      <c r="L323">
        <f t="shared" ref="L323:L386" si="11">IF("" &lt;&gt; J323, 2, IF("" &lt;&gt; K323, 1, 0))</f>
        <v>2</v>
      </c>
    </row>
    <row r="324" spans="1:12" x14ac:dyDescent="0.25">
      <c r="A324" t="s">
        <v>3981</v>
      </c>
      <c r="B324" t="str">
        <f>IF(ISERROR(VLOOKUP(F324,STEP!A:A, 1, FALSE)), "N", "Y")</f>
        <v>N</v>
      </c>
      <c r="C324" t="str">
        <f>IF(ISERROR(VLOOKUP(E324, BibleInEveryLanguageTexts!A:A, 1, FALSE)), "N", "Y")</f>
        <v>N</v>
      </c>
      <c r="D324" t="str">
        <f t="shared" si="10"/>
        <v>X</v>
      </c>
      <c r="E324" t="s">
        <v>3982</v>
      </c>
      <c r="F324" t="s">
        <v>3983</v>
      </c>
      <c r="G324" t="s">
        <v>3984</v>
      </c>
      <c r="H324" t="s">
        <v>3985</v>
      </c>
      <c r="I324" t="s">
        <v>2661</v>
      </c>
      <c r="J324" t="str">
        <f>IF(0 = IFERROR(VLOOKUP(DBL_FullList!I324, ContactsDbl!B:D, 2, FALSE), ""), "", IFERROR(VLOOKUP(DBL_FullList!I324, ContactsDbl!B:D, 2, FALSE), ""))</f>
        <v>dbladmin_intl@sil.org</v>
      </c>
      <c r="K324" t="str">
        <f>IF(0 = IFERROR(VLOOKUP(DBL_FullList!I324,ContactsDbl!B:D, 3, FALSE), ""), "", IFERROR(VLOOKUP(DBL_FullList!I324, ContactsDbl!B:D, 3, FALSE), ""))</f>
        <v>http://www.wycliffe.org</v>
      </c>
      <c r="L324">
        <f t="shared" si="11"/>
        <v>2</v>
      </c>
    </row>
    <row r="325" spans="1:12" x14ac:dyDescent="0.25">
      <c r="A325" t="s">
        <v>3986</v>
      </c>
      <c r="B325" t="str">
        <f>IF(ISERROR(VLOOKUP(F325,STEP!A:A, 1, FALSE)), "N", "Y")</f>
        <v>N</v>
      </c>
      <c r="C325" t="str">
        <f>IF(ISERROR(VLOOKUP(E325, BibleInEveryLanguageTexts!A:A, 1, FALSE)), "N", "Y")</f>
        <v>N</v>
      </c>
      <c r="D325" t="str">
        <f t="shared" si="10"/>
        <v>X</v>
      </c>
      <c r="E325" t="s">
        <v>3987</v>
      </c>
      <c r="F325" t="s">
        <v>3988</v>
      </c>
      <c r="G325" t="s">
        <v>20</v>
      </c>
      <c r="H325" t="s">
        <v>3989</v>
      </c>
      <c r="I325" t="s">
        <v>2329</v>
      </c>
      <c r="J325" t="str">
        <f>IF(0 = IFERROR(VLOOKUP(DBL_FullList!I325, ContactsDbl!B:D, 2, FALSE), ""), "", IFERROR(VLOOKUP(DBL_FullList!I325, ContactsDbl!B:D, 2, FALSE), ""))</f>
        <v/>
      </c>
      <c r="K325" t="str">
        <f>IF(0 = IFERROR(VLOOKUP(DBL_FullList!I325,ContactsDbl!B:D, 3, FALSE), ""), "", IFERROR(VLOOKUP(DBL_FullList!I325, ContactsDbl!B:D, 3, FALSE), ""))</f>
        <v>http://www.bsind.org/</v>
      </c>
      <c r="L325">
        <f t="shared" si="11"/>
        <v>1</v>
      </c>
    </row>
    <row r="326" spans="1:12" x14ac:dyDescent="0.25">
      <c r="A326" t="s">
        <v>362</v>
      </c>
      <c r="B326" t="str">
        <f>IF(ISERROR(VLOOKUP(F326,STEP!A:A, 1, FALSE)), "N", "Y")</f>
        <v>N</v>
      </c>
      <c r="C326" t="str">
        <f>IF(ISERROR(VLOOKUP(E326, BibleInEveryLanguageTexts!A:A, 1, FALSE)), "N", "Y")</f>
        <v>N</v>
      </c>
      <c r="D326" t="str">
        <f t="shared" si="10"/>
        <v>X</v>
      </c>
      <c r="E326" t="s">
        <v>361</v>
      </c>
      <c r="F326" t="s">
        <v>360</v>
      </c>
      <c r="G326" t="s">
        <v>102</v>
      </c>
      <c r="H326" t="s">
        <v>358</v>
      </c>
      <c r="I326" t="s">
        <v>45</v>
      </c>
      <c r="J326" t="str">
        <f>IF(0 = IFERROR(VLOOKUP(DBL_FullList!I326, ContactsDbl!B:D, 2, FALSE), ""), "", IFERROR(VLOOKUP(DBL_FullList!I326, ContactsDbl!B:D, 2, FALSE), ""))</f>
        <v>pbt@pbti.org</v>
      </c>
      <c r="K326" t="str">
        <f>IF(0 = IFERROR(VLOOKUP(DBL_FullList!I326,ContactsDbl!B:D, 3, FALSE), ""), "", IFERROR(VLOOKUP(DBL_FullList!I326, ContactsDbl!B:D, 3, FALSE), ""))</f>
        <v>www.pioneerbible.org</v>
      </c>
      <c r="L326">
        <f t="shared" si="11"/>
        <v>2</v>
      </c>
    </row>
    <row r="327" spans="1:12" x14ac:dyDescent="0.25">
      <c r="A327" t="s">
        <v>3990</v>
      </c>
      <c r="B327" t="str">
        <f>IF(ISERROR(VLOOKUP(F327,STEP!A:A, 1, FALSE)), "N", "Y")</f>
        <v>N</v>
      </c>
      <c r="C327" t="str">
        <f>IF(ISERROR(VLOOKUP(E327, BibleInEveryLanguageTexts!A:A, 1, FALSE)), "N", "Y")</f>
        <v>N</v>
      </c>
      <c r="D327" t="str">
        <f t="shared" si="10"/>
        <v>X</v>
      </c>
      <c r="E327" t="s">
        <v>548</v>
      </c>
      <c r="F327" t="s">
        <v>546</v>
      </c>
      <c r="G327" t="s">
        <v>547</v>
      </c>
      <c r="H327" t="s">
        <v>3991</v>
      </c>
      <c r="I327" t="s">
        <v>1997</v>
      </c>
      <c r="J327" t="str">
        <f>IF(0 = IFERROR(VLOOKUP(DBL_FullList!I327, ContactsDbl!B:D, 2, FALSE), ""), "", IFERROR(VLOOKUP(DBL_FullList!I327, ContactsDbl!B:D, 2, FALSE), ""))</f>
        <v>Lee.Harris@biblica.com</v>
      </c>
      <c r="K327" t="str">
        <f>IF(0 = IFERROR(VLOOKUP(DBL_FullList!I327,ContactsDbl!B:D, 3, FALSE), ""), "", IFERROR(VLOOKUP(DBL_FullList!I327, ContactsDbl!B:D, 3, FALSE), ""))</f>
        <v>http://www.Biblica.com</v>
      </c>
      <c r="L327">
        <f t="shared" si="11"/>
        <v>2</v>
      </c>
    </row>
    <row r="328" spans="1:12" x14ac:dyDescent="0.25">
      <c r="A328" t="s">
        <v>3992</v>
      </c>
      <c r="B328" t="str">
        <f>IF(ISERROR(VLOOKUP(F328,STEP!A:A, 1, FALSE)), "N", "Y")</f>
        <v>N</v>
      </c>
      <c r="C328" t="str">
        <f>IF(ISERROR(VLOOKUP(E328, BibleInEveryLanguageTexts!A:A, 1, FALSE)), "N", "Y")</f>
        <v>Y</v>
      </c>
      <c r="D328" t="str">
        <f t="shared" si="10"/>
        <v/>
      </c>
      <c r="E328" t="s">
        <v>2700</v>
      </c>
      <c r="F328" t="s">
        <v>3317</v>
      </c>
      <c r="G328" t="s">
        <v>3418</v>
      </c>
      <c r="H328" t="s">
        <v>3993</v>
      </c>
      <c r="I328" t="s">
        <v>2226</v>
      </c>
      <c r="J328" t="str">
        <f>IF(0 = IFERROR(VLOOKUP(DBL_FullList!I328, ContactsDbl!B:D, 2, FALSE), ""), "", IFERROR(VLOOKUP(DBL_FullList!I328, ContactsDbl!B:D, 2, FALSE), ""))</f>
        <v>alliance.biblique@sbf.fr</v>
      </c>
      <c r="K328" t="str">
        <f>IF(0 = IFERROR(VLOOKUP(DBL_FullList!I328,ContactsDbl!B:D, 3, FALSE), ""), "", IFERROR(VLOOKUP(DBL_FullList!I328, ContactsDbl!B:D, 3, FALSE), ""))</f>
        <v>www.alliancebiblique.fr</v>
      </c>
      <c r="L328">
        <f t="shared" si="11"/>
        <v>2</v>
      </c>
    </row>
    <row r="329" spans="1:12" x14ac:dyDescent="0.25">
      <c r="A329" t="s">
        <v>3994</v>
      </c>
      <c r="B329" t="str">
        <f>IF(ISERROR(VLOOKUP(F329,STEP!A:A, 1, FALSE)), "N", "Y")</f>
        <v>Y</v>
      </c>
      <c r="C329" t="str">
        <f>IF(ISERROR(VLOOKUP(E329, BibleInEveryLanguageTexts!A:A, 1, FALSE)), "N", "Y")</f>
        <v>N</v>
      </c>
      <c r="D329" t="str">
        <f t="shared" si="10"/>
        <v/>
      </c>
      <c r="E329" t="s">
        <v>3995</v>
      </c>
      <c r="F329" t="s">
        <v>3996</v>
      </c>
      <c r="G329" t="s">
        <v>48</v>
      </c>
      <c r="H329" t="s">
        <v>1330</v>
      </c>
      <c r="I329" t="s">
        <v>2661</v>
      </c>
      <c r="J329" t="str">
        <f>IF(0 = IFERROR(VLOOKUP(DBL_FullList!I329, ContactsDbl!B:D, 2, FALSE), ""), "", IFERROR(VLOOKUP(DBL_FullList!I329, ContactsDbl!B:D, 2, FALSE), ""))</f>
        <v>dbladmin_intl@sil.org</v>
      </c>
      <c r="K329" t="str">
        <f>IF(0 = IFERROR(VLOOKUP(DBL_FullList!I329,ContactsDbl!B:D, 3, FALSE), ""), "", IFERROR(VLOOKUP(DBL_FullList!I329, ContactsDbl!B:D, 3, FALSE), ""))</f>
        <v>http://www.wycliffe.org</v>
      </c>
      <c r="L329">
        <f t="shared" si="11"/>
        <v>2</v>
      </c>
    </row>
    <row r="330" spans="1:12" x14ac:dyDescent="0.25">
      <c r="A330" t="s">
        <v>3997</v>
      </c>
      <c r="B330" t="str">
        <f>IF(ISERROR(VLOOKUP(F330,STEP!A:A, 1, FALSE)), "N", "Y")</f>
        <v>N</v>
      </c>
      <c r="C330" t="str">
        <f>IF(ISERROR(VLOOKUP(E330, BibleInEveryLanguageTexts!A:A, 1, FALSE)), "N", "Y")</f>
        <v>N</v>
      </c>
      <c r="D330" t="str">
        <f t="shared" si="10"/>
        <v>X</v>
      </c>
      <c r="E330" t="s">
        <v>3632</v>
      </c>
      <c r="F330" t="s">
        <v>3633</v>
      </c>
      <c r="G330" t="s">
        <v>3634</v>
      </c>
      <c r="H330" t="s">
        <v>3998</v>
      </c>
      <c r="I330" t="s">
        <v>2296</v>
      </c>
      <c r="J330" t="str">
        <f>IF(0 = IFERROR(VLOOKUP(DBL_FullList!I330, ContactsDbl!B:D, 2, FALSE), ""), "", IFERROR(VLOOKUP(DBL_FullList!I330, ContactsDbl!B:D, 2, FALSE), ""))</f>
        <v>gjergj@biblesocieties.org</v>
      </c>
      <c r="K330" t="str">
        <f>IF(0 = IFERROR(VLOOKUP(DBL_FullList!I330,ContactsDbl!B:D, 3, FALSE), ""), "", IFERROR(VLOOKUP(DBL_FullList!I330, ContactsDbl!B:D, 3, FALSE), ""))</f>
        <v>http://albanianbiblesociety.com</v>
      </c>
      <c r="L330">
        <f t="shared" si="11"/>
        <v>2</v>
      </c>
    </row>
    <row r="331" spans="1:12" x14ac:dyDescent="0.25">
      <c r="A331" t="s">
        <v>3999</v>
      </c>
      <c r="B331" t="str">
        <f>IF(ISERROR(VLOOKUP(F331,STEP!A:A, 1, FALSE)), "N", "Y")</f>
        <v>N</v>
      </c>
      <c r="C331" t="str">
        <f>IF(ISERROR(VLOOKUP(E331, BibleInEveryLanguageTexts!A:A, 1, FALSE)), "N", "Y")</f>
        <v>N</v>
      </c>
      <c r="D331" t="str">
        <f t="shared" si="10"/>
        <v>X</v>
      </c>
      <c r="E331" t="s">
        <v>4000</v>
      </c>
      <c r="F331" t="s">
        <v>4001</v>
      </c>
      <c r="G331" t="s">
        <v>20</v>
      </c>
      <c r="H331" t="s">
        <v>4002</v>
      </c>
      <c r="I331" t="s">
        <v>2329</v>
      </c>
      <c r="J331" t="str">
        <f>IF(0 = IFERROR(VLOOKUP(DBL_FullList!I331, ContactsDbl!B:D, 2, FALSE), ""), "", IFERROR(VLOOKUP(DBL_FullList!I331, ContactsDbl!B:D, 2, FALSE), ""))</f>
        <v/>
      </c>
      <c r="K331" t="str">
        <f>IF(0 = IFERROR(VLOOKUP(DBL_FullList!I331,ContactsDbl!B:D, 3, FALSE), ""), "", IFERROR(VLOOKUP(DBL_FullList!I331, ContactsDbl!B:D, 3, FALSE), ""))</f>
        <v>http://www.bsind.org/</v>
      </c>
      <c r="L331">
        <f t="shared" si="11"/>
        <v>1</v>
      </c>
    </row>
    <row r="332" spans="1:12" x14ac:dyDescent="0.25">
      <c r="A332" t="s">
        <v>4003</v>
      </c>
      <c r="B332" t="str">
        <f>IF(ISERROR(VLOOKUP(F332,STEP!A:A, 1, FALSE)), "N", "Y")</f>
        <v>N</v>
      </c>
      <c r="C332" t="str">
        <f>IF(ISERROR(VLOOKUP(E332, BibleInEveryLanguageTexts!A:A, 1, FALSE)), "N", "Y")</f>
        <v>N</v>
      </c>
      <c r="D332" t="str">
        <f t="shared" si="10"/>
        <v>X</v>
      </c>
      <c r="E332" t="s">
        <v>4004</v>
      </c>
      <c r="F332" t="s">
        <v>4005</v>
      </c>
      <c r="G332" t="s">
        <v>20</v>
      </c>
      <c r="H332" t="s">
        <v>4006</v>
      </c>
      <c r="I332" t="s">
        <v>2329</v>
      </c>
      <c r="J332" t="str">
        <f>IF(0 = IFERROR(VLOOKUP(DBL_FullList!I332, ContactsDbl!B:D, 2, FALSE), ""), "", IFERROR(VLOOKUP(DBL_FullList!I332, ContactsDbl!B:D, 2, FALSE), ""))</f>
        <v/>
      </c>
      <c r="K332" t="str">
        <f>IF(0 = IFERROR(VLOOKUP(DBL_FullList!I332,ContactsDbl!B:D, 3, FALSE), ""), "", IFERROR(VLOOKUP(DBL_FullList!I332, ContactsDbl!B:D, 3, FALSE), ""))</f>
        <v>http://www.bsind.org/</v>
      </c>
      <c r="L332">
        <f t="shared" si="11"/>
        <v>1</v>
      </c>
    </row>
    <row r="333" spans="1:12" x14ac:dyDescent="0.25">
      <c r="A333" t="s">
        <v>4007</v>
      </c>
      <c r="B333" t="str">
        <f>IF(ISERROR(VLOOKUP(F333,STEP!A:A, 1, FALSE)), "N", "Y")</f>
        <v>N</v>
      </c>
      <c r="C333" t="str">
        <f>IF(ISERROR(VLOOKUP(E333, BibleInEveryLanguageTexts!A:A, 1, FALSE)), "N", "Y")</f>
        <v>N</v>
      </c>
      <c r="D333" t="str">
        <f t="shared" si="10"/>
        <v>X</v>
      </c>
      <c r="E333" t="s">
        <v>4008</v>
      </c>
      <c r="F333" t="s">
        <v>4009</v>
      </c>
      <c r="G333" t="s">
        <v>2738</v>
      </c>
      <c r="H333" t="s">
        <v>4010</v>
      </c>
      <c r="I333" t="s">
        <v>2661</v>
      </c>
      <c r="J333" t="str">
        <f>IF(0 = IFERROR(VLOOKUP(DBL_FullList!I333, ContactsDbl!B:D, 2, FALSE), ""), "", IFERROR(VLOOKUP(DBL_FullList!I333, ContactsDbl!B:D, 2, FALSE), ""))</f>
        <v>dbladmin_intl@sil.org</v>
      </c>
      <c r="K333" t="str">
        <f>IF(0 = IFERROR(VLOOKUP(DBL_FullList!I333,ContactsDbl!B:D, 3, FALSE), ""), "", IFERROR(VLOOKUP(DBL_FullList!I333, ContactsDbl!B:D, 3, FALSE), ""))</f>
        <v>http://www.wycliffe.org</v>
      </c>
      <c r="L333">
        <f t="shared" si="11"/>
        <v>2</v>
      </c>
    </row>
    <row r="334" spans="1:12" x14ac:dyDescent="0.25">
      <c r="A334" t="s">
        <v>4011</v>
      </c>
      <c r="B334" t="str">
        <f>IF(ISERROR(VLOOKUP(F334,STEP!A:A, 1, FALSE)), "N", "Y")</f>
        <v>N</v>
      </c>
      <c r="C334" t="str">
        <f>IF(ISERROR(VLOOKUP(E334, BibleInEveryLanguageTexts!A:A, 1, FALSE)), "N", "Y")</f>
        <v>N</v>
      </c>
      <c r="D334" t="str">
        <f t="shared" si="10"/>
        <v>X</v>
      </c>
      <c r="E334" t="s">
        <v>4012</v>
      </c>
      <c r="F334" t="s">
        <v>4013</v>
      </c>
      <c r="G334" t="s">
        <v>2738</v>
      </c>
      <c r="H334" t="s">
        <v>4014</v>
      </c>
      <c r="I334" t="s">
        <v>2661</v>
      </c>
      <c r="J334" t="str">
        <f>IF(0 = IFERROR(VLOOKUP(DBL_FullList!I334, ContactsDbl!B:D, 2, FALSE), ""), "", IFERROR(VLOOKUP(DBL_FullList!I334, ContactsDbl!B:D, 2, FALSE), ""))</f>
        <v>dbladmin_intl@sil.org</v>
      </c>
      <c r="K334" t="str">
        <f>IF(0 = IFERROR(VLOOKUP(DBL_FullList!I334,ContactsDbl!B:D, 3, FALSE), ""), "", IFERROR(VLOOKUP(DBL_FullList!I334, ContactsDbl!B:D, 3, FALSE), ""))</f>
        <v>http://www.wycliffe.org</v>
      </c>
      <c r="L334">
        <f t="shared" si="11"/>
        <v>2</v>
      </c>
    </row>
    <row r="335" spans="1:12" x14ac:dyDescent="0.25">
      <c r="A335" t="s">
        <v>4015</v>
      </c>
      <c r="B335" t="str">
        <f>IF(ISERROR(VLOOKUP(F335,STEP!A:A, 1, FALSE)), "N", "Y")</f>
        <v>N</v>
      </c>
      <c r="C335" t="str">
        <f>IF(ISERROR(VLOOKUP(E335, BibleInEveryLanguageTexts!A:A, 1, FALSE)), "N", "Y")</f>
        <v>Y</v>
      </c>
      <c r="D335" t="str">
        <f t="shared" si="10"/>
        <v/>
      </c>
      <c r="E335" t="s">
        <v>12</v>
      </c>
      <c r="F335" t="s">
        <v>10</v>
      </c>
      <c r="G335" t="s">
        <v>27</v>
      </c>
      <c r="H335" t="s">
        <v>4016</v>
      </c>
      <c r="I335" t="s">
        <v>183</v>
      </c>
      <c r="J335" t="str">
        <f>IF(0 = IFERROR(VLOOKUP(DBL_FullList!I335, ContactsDbl!B:D, 2, FALSE), ""), "", IFERROR(VLOOKUP(DBL_FullList!I335, ContactsDbl!B:D, 2, FALSE), ""))</f>
        <v>dbl@biblesocieties.org</v>
      </c>
      <c r="K335" t="str">
        <f>IF(0 = IFERROR(VLOOKUP(DBL_FullList!I335,ContactsDbl!B:D, 3, FALSE), ""), "", IFERROR(VLOOKUP(DBL_FullList!I335, ContactsDbl!B:D, 3, FALSE), ""))</f>
        <v>http://www.unitedbiblesocieties.org/</v>
      </c>
      <c r="L335">
        <f t="shared" si="11"/>
        <v>2</v>
      </c>
    </row>
    <row r="336" spans="1:12" x14ac:dyDescent="0.25">
      <c r="A336" t="s">
        <v>4017</v>
      </c>
      <c r="B336" t="str">
        <f>IF(ISERROR(VLOOKUP(F336,STEP!A:A, 1, FALSE)), "N", "Y")</f>
        <v>N</v>
      </c>
      <c r="C336" t="str">
        <f>IF(ISERROR(VLOOKUP(E336, BibleInEveryLanguageTexts!A:A, 1, FALSE)), "N", "Y")</f>
        <v>N</v>
      </c>
      <c r="D336" t="str">
        <f t="shared" si="10"/>
        <v>X</v>
      </c>
      <c r="E336" t="s">
        <v>4018</v>
      </c>
      <c r="F336" t="s">
        <v>4019</v>
      </c>
      <c r="G336" t="s">
        <v>2738</v>
      </c>
      <c r="H336" t="s">
        <v>4020</v>
      </c>
      <c r="I336" t="s">
        <v>2661</v>
      </c>
      <c r="J336" t="str">
        <f>IF(0 = IFERROR(VLOOKUP(DBL_FullList!I336, ContactsDbl!B:D, 2, FALSE), ""), "", IFERROR(VLOOKUP(DBL_FullList!I336, ContactsDbl!B:D, 2, FALSE), ""))</f>
        <v>dbladmin_intl@sil.org</v>
      </c>
      <c r="K336" t="str">
        <f>IF(0 = IFERROR(VLOOKUP(DBL_FullList!I336,ContactsDbl!B:D, 3, FALSE), ""), "", IFERROR(VLOOKUP(DBL_FullList!I336, ContactsDbl!B:D, 3, FALSE), ""))</f>
        <v>http://www.wycliffe.org</v>
      </c>
      <c r="L336">
        <f t="shared" si="11"/>
        <v>2</v>
      </c>
    </row>
    <row r="337" spans="1:12" x14ac:dyDescent="0.25">
      <c r="A337" t="s">
        <v>4021</v>
      </c>
      <c r="B337" t="str">
        <f>IF(ISERROR(VLOOKUP(F337,STEP!A:A, 1, FALSE)), "N", "Y")</f>
        <v>N</v>
      </c>
      <c r="C337" t="str">
        <f>IF(ISERROR(VLOOKUP(E337, BibleInEveryLanguageTexts!A:A, 1, FALSE)), "N", "Y")</f>
        <v>N</v>
      </c>
      <c r="D337" t="str">
        <f t="shared" si="10"/>
        <v>X</v>
      </c>
      <c r="E337" t="s">
        <v>199</v>
      </c>
      <c r="F337" t="s">
        <v>197</v>
      </c>
      <c r="G337" t="s">
        <v>11</v>
      </c>
      <c r="H337" t="s">
        <v>4022</v>
      </c>
      <c r="I337" t="s">
        <v>183</v>
      </c>
      <c r="J337" t="str">
        <f>IF(0 = IFERROR(VLOOKUP(DBL_FullList!I337, ContactsDbl!B:D, 2, FALSE), ""), "", IFERROR(VLOOKUP(DBL_FullList!I337, ContactsDbl!B:D, 2, FALSE), ""))</f>
        <v>dbl@biblesocieties.org</v>
      </c>
      <c r="K337" t="str">
        <f>IF(0 = IFERROR(VLOOKUP(DBL_FullList!I337,ContactsDbl!B:D, 3, FALSE), ""), "", IFERROR(VLOOKUP(DBL_FullList!I337, ContactsDbl!B:D, 3, FALSE), ""))</f>
        <v>http://www.unitedbiblesocieties.org/</v>
      </c>
      <c r="L337">
        <f t="shared" si="11"/>
        <v>2</v>
      </c>
    </row>
    <row r="338" spans="1:12" x14ac:dyDescent="0.25">
      <c r="A338" t="s">
        <v>4023</v>
      </c>
      <c r="B338" t="str">
        <f>IF(ISERROR(VLOOKUP(F338,STEP!A:A, 1, FALSE)), "N", "Y")</f>
        <v>N</v>
      </c>
      <c r="C338" t="str">
        <f>IF(ISERROR(VLOOKUP(E338, BibleInEveryLanguageTexts!A:A, 1, FALSE)), "N", "Y")</f>
        <v>N</v>
      </c>
      <c r="D338" t="str">
        <f t="shared" si="10"/>
        <v>X</v>
      </c>
      <c r="E338" t="s">
        <v>4024</v>
      </c>
      <c r="F338" t="s">
        <v>4025</v>
      </c>
      <c r="G338" t="s">
        <v>4</v>
      </c>
      <c r="H338" t="s">
        <v>4026</v>
      </c>
      <c r="I338" t="s">
        <v>183</v>
      </c>
      <c r="J338" t="str">
        <f>IF(0 = IFERROR(VLOOKUP(DBL_FullList!I338, ContactsDbl!B:D, 2, FALSE), ""), "", IFERROR(VLOOKUP(DBL_FullList!I338, ContactsDbl!B:D, 2, FALSE), ""))</f>
        <v>dbl@biblesocieties.org</v>
      </c>
      <c r="K338" t="str">
        <f>IF(0 = IFERROR(VLOOKUP(DBL_FullList!I338,ContactsDbl!B:D, 3, FALSE), ""), "", IFERROR(VLOOKUP(DBL_FullList!I338, ContactsDbl!B:D, 3, FALSE), ""))</f>
        <v>http://www.unitedbiblesocieties.org/</v>
      </c>
      <c r="L338">
        <f t="shared" si="11"/>
        <v>2</v>
      </c>
    </row>
    <row r="339" spans="1:12" x14ac:dyDescent="0.25">
      <c r="A339" t="s">
        <v>4027</v>
      </c>
      <c r="B339" t="str">
        <f>IF(ISERROR(VLOOKUP(F339,STEP!A:A, 1, FALSE)), "N", "Y")</f>
        <v>N</v>
      </c>
      <c r="C339" t="str">
        <f>IF(ISERROR(VLOOKUP(E339, BibleInEveryLanguageTexts!A:A, 1, FALSE)), "N", "Y")</f>
        <v>N</v>
      </c>
      <c r="D339" t="str">
        <f t="shared" si="10"/>
        <v>X</v>
      </c>
      <c r="E339" t="s">
        <v>3775</v>
      </c>
      <c r="F339" t="s">
        <v>3776</v>
      </c>
      <c r="G339" t="s">
        <v>4</v>
      </c>
      <c r="H339" t="s">
        <v>4028</v>
      </c>
      <c r="I339" t="s">
        <v>183</v>
      </c>
      <c r="J339" t="str">
        <f>IF(0 = IFERROR(VLOOKUP(DBL_FullList!I339, ContactsDbl!B:D, 2, FALSE), ""), "", IFERROR(VLOOKUP(DBL_FullList!I339, ContactsDbl!B:D, 2, FALSE), ""))</f>
        <v>dbl@biblesocieties.org</v>
      </c>
      <c r="K339" t="str">
        <f>IF(0 = IFERROR(VLOOKUP(DBL_FullList!I339,ContactsDbl!B:D, 3, FALSE), ""), "", IFERROR(VLOOKUP(DBL_FullList!I339, ContactsDbl!B:D, 3, FALSE), ""))</f>
        <v>http://www.unitedbiblesocieties.org/</v>
      </c>
      <c r="L339">
        <f t="shared" si="11"/>
        <v>2</v>
      </c>
    </row>
    <row r="340" spans="1:12" x14ac:dyDescent="0.25">
      <c r="A340" t="s">
        <v>4029</v>
      </c>
      <c r="B340" t="str">
        <f>IF(ISERROR(VLOOKUP(F340,STEP!A:A, 1, FALSE)), "N", "Y")</f>
        <v>N</v>
      </c>
      <c r="C340" t="str">
        <f>IF(ISERROR(VLOOKUP(E340, BibleInEveryLanguageTexts!A:A, 1, FALSE)), "N", "Y")</f>
        <v>N</v>
      </c>
      <c r="D340" t="str">
        <f t="shared" si="10"/>
        <v>X</v>
      </c>
      <c r="E340" t="s">
        <v>4030</v>
      </c>
      <c r="F340" t="s">
        <v>4031</v>
      </c>
      <c r="G340" t="s">
        <v>2984</v>
      </c>
      <c r="H340" t="s">
        <v>4032</v>
      </c>
      <c r="I340" t="s">
        <v>2661</v>
      </c>
      <c r="J340" t="str">
        <f>IF(0 = IFERROR(VLOOKUP(DBL_FullList!I340, ContactsDbl!B:D, 2, FALSE), ""), "", IFERROR(VLOOKUP(DBL_FullList!I340, ContactsDbl!B:D, 2, FALSE), ""))</f>
        <v>dbladmin_intl@sil.org</v>
      </c>
      <c r="K340" t="str">
        <f>IF(0 = IFERROR(VLOOKUP(DBL_FullList!I340,ContactsDbl!B:D, 3, FALSE), ""), "", IFERROR(VLOOKUP(DBL_FullList!I340, ContactsDbl!B:D, 3, FALSE), ""))</f>
        <v>http://www.wycliffe.org</v>
      </c>
      <c r="L340">
        <f t="shared" si="11"/>
        <v>2</v>
      </c>
    </row>
    <row r="341" spans="1:12" x14ac:dyDescent="0.25">
      <c r="A341" t="s">
        <v>4033</v>
      </c>
      <c r="B341" t="str">
        <f>IF(ISERROR(VLOOKUP(F341,STEP!A:A, 1, FALSE)), "N", "Y")</f>
        <v>Y</v>
      </c>
      <c r="C341" t="str">
        <f>IF(ISERROR(VLOOKUP(E341, BibleInEveryLanguageTexts!A:A, 1, FALSE)), "N", "Y")</f>
        <v>N</v>
      </c>
      <c r="D341" t="str">
        <f t="shared" si="10"/>
        <v/>
      </c>
      <c r="E341" t="s">
        <v>4034</v>
      </c>
      <c r="F341" t="s">
        <v>4035</v>
      </c>
      <c r="G341" t="s">
        <v>48</v>
      </c>
      <c r="H341" t="s">
        <v>4036</v>
      </c>
      <c r="I341" t="s">
        <v>2661</v>
      </c>
      <c r="J341" t="str">
        <f>IF(0 = IFERROR(VLOOKUP(DBL_FullList!I341, ContactsDbl!B:D, 2, FALSE), ""), "", IFERROR(VLOOKUP(DBL_FullList!I341, ContactsDbl!B:D, 2, FALSE), ""))</f>
        <v>dbladmin_intl@sil.org</v>
      </c>
      <c r="K341" t="str">
        <f>IF(0 = IFERROR(VLOOKUP(DBL_FullList!I341,ContactsDbl!B:D, 3, FALSE), ""), "", IFERROR(VLOOKUP(DBL_FullList!I341, ContactsDbl!B:D, 3, FALSE), ""))</f>
        <v>http://www.wycliffe.org</v>
      </c>
      <c r="L341">
        <f t="shared" si="11"/>
        <v>2</v>
      </c>
    </row>
    <row r="342" spans="1:12" x14ac:dyDescent="0.25">
      <c r="A342" t="s">
        <v>4037</v>
      </c>
      <c r="B342" t="str">
        <f>IF(ISERROR(VLOOKUP(F342,STEP!A:A, 1, FALSE)), "N", "Y")</f>
        <v>N</v>
      </c>
      <c r="C342" t="str">
        <f>IF(ISERROR(VLOOKUP(E342, BibleInEveryLanguageTexts!A:A, 1, FALSE)), "N", "Y")</f>
        <v>N</v>
      </c>
      <c r="D342" t="str">
        <f t="shared" si="10"/>
        <v>X</v>
      </c>
      <c r="E342" t="s">
        <v>4038</v>
      </c>
      <c r="F342" t="s">
        <v>4039</v>
      </c>
      <c r="G342" t="s">
        <v>2997</v>
      </c>
      <c r="H342" t="s">
        <v>4040</v>
      </c>
      <c r="I342" t="s">
        <v>2661</v>
      </c>
      <c r="J342" t="str">
        <f>IF(0 = IFERROR(VLOOKUP(DBL_FullList!I342, ContactsDbl!B:D, 2, FALSE), ""), "", IFERROR(VLOOKUP(DBL_FullList!I342, ContactsDbl!B:D, 2, FALSE), ""))</f>
        <v>dbladmin_intl@sil.org</v>
      </c>
      <c r="K342" t="str">
        <f>IF(0 = IFERROR(VLOOKUP(DBL_FullList!I342,ContactsDbl!B:D, 3, FALSE), ""), "", IFERROR(VLOOKUP(DBL_FullList!I342, ContactsDbl!B:D, 3, FALSE), ""))</f>
        <v>http://www.wycliffe.org</v>
      </c>
      <c r="L342">
        <f t="shared" si="11"/>
        <v>2</v>
      </c>
    </row>
    <row r="343" spans="1:12" x14ac:dyDescent="0.25">
      <c r="A343" t="s">
        <v>4041</v>
      </c>
      <c r="B343" t="str">
        <f>IF(ISERROR(VLOOKUP(F343,STEP!A:A, 1, FALSE)), "N", "Y")</f>
        <v>N</v>
      </c>
      <c r="C343" t="str">
        <f>IF(ISERROR(VLOOKUP(E343, BibleInEveryLanguageTexts!A:A, 1, FALSE)), "N", "Y")</f>
        <v>N</v>
      </c>
      <c r="D343" t="str">
        <f t="shared" si="10"/>
        <v>X</v>
      </c>
      <c r="E343" t="s">
        <v>4042</v>
      </c>
      <c r="F343" t="s">
        <v>4043</v>
      </c>
      <c r="G343" t="s">
        <v>2723</v>
      </c>
      <c r="H343" t="s">
        <v>4044</v>
      </c>
      <c r="I343" t="s">
        <v>2502</v>
      </c>
      <c r="J343" t="str">
        <f>IF(0 = IFERROR(VLOOKUP(DBL_FullList!I343, ContactsDbl!B:D, 2, FALSE), ""), "", IFERROR(VLOOKUP(DBL_FullList!I343, ContactsDbl!B:D, 2, FALSE), ""))</f>
        <v/>
      </c>
      <c r="K343" t="str">
        <f>IF(0 = IFERROR(VLOOKUP(DBL_FullList!I343,ContactsDbl!B:D, 3, FALSE), ""), "", IFERROR(VLOOKUP(DBL_FullList!I343, ContactsDbl!B:D, 3, FALSE), ""))</f>
        <v>http://www.sbp.org.pe/</v>
      </c>
      <c r="L343">
        <f t="shared" si="11"/>
        <v>1</v>
      </c>
    </row>
    <row r="344" spans="1:12" x14ac:dyDescent="0.25">
      <c r="A344" t="s">
        <v>4045</v>
      </c>
      <c r="B344" t="str">
        <f>IF(ISERROR(VLOOKUP(F344,STEP!A:A, 1, FALSE)), "N", "Y")</f>
        <v>N</v>
      </c>
      <c r="C344" t="str">
        <f>IF(ISERROR(VLOOKUP(E344, BibleInEveryLanguageTexts!A:A, 1, FALSE)), "N", "Y")</f>
        <v>N</v>
      </c>
      <c r="D344" t="str">
        <f t="shared" si="10"/>
        <v>X</v>
      </c>
      <c r="E344" t="s">
        <v>5</v>
      </c>
      <c r="F344" t="s">
        <v>3</v>
      </c>
      <c r="G344" t="s">
        <v>20</v>
      </c>
      <c r="H344" t="s">
        <v>4046</v>
      </c>
      <c r="I344" t="s">
        <v>2329</v>
      </c>
      <c r="J344" t="str">
        <f>IF(0 = IFERROR(VLOOKUP(DBL_FullList!I344, ContactsDbl!B:D, 2, FALSE), ""), "", IFERROR(VLOOKUP(DBL_FullList!I344, ContactsDbl!B:D, 2, FALSE), ""))</f>
        <v/>
      </c>
      <c r="K344" t="str">
        <f>IF(0 = IFERROR(VLOOKUP(DBL_FullList!I344,ContactsDbl!B:D, 3, FALSE), ""), "", IFERROR(VLOOKUP(DBL_FullList!I344, ContactsDbl!B:D, 3, FALSE), ""))</f>
        <v>http://www.bsind.org/</v>
      </c>
      <c r="L344">
        <f t="shared" si="11"/>
        <v>1</v>
      </c>
    </row>
    <row r="345" spans="1:12" x14ac:dyDescent="0.25">
      <c r="A345" t="s">
        <v>4047</v>
      </c>
      <c r="B345" t="str">
        <f>IF(ISERROR(VLOOKUP(F345,STEP!A:A, 1, FALSE)), "N", "Y")</f>
        <v>N</v>
      </c>
      <c r="C345" t="str">
        <f>IF(ISERROR(VLOOKUP(E345, BibleInEveryLanguageTexts!A:A, 1, FALSE)), "N", "Y")</f>
        <v>N</v>
      </c>
      <c r="D345" t="str">
        <f t="shared" si="10"/>
        <v>X</v>
      </c>
      <c r="E345" t="s">
        <v>4048</v>
      </c>
      <c r="F345" t="s">
        <v>4049</v>
      </c>
      <c r="G345" t="s">
        <v>4050</v>
      </c>
      <c r="H345" t="s">
        <v>4051</v>
      </c>
      <c r="I345" t="s">
        <v>2661</v>
      </c>
      <c r="J345" t="str">
        <f>IF(0 = IFERROR(VLOOKUP(DBL_FullList!I345, ContactsDbl!B:D, 2, FALSE), ""), "", IFERROR(VLOOKUP(DBL_FullList!I345, ContactsDbl!B:D, 2, FALSE), ""))</f>
        <v>dbladmin_intl@sil.org</v>
      </c>
      <c r="K345" t="str">
        <f>IF(0 = IFERROR(VLOOKUP(DBL_FullList!I345,ContactsDbl!B:D, 3, FALSE), ""), "", IFERROR(VLOOKUP(DBL_FullList!I345, ContactsDbl!B:D, 3, FALSE), ""))</f>
        <v>http://www.wycliffe.org</v>
      </c>
      <c r="L345">
        <f t="shared" si="11"/>
        <v>2</v>
      </c>
    </row>
    <row r="346" spans="1:12" x14ac:dyDescent="0.25">
      <c r="A346" s="1" t="s">
        <v>4052</v>
      </c>
      <c r="B346" t="str">
        <f>IF(ISERROR(VLOOKUP(F346,STEP!A:A, 1, FALSE)), "N", "Y")</f>
        <v>Y</v>
      </c>
      <c r="C346" t="str">
        <f>IF(ISERROR(VLOOKUP(E346, BibleInEveryLanguageTexts!A:A, 1, FALSE)), "N", "Y")</f>
        <v>N</v>
      </c>
      <c r="D346" t="str">
        <f t="shared" si="10"/>
        <v/>
      </c>
      <c r="E346" t="s">
        <v>4053</v>
      </c>
      <c r="F346" t="s">
        <v>4054</v>
      </c>
      <c r="G346" t="s">
        <v>48</v>
      </c>
      <c r="H346" t="s">
        <v>4055</v>
      </c>
      <c r="I346" t="s">
        <v>2661</v>
      </c>
      <c r="J346" t="str">
        <f>IF(0 = IFERROR(VLOOKUP(DBL_FullList!I346, ContactsDbl!B:D, 2, FALSE), ""), "", IFERROR(VLOOKUP(DBL_FullList!I346, ContactsDbl!B:D, 2, FALSE), ""))</f>
        <v>dbladmin_intl@sil.org</v>
      </c>
      <c r="K346" t="str">
        <f>IF(0 = IFERROR(VLOOKUP(DBL_FullList!I346,ContactsDbl!B:D, 3, FALSE), ""), "", IFERROR(VLOOKUP(DBL_FullList!I346, ContactsDbl!B:D, 3, FALSE), ""))</f>
        <v>http://www.wycliffe.org</v>
      </c>
      <c r="L346">
        <f t="shared" si="11"/>
        <v>2</v>
      </c>
    </row>
    <row r="347" spans="1:12" x14ac:dyDescent="0.25">
      <c r="A347" t="s">
        <v>4056</v>
      </c>
      <c r="B347" t="str">
        <f>IF(ISERROR(VLOOKUP(F347,STEP!A:A, 1, FALSE)), "N", "Y")</f>
        <v>N</v>
      </c>
      <c r="C347" t="str">
        <f>IF(ISERROR(VLOOKUP(E347, BibleInEveryLanguageTexts!A:A, 1, FALSE)), "N", "Y")</f>
        <v>N</v>
      </c>
      <c r="D347" t="str">
        <f t="shared" si="10"/>
        <v>X</v>
      </c>
      <c r="E347" t="s">
        <v>4057</v>
      </c>
      <c r="F347" t="s">
        <v>4058</v>
      </c>
      <c r="G347" t="s">
        <v>2743</v>
      </c>
      <c r="H347" t="s">
        <v>4059</v>
      </c>
      <c r="I347" t="s">
        <v>2073</v>
      </c>
      <c r="J347" t="str">
        <f>IF(0 = IFERROR(VLOOKUP(DBL_FullList!I347, ContactsDbl!B:D, 2, FALSE), ""), "", IFERROR(VLOOKUP(DBL_FullList!I347, ContactsDbl!B:D, 2, FALSE), ""))</f>
        <v>ajiboye@biblesociety-nigeria.org</v>
      </c>
      <c r="K347" t="str">
        <f>IF(0 = IFERROR(VLOOKUP(DBL_FullList!I347,ContactsDbl!B:D, 3, FALSE), ""), "", IFERROR(VLOOKUP(DBL_FullList!I347, ContactsDbl!B:D, 3, FALSE), ""))</f>
        <v>http://www.biblesociety-nigeria.org/</v>
      </c>
      <c r="L347">
        <f t="shared" si="11"/>
        <v>2</v>
      </c>
    </row>
    <row r="348" spans="1:12" x14ac:dyDescent="0.25">
      <c r="A348" t="s">
        <v>4060</v>
      </c>
      <c r="B348" t="str">
        <f>IF(ISERROR(VLOOKUP(F348,STEP!A:A, 1, FALSE)), "N", "Y")</f>
        <v>Y</v>
      </c>
      <c r="C348" t="str">
        <f>IF(ISERROR(VLOOKUP(E348, BibleInEveryLanguageTexts!A:A, 1, FALSE)), "N", "Y")</f>
        <v>N</v>
      </c>
      <c r="D348" t="str">
        <f t="shared" si="10"/>
        <v/>
      </c>
      <c r="E348" t="s">
        <v>4061</v>
      </c>
      <c r="F348" t="s">
        <v>4062</v>
      </c>
      <c r="G348" t="s">
        <v>48</v>
      </c>
      <c r="H348" t="s">
        <v>4063</v>
      </c>
      <c r="I348" t="s">
        <v>2661</v>
      </c>
      <c r="J348" t="str">
        <f>IF(0 = IFERROR(VLOOKUP(DBL_FullList!I348, ContactsDbl!B:D, 2, FALSE), ""), "", IFERROR(VLOOKUP(DBL_FullList!I348, ContactsDbl!B:D, 2, FALSE), ""))</f>
        <v>dbladmin_intl@sil.org</v>
      </c>
      <c r="K348" t="str">
        <f>IF(0 = IFERROR(VLOOKUP(DBL_FullList!I348,ContactsDbl!B:D, 3, FALSE), ""), "", IFERROR(VLOOKUP(DBL_FullList!I348, ContactsDbl!B:D, 3, FALSE), ""))</f>
        <v>http://www.wycliffe.org</v>
      </c>
      <c r="L348">
        <f t="shared" si="11"/>
        <v>2</v>
      </c>
    </row>
    <row r="349" spans="1:12" x14ac:dyDescent="0.25">
      <c r="A349" t="s">
        <v>4064</v>
      </c>
      <c r="B349" t="str">
        <f>IF(ISERROR(VLOOKUP(F349,STEP!A:A, 1, FALSE)), "N", "Y")</f>
        <v>N</v>
      </c>
      <c r="C349" t="str">
        <f>IF(ISERROR(VLOOKUP(E349, BibleInEveryLanguageTexts!A:A, 1, FALSE)), "N", "Y")</f>
        <v>N</v>
      </c>
      <c r="D349" t="str">
        <f t="shared" si="10"/>
        <v>X</v>
      </c>
      <c r="E349" t="s">
        <v>1698</v>
      </c>
      <c r="F349" t="s">
        <v>4065</v>
      </c>
      <c r="G349" t="s">
        <v>2858</v>
      </c>
      <c r="H349" t="s">
        <v>4066</v>
      </c>
      <c r="I349" t="s">
        <v>2505</v>
      </c>
      <c r="J349" t="str">
        <f>IF(0 = IFERROR(VLOOKUP(DBL_FullList!I349, ContactsDbl!B:D, 2, FALSE), ""), "", IFERROR(VLOOKUP(DBL_FullList!I349, ContactsDbl!B:D, 2, FALSE), ""))</f>
        <v/>
      </c>
      <c r="K349" t="str">
        <f>IF(0 = IFERROR(VLOOKUP(DBL_FullList!I349,ContactsDbl!B:D, 3, FALSE), ""), "", IFERROR(VLOOKUP(DBL_FullList!I349, ContactsDbl!B:D, 3, FALSE), ""))</f>
        <v>http://www.bible.org.ph/</v>
      </c>
      <c r="L349">
        <f t="shared" si="11"/>
        <v>1</v>
      </c>
    </row>
    <row r="350" spans="1:12" x14ac:dyDescent="0.25">
      <c r="A350" t="s">
        <v>4067</v>
      </c>
      <c r="B350" t="str">
        <f>IF(ISERROR(VLOOKUP(F350,STEP!A:A, 1, FALSE)), "N", "Y")</f>
        <v>N</v>
      </c>
      <c r="C350" t="str">
        <f>IF(ISERROR(VLOOKUP(E350, BibleInEveryLanguageTexts!A:A, 1, FALSE)), "N", "Y")</f>
        <v>N</v>
      </c>
      <c r="D350" t="str">
        <f t="shared" si="10"/>
        <v>X</v>
      </c>
      <c r="E350" t="s">
        <v>4068</v>
      </c>
      <c r="F350" t="s">
        <v>4069</v>
      </c>
      <c r="G350" t="s">
        <v>2858</v>
      </c>
      <c r="H350" t="s">
        <v>4070</v>
      </c>
      <c r="I350" t="s">
        <v>2505</v>
      </c>
      <c r="J350" t="str">
        <f>IF(0 = IFERROR(VLOOKUP(DBL_FullList!I350, ContactsDbl!B:D, 2, FALSE), ""), "", IFERROR(VLOOKUP(DBL_FullList!I350, ContactsDbl!B:D, 2, FALSE), ""))</f>
        <v/>
      </c>
      <c r="K350" t="str">
        <f>IF(0 = IFERROR(VLOOKUP(DBL_FullList!I350,ContactsDbl!B:D, 3, FALSE), ""), "", IFERROR(VLOOKUP(DBL_FullList!I350, ContactsDbl!B:D, 3, FALSE), ""))</f>
        <v>http://www.bible.org.ph/</v>
      </c>
      <c r="L350">
        <f t="shared" si="11"/>
        <v>1</v>
      </c>
    </row>
    <row r="351" spans="1:12" x14ac:dyDescent="0.25">
      <c r="A351" t="s">
        <v>4071</v>
      </c>
      <c r="B351" t="str">
        <f>IF(ISERROR(VLOOKUP(F351,STEP!A:A, 1, FALSE)), "N", "Y")</f>
        <v>N</v>
      </c>
      <c r="C351" t="str">
        <f>IF(ISERROR(VLOOKUP(E351, BibleInEveryLanguageTexts!A:A, 1, FALSE)), "N", "Y")</f>
        <v>N</v>
      </c>
      <c r="D351" t="str">
        <f t="shared" si="10"/>
        <v>X</v>
      </c>
      <c r="E351" t="s">
        <v>4072</v>
      </c>
      <c r="F351" t="s">
        <v>4073</v>
      </c>
      <c r="G351" t="s">
        <v>48</v>
      </c>
      <c r="H351" t="s">
        <v>4074</v>
      </c>
      <c r="I351" t="s">
        <v>2661</v>
      </c>
      <c r="J351" t="str">
        <f>IF(0 = IFERROR(VLOOKUP(DBL_FullList!I351, ContactsDbl!B:D, 2, FALSE), ""), "", IFERROR(VLOOKUP(DBL_FullList!I351, ContactsDbl!B:D, 2, FALSE), ""))</f>
        <v>dbladmin_intl@sil.org</v>
      </c>
      <c r="K351" t="str">
        <f>IF(0 = IFERROR(VLOOKUP(DBL_FullList!I351,ContactsDbl!B:D, 3, FALSE), ""), "", IFERROR(VLOOKUP(DBL_FullList!I351, ContactsDbl!B:D, 3, FALSE), ""))</f>
        <v>http://www.wycliffe.org</v>
      </c>
      <c r="L351">
        <f t="shared" si="11"/>
        <v>2</v>
      </c>
    </row>
    <row r="352" spans="1:12" x14ac:dyDescent="0.25">
      <c r="A352" t="s">
        <v>4075</v>
      </c>
      <c r="B352" t="str">
        <f>IF(ISERROR(VLOOKUP(F352,STEP!A:A, 1, FALSE)), "N", "Y")</f>
        <v>N</v>
      </c>
      <c r="C352" t="str">
        <f>IF(ISERROR(VLOOKUP(E352, BibleInEveryLanguageTexts!A:A, 1, FALSE)), "N", "Y")</f>
        <v>Y</v>
      </c>
      <c r="D352" t="str">
        <f t="shared" si="10"/>
        <v/>
      </c>
      <c r="E352" t="s">
        <v>1515</v>
      </c>
      <c r="F352" t="s">
        <v>4076</v>
      </c>
      <c r="G352" t="s">
        <v>2858</v>
      </c>
      <c r="H352" t="s">
        <v>4077</v>
      </c>
      <c r="I352" t="s">
        <v>2505</v>
      </c>
      <c r="J352" t="str">
        <f>IF(0 = IFERROR(VLOOKUP(DBL_FullList!I352, ContactsDbl!B:D, 2, FALSE), ""), "", IFERROR(VLOOKUP(DBL_FullList!I352, ContactsDbl!B:D, 2, FALSE), ""))</f>
        <v/>
      </c>
      <c r="K352" t="str">
        <f>IF(0 = IFERROR(VLOOKUP(DBL_FullList!I352,ContactsDbl!B:D, 3, FALSE), ""), "", IFERROR(VLOOKUP(DBL_FullList!I352, ContactsDbl!B:D, 3, FALSE), ""))</f>
        <v>http://www.bible.org.ph/</v>
      </c>
      <c r="L352">
        <f t="shared" si="11"/>
        <v>1</v>
      </c>
    </row>
    <row r="353" spans="1:12" x14ac:dyDescent="0.25">
      <c r="A353" t="s">
        <v>4078</v>
      </c>
      <c r="B353" t="str">
        <f>IF(ISERROR(VLOOKUP(F353,STEP!A:A, 1, FALSE)), "N", "Y")</f>
        <v>N</v>
      </c>
      <c r="C353" t="str">
        <f>IF(ISERROR(VLOOKUP(E353, BibleInEveryLanguageTexts!A:A, 1, FALSE)), "N", "Y")</f>
        <v>N</v>
      </c>
      <c r="D353" t="str">
        <f t="shared" si="10"/>
        <v>X</v>
      </c>
      <c r="E353" t="s">
        <v>4079</v>
      </c>
      <c r="F353" t="s">
        <v>4080</v>
      </c>
      <c r="G353" t="s">
        <v>4081</v>
      </c>
      <c r="H353" t="s">
        <v>4082</v>
      </c>
      <c r="I353" t="s">
        <v>1978</v>
      </c>
      <c r="J353" t="str">
        <f>IF(0 = IFERROR(VLOOKUP(DBL_FullList!I353, ContactsDbl!B:D, 2, FALSE), ""), "", IFERROR(VLOOKUP(DBL_FullList!I353, ContactsDbl!B:D, 2, FALSE), ""))</f>
        <v>info@biblesociety.org.bd</v>
      </c>
      <c r="K353" t="str">
        <f>IF(0 = IFERROR(VLOOKUP(DBL_FullList!I353,ContactsDbl!B:D, 3, FALSE), ""), "", IFERROR(VLOOKUP(DBL_FullList!I353, ContactsDbl!B:D, 3, FALSE), ""))</f>
        <v>http://biblesociety.org.bd</v>
      </c>
      <c r="L353">
        <f t="shared" si="11"/>
        <v>2</v>
      </c>
    </row>
    <row r="354" spans="1:12" x14ac:dyDescent="0.25">
      <c r="A354" t="s">
        <v>4083</v>
      </c>
      <c r="B354" t="str">
        <f>IF(ISERROR(VLOOKUP(F354,STEP!A:A, 1, FALSE)), "N", "Y")</f>
        <v>N</v>
      </c>
      <c r="C354" t="str">
        <f>IF(ISERROR(VLOOKUP(E354, BibleInEveryLanguageTexts!A:A, 1, FALSE)), "N", "Y")</f>
        <v>N</v>
      </c>
      <c r="D354" t="str">
        <f t="shared" si="10"/>
        <v>X</v>
      </c>
      <c r="E354" t="s">
        <v>205</v>
      </c>
      <c r="F354" t="s">
        <v>204</v>
      </c>
      <c r="G354" t="s">
        <v>4081</v>
      </c>
      <c r="H354" t="s">
        <v>4084</v>
      </c>
      <c r="I354" t="s">
        <v>1978</v>
      </c>
      <c r="J354" t="str">
        <f>IF(0 = IFERROR(VLOOKUP(DBL_FullList!I354, ContactsDbl!B:D, 2, FALSE), ""), "", IFERROR(VLOOKUP(DBL_FullList!I354, ContactsDbl!B:D, 2, FALSE), ""))</f>
        <v>info@biblesociety.org.bd</v>
      </c>
      <c r="K354" t="str">
        <f>IF(0 = IFERROR(VLOOKUP(DBL_FullList!I354,ContactsDbl!B:D, 3, FALSE), ""), "", IFERROR(VLOOKUP(DBL_FullList!I354, ContactsDbl!B:D, 3, FALSE), ""))</f>
        <v>http://biblesociety.org.bd</v>
      </c>
      <c r="L354">
        <f t="shared" si="11"/>
        <v>2</v>
      </c>
    </row>
    <row r="355" spans="1:12" x14ac:dyDescent="0.25">
      <c r="A355" t="s">
        <v>4085</v>
      </c>
      <c r="B355" t="str">
        <f>IF(ISERROR(VLOOKUP(F355,STEP!A:A, 1, FALSE)), "N", "Y")</f>
        <v>N</v>
      </c>
      <c r="C355" t="str">
        <f>IF(ISERROR(VLOOKUP(E355, BibleInEveryLanguageTexts!A:A, 1, FALSE)), "N", "Y")</f>
        <v>N</v>
      </c>
      <c r="D355" t="str">
        <f t="shared" si="10"/>
        <v>X</v>
      </c>
      <c r="E355" t="s">
        <v>199</v>
      </c>
      <c r="F355" t="s">
        <v>197</v>
      </c>
      <c r="G355" t="s">
        <v>4050</v>
      </c>
      <c r="H355" t="s">
        <v>4086</v>
      </c>
      <c r="I355" t="s">
        <v>1997</v>
      </c>
      <c r="J355" t="str">
        <f>IF(0 = IFERROR(VLOOKUP(DBL_FullList!I355, ContactsDbl!B:D, 2, FALSE), ""), "", IFERROR(VLOOKUP(DBL_FullList!I355, ContactsDbl!B:D, 2, FALSE), ""))</f>
        <v>Lee.Harris@biblica.com</v>
      </c>
      <c r="K355" t="str">
        <f>IF(0 = IFERROR(VLOOKUP(DBL_FullList!I355,ContactsDbl!B:D, 3, FALSE), ""), "", IFERROR(VLOOKUP(DBL_FullList!I355, ContactsDbl!B:D, 3, FALSE), ""))</f>
        <v>http://www.Biblica.com</v>
      </c>
      <c r="L355">
        <f t="shared" si="11"/>
        <v>2</v>
      </c>
    </row>
    <row r="356" spans="1:12" x14ac:dyDescent="0.25">
      <c r="A356" t="s">
        <v>4087</v>
      </c>
      <c r="B356" t="str">
        <f>IF(ISERROR(VLOOKUP(F356,STEP!A:A, 1, FALSE)), "N", "Y")</f>
        <v>N</v>
      </c>
      <c r="C356" t="str">
        <f>IF(ISERROR(VLOOKUP(E356, BibleInEveryLanguageTexts!A:A, 1, FALSE)), "N", "Y")</f>
        <v>N</v>
      </c>
      <c r="D356" t="str">
        <f t="shared" si="10"/>
        <v>X</v>
      </c>
      <c r="E356" t="s">
        <v>4088</v>
      </c>
      <c r="F356" t="s">
        <v>4089</v>
      </c>
      <c r="G356" t="s">
        <v>4090</v>
      </c>
      <c r="H356" t="s">
        <v>4091</v>
      </c>
      <c r="I356" t="s">
        <v>2421</v>
      </c>
      <c r="J356" t="str">
        <f>IF(0 = IFERROR(VLOOKUP(DBL_FullList!I356, ContactsDbl!B:D, 2, FALSE), ""), "", IFERROR(VLOOKUP(DBL_FullList!I356, ContactsDbl!B:D, 2, FALSE), ""))</f>
        <v/>
      </c>
      <c r="K356" t="str">
        <f>IF(0 = IFERROR(VLOOKUP(DBL_FullList!I356,ContactsDbl!B:D, 3, FALSE), ""), "", IFERROR(VLOOKUP(DBL_FullList!I356, ContactsDbl!B:D, 3, FALSE), ""))</f>
        <v>http://www.biblesociety-mauritius.org/</v>
      </c>
      <c r="L356">
        <f t="shared" si="11"/>
        <v>1</v>
      </c>
    </row>
    <row r="357" spans="1:12" x14ac:dyDescent="0.25">
      <c r="A357" t="s">
        <v>4092</v>
      </c>
      <c r="B357" t="str">
        <f>IF(ISERROR(VLOOKUP(F357,STEP!A:A, 1, FALSE)), "N", "Y")</f>
        <v>N</v>
      </c>
      <c r="C357" t="str">
        <f>IF(ISERROR(VLOOKUP(E357, BibleInEveryLanguageTexts!A:A, 1, FALSE)), "N", "Y")</f>
        <v>N</v>
      </c>
      <c r="D357" t="str">
        <f t="shared" si="10"/>
        <v>X</v>
      </c>
      <c r="E357" t="s">
        <v>4093</v>
      </c>
      <c r="F357" t="s">
        <v>4094</v>
      </c>
      <c r="G357" t="s">
        <v>20</v>
      </c>
      <c r="H357" t="s">
        <v>4095</v>
      </c>
      <c r="I357" t="s">
        <v>2329</v>
      </c>
      <c r="J357" t="str">
        <f>IF(0 = IFERROR(VLOOKUP(DBL_FullList!I357, ContactsDbl!B:D, 2, FALSE), ""), "", IFERROR(VLOOKUP(DBL_FullList!I357, ContactsDbl!B:D, 2, FALSE), ""))</f>
        <v/>
      </c>
      <c r="K357" t="str">
        <f>IF(0 = IFERROR(VLOOKUP(DBL_FullList!I357,ContactsDbl!B:D, 3, FALSE), ""), "", IFERROR(VLOOKUP(DBL_FullList!I357, ContactsDbl!B:D, 3, FALSE), ""))</f>
        <v>http://www.bsind.org/</v>
      </c>
      <c r="L357">
        <f t="shared" si="11"/>
        <v>1</v>
      </c>
    </row>
    <row r="358" spans="1:12" x14ac:dyDescent="0.25">
      <c r="A358" t="s">
        <v>4096</v>
      </c>
      <c r="B358" t="str">
        <f>IF(ISERROR(VLOOKUP(F358,STEP!A:A, 1, FALSE)), "N", "Y")</f>
        <v>N</v>
      </c>
      <c r="C358" t="str">
        <f>IF(ISERROR(VLOOKUP(E358, BibleInEveryLanguageTexts!A:A, 1, FALSE)), "N", "Y")</f>
        <v>N</v>
      </c>
      <c r="D358" t="str">
        <f t="shared" si="10"/>
        <v>X</v>
      </c>
      <c r="E358" t="s">
        <v>4097</v>
      </c>
      <c r="F358" t="s">
        <v>4098</v>
      </c>
      <c r="G358" t="s">
        <v>4081</v>
      </c>
      <c r="H358" t="s">
        <v>4099</v>
      </c>
      <c r="I358" t="s">
        <v>1978</v>
      </c>
      <c r="J358" t="str">
        <f>IF(0 = IFERROR(VLOOKUP(DBL_FullList!I358, ContactsDbl!B:D, 2, FALSE), ""), "", IFERROR(VLOOKUP(DBL_FullList!I358, ContactsDbl!B:D, 2, FALSE), ""))</f>
        <v>info@biblesociety.org.bd</v>
      </c>
      <c r="K358" t="str">
        <f>IF(0 = IFERROR(VLOOKUP(DBL_FullList!I358,ContactsDbl!B:D, 3, FALSE), ""), "", IFERROR(VLOOKUP(DBL_FullList!I358, ContactsDbl!B:D, 3, FALSE), ""))</f>
        <v>http://biblesociety.org.bd</v>
      </c>
      <c r="L358">
        <f t="shared" si="11"/>
        <v>2</v>
      </c>
    </row>
    <row r="359" spans="1:12" x14ac:dyDescent="0.25">
      <c r="A359" t="s">
        <v>4100</v>
      </c>
      <c r="B359" t="str">
        <f>IF(ISERROR(VLOOKUP(F359,STEP!A:A, 1, FALSE)), "N", "Y")</f>
        <v>N</v>
      </c>
      <c r="C359" t="str">
        <f>IF(ISERROR(VLOOKUP(E359, BibleInEveryLanguageTexts!A:A, 1, FALSE)), "N", "Y")</f>
        <v>N</v>
      </c>
      <c r="D359" t="str">
        <f t="shared" si="10"/>
        <v>X</v>
      </c>
      <c r="E359" t="s">
        <v>4101</v>
      </c>
      <c r="F359" t="s">
        <v>4102</v>
      </c>
      <c r="G359" t="s">
        <v>4103</v>
      </c>
      <c r="H359" t="s">
        <v>4104</v>
      </c>
      <c r="I359" t="s">
        <v>2661</v>
      </c>
      <c r="J359" t="str">
        <f>IF(0 = IFERROR(VLOOKUP(DBL_FullList!I359, ContactsDbl!B:D, 2, FALSE), ""), "", IFERROR(VLOOKUP(DBL_FullList!I359, ContactsDbl!B:D, 2, FALSE), ""))</f>
        <v>dbladmin_intl@sil.org</v>
      </c>
      <c r="K359" t="str">
        <f>IF(0 = IFERROR(VLOOKUP(DBL_FullList!I359,ContactsDbl!B:D, 3, FALSE), ""), "", IFERROR(VLOOKUP(DBL_FullList!I359, ContactsDbl!B:D, 3, FALSE), ""))</f>
        <v>http://www.wycliffe.org</v>
      </c>
      <c r="L359">
        <f t="shared" si="11"/>
        <v>2</v>
      </c>
    </row>
    <row r="360" spans="1:12" x14ac:dyDescent="0.25">
      <c r="A360" t="s">
        <v>4105</v>
      </c>
      <c r="B360" t="str">
        <f>IF(ISERROR(VLOOKUP(F360,STEP!A:A, 1, FALSE)), "N", "Y")</f>
        <v>N</v>
      </c>
      <c r="C360" t="str">
        <f>IF(ISERROR(VLOOKUP(E360, BibleInEveryLanguageTexts!A:A, 1, FALSE)), "N", "Y")</f>
        <v>N</v>
      </c>
      <c r="D360" t="str">
        <f t="shared" si="10"/>
        <v>X</v>
      </c>
      <c r="E360" t="s">
        <v>199</v>
      </c>
      <c r="F360" t="s">
        <v>197</v>
      </c>
      <c r="G360" t="s">
        <v>121</v>
      </c>
      <c r="H360" t="s">
        <v>4106</v>
      </c>
      <c r="I360" t="s">
        <v>183</v>
      </c>
      <c r="J360" t="str">
        <f>IF(0 = IFERROR(VLOOKUP(DBL_FullList!I360, ContactsDbl!B:D, 2, FALSE), ""), "", IFERROR(VLOOKUP(DBL_FullList!I360, ContactsDbl!B:D, 2, FALSE), ""))</f>
        <v>dbl@biblesocieties.org</v>
      </c>
      <c r="K360" t="str">
        <f>IF(0 = IFERROR(VLOOKUP(DBL_FullList!I360,ContactsDbl!B:D, 3, FALSE), ""), "", IFERROR(VLOOKUP(DBL_FullList!I360, ContactsDbl!B:D, 3, FALSE), ""))</f>
        <v>http://www.unitedbiblesocieties.org/</v>
      </c>
      <c r="L360">
        <f t="shared" si="11"/>
        <v>2</v>
      </c>
    </row>
    <row r="361" spans="1:12" x14ac:dyDescent="0.25">
      <c r="A361" t="s">
        <v>4107</v>
      </c>
      <c r="B361" t="str">
        <f>IF(ISERROR(VLOOKUP(F361,STEP!A:A, 1, FALSE)), "N", "Y")</f>
        <v>N</v>
      </c>
      <c r="C361" t="str">
        <f>IF(ISERROR(VLOOKUP(E361, BibleInEveryLanguageTexts!A:A, 1, FALSE)), "N", "Y")</f>
        <v>N</v>
      </c>
      <c r="D361" t="str">
        <f t="shared" si="10"/>
        <v>X</v>
      </c>
      <c r="E361" t="s">
        <v>4108</v>
      </c>
      <c r="F361" t="s">
        <v>4109</v>
      </c>
      <c r="G361" t="s">
        <v>4081</v>
      </c>
      <c r="H361" t="s">
        <v>4110</v>
      </c>
      <c r="I361" t="s">
        <v>1978</v>
      </c>
      <c r="J361" t="str">
        <f>IF(0 = IFERROR(VLOOKUP(DBL_FullList!I361, ContactsDbl!B:D, 2, FALSE), ""), "", IFERROR(VLOOKUP(DBL_FullList!I361, ContactsDbl!B:D, 2, FALSE), ""))</f>
        <v>info@biblesociety.org.bd</v>
      </c>
      <c r="K361" t="str">
        <f>IF(0 = IFERROR(VLOOKUP(DBL_FullList!I361,ContactsDbl!B:D, 3, FALSE), ""), "", IFERROR(VLOOKUP(DBL_FullList!I361, ContactsDbl!B:D, 3, FALSE), ""))</f>
        <v>http://biblesociety.org.bd</v>
      </c>
      <c r="L361">
        <f t="shared" si="11"/>
        <v>2</v>
      </c>
    </row>
    <row r="362" spans="1:12" x14ac:dyDescent="0.25">
      <c r="A362" t="s">
        <v>4111</v>
      </c>
      <c r="B362" t="str">
        <f>IF(ISERROR(VLOOKUP(F362,STEP!A:A, 1, FALSE)), "N", "Y")</f>
        <v>Y</v>
      </c>
      <c r="C362" t="str">
        <f>IF(ISERROR(VLOOKUP(E362, BibleInEveryLanguageTexts!A:A, 1, FALSE)), "N", "Y")</f>
        <v>N</v>
      </c>
      <c r="D362" t="str">
        <f t="shared" si="10"/>
        <v/>
      </c>
      <c r="E362" t="s">
        <v>3205</v>
      </c>
      <c r="F362" t="s">
        <v>3206</v>
      </c>
      <c r="G362" t="s">
        <v>48</v>
      </c>
      <c r="H362" t="s">
        <v>4112</v>
      </c>
      <c r="I362" t="s">
        <v>2661</v>
      </c>
      <c r="J362" t="str">
        <f>IF(0 = IFERROR(VLOOKUP(DBL_FullList!I362, ContactsDbl!B:D, 2, FALSE), ""), "", IFERROR(VLOOKUP(DBL_FullList!I362, ContactsDbl!B:D, 2, FALSE), ""))</f>
        <v>dbladmin_intl@sil.org</v>
      </c>
      <c r="K362" t="str">
        <f>IF(0 = IFERROR(VLOOKUP(DBL_FullList!I362,ContactsDbl!B:D, 3, FALSE), ""), "", IFERROR(VLOOKUP(DBL_FullList!I362, ContactsDbl!B:D, 3, FALSE), ""))</f>
        <v>http://www.wycliffe.org</v>
      </c>
      <c r="L362">
        <f t="shared" si="11"/>
        <v>2</v>
      </c>
    </row>
    <row r="363" spans="1:12" x14ac:dyDescent="0.25">
      <c r="A363" t="s">
        <v>4113</v>
      </c>
      <c r="B363" t="str">
        <f>IF(ISERROR(VLOOKUP(F363,STEP!A:A, 1, FALSE)), "N", "Y")</f>
        <v>N</v>
      </c>
      <c r="C363" t="str">
        <f>IF(ISERROR(VLOOKUP(E363, BibleInEveryLanguageTexts!A:A, 1, FALSE)), "N", "Y")</f>
        <v>N</v>
      </c>
      <c r="D363" t="str">
        <f t="shared" si="10"/>
        <v>X</v>
      </c>
      <c r="E363" t="s">
        <v>4114</v>
      </c>
      <c r="F363" t="s">
        <v>4115</v>
      </c>
      <c r="G363" t="s">
        <v>20</v>
      </c>
      <c r="H363" t="s">
        <v>4116</v>
      </c>
      <c r="I363" t="s">
        <v>2329</v>
      </c>
      <c r="J363" t="str">
        <f>IF(0 = IFERROR(VLOOKUP(DBL_FullList!I363, ContactsDbl!B:D, 2, FALSE), ""), "", IFERROR(VLOOKUP(DBL_FullList!I363, ContactsDbl!B:D, 2, FALSE), ""))</f>
        <v/>
      </c>
      <c r="K363" t="str">
        <f>IF(0 = IFERROR(VLOOKUP(DBL_FullList!I363,ContactsDbl!B:D, 3, FALSE), ""), "", IFERROR(VLOOKUP(DBL_FullList!I363, ContactsDbl!B:D, 3, FALSE), ""))</f>
        <v>http://www.bsind.org/</v>
      </c>
      <c r="L363">
        <f t="shared" si="11"/>
        <v>1</v>
      </c>
    </row>
    <row r="364" spans="1:12" x14ac:dyDescent="0.25">
      <c r="A364" t="s">
        <v>4117</v>
      </c>
      <c r="B364" t="str">
        <f>IF(ISERROR(VLOOKUP(F364,STEP!A:A, 1, FALSE)), "N", "Y")</f>
        <v>N</v>
      </c>
      <c r="C364" t="str">
        <f>IF(ISERROR(VLOOKUP(E364, BibleInEveryLanguageTexts!A:A, 1, FALSE)), "N", "Y")</f>
        <v>N</v>
      </c>
      <c r="D364" t="str">
        <f t="shared" si="10"/>
        <v>X</v>
      </c>
      <c r="E364" t="s">
        <v>4118</v>
      </c>
      <c r="F364" t="s">
        <v>4119</v>
      </c>
      <c r="G364" t="s">
        <v>4120</v>
      </c>
      <c r="H364" t="s">
        <v>4121</v>
      </c>
      <c r="I364" t="s">
        <v>183</v>
      </c>
      <c r="J364" t="str">
        <f>IF(0 = IFERROR(VLOOKUP(DBL_FullList!I364, ContactsDbl!B:D, 2, FALSE), ""), "", IFERROR(VLOOKUP(DBL_FullList!I364, ContactsDbl!B:D, 2, FALSE), ""))</f>
        <v>dbl@biblesocieties.org</v>
      </c>
      <c r="K364" t="str">
        <f>IF(0 = IFERROR(VLOOKUP(DBL_FullList!I364,ContactsDbl!B:D, 3, FALSE), ""), "", IFERROR(VLOOKUP(DBL_FullList!I364, ContactsDbl!B:D, 3, FALSE), ""))</f>
        <v>http://www.unitedbiblesocieties.org/</v>
      </c>
      <c r="L364">
        <f t="shared" si="11"/>
        <v>2</v>
      </c>
    </row>
    <row r="365" spans="1:12" x14ac:dyDescent="0.25">
      <c r="A365" t="s">
        <v>4122</v>
      </c>
      <c r="B365" t="str">
        <f>IF(ISERROR(VLOOKUP(F365,STEP!A:A, 1, FALSE)), "N", "Y")</f>
        <v>N</v>
      </c>
      <c r="C365" t="str">
        <f>IF(ISERROR(VLOOKUP(E365, BibleInEveryLanguageTexts!A:A, 1, FALSE)), "N", "Y")</f>
        <v>Y</v>
      </c>
      <c r="D365" t="str">
        <f t="shared" si="10"/>
        <v/>
      </c>
      <c r="E365" t="s">
        <v>1481</v>
      </c>
      <c r="F365" t="s">
        <v>4123</v>
      </c>
      <c r="G365" t="s">
        <v>2815</v>
      </c>
      <c r="H365" t="s">
        <v>4124</v>
      </c>
      <c r="I365" t="s">
        <v>1997</v>
      </c>
      <c r="J365" t="str">
        <f>IF(0 = IFERROR(VLOOKUP(DBL_FullList!I365, ContactsDbl!B:D, 2, FALSE), ""), "", IFERROR(VLOOKUP(DBL_FullList!I365, ContactsDbl!B:D, 2, FALSE), ""))</f>
        <v>Lee.Harris@biblica.com</v>
      </c>
      <c r="K365" t="str">
        <f>IF(0 = IFERROR(VLOOKUP(DBL_FullList!I365,ContactsDbl!B:D, 3, FALSE), ""), "", IFERROR(VLOOKUP(DBL_FullList!I365, ContactsDbl!B:D, 3, FALSE), ""))</f>
        <v>http://www.Biblica.com</v>
      </c>
      <c r="L365">
        <f t="shared" si="11"/>
        <v>2</v>
      </c>
    </row>
    <row r="366" spans="1:12" x14ac:dyDescent="0.25">
      <c r="A366" t="s">
        <v>4125</v>
      </c>
      <c r="B366" t="str">
        <f>IF(ISERROR(VLOOKUP(F366,STEP!A:A, 1, FALSE)), "N", "Y")</f>
        <v>N</v>
      </c>
      <c r="C366" t="str">
        <f>IF(ISERROR(VLOOKUP(E366, BibleInEveryLanguageTexts!A:A, 1, FALSE)), "N", "Y")</f>
        <v>N</v>
      </c>
      <c r="D366" t="str">
        <f t="shared" si="10"/>
        <v>X</v>
      </c>
      <c r="E366" t="s">
        <v>4126</v>
      </c>
      <c r="F366" t="s">
        <v>4127</v>
      </c>
      <c r="G366" t="s">
        <v>11</v>
      </c>
      <c r="H366" t="s">
        <v>4128</v>
      </c>
      <c r="I366" t="s">
        <v>1964</v>
      </c>
      <c r="J366" t="str">
        <f>IF(0 = IFERROR(VLOOKUP(DBL_FullList!I366, ContactsDbl!B:D, 2, FALSE), ""), "", IFERROR(VLOOKUP(DBL_FullList!I366, ContactsDbl!B:D, 2, FALSE), ""))</f>
        <v/>
      </c>
      <c r="K366" t="str">
        <f>IF(0 = IFERROR(VLOOKUP(DBL_FullList!I366,ContactsDbl!B:D, 3, FALSE), ""), "", IFERROR(VLOOKUP(DBL_FullList!I366, ContactsDbl!B:D, 3, FALSE), ""))</f>
        <v>http://www.americanbible.org/</v>
      </c>
      <c r="L366">
        <f t="shared" si="11"/>
        <v>1</v>
      </c>
    </row>
    <row r="367" spans="1:12" x14ac:dyDescent="0.25">
      <c r="A367" t="s">
        <v>4129</v>
      </c>
      <c r="B367" t="str">
        <f>IF(ISERROR(VLOOKUP(F367,STEP!A:A, 1, FALSE)), "N", "Y")</f>
        <v>N</v>
      </c>
      <c r="C367" t="str">
        <f>IF(ISERROR(VLOOKUP(E367, BibleInEveryLanguageTexts!A:A, 1, FALSE)), "N", "Y")</f>
        <v>N</v>
      </c>
      <c r="D367" t="str">
        <f t="shared" si="10"/>
        <v>X</v>
      </c>
      <c r="E367" t="s">
        <v>4130</v>
      </c>
      <c r="F367" t="s">
        <v>4131</v>
      </c>
      <c r="G367" t="s">
        <v>4132</v>
      </c>
      <c r="H367" t="s">
        <v>4133</v>
      </c>
      <c r="I367" t="s">
        <v>183</v>
      </c>
      <c r="J367" t="str">
        <f>IF(0 = IFERROR(VLOOKUP(DBL_FullList!I367, ContactsDbl!B:D, 2, FALSE), ""), "", IFERROR(VLOOKUP(DBL_FullList!I367, ContactsDbl!B:D, 2, FALSE), ""))</f>
        <v>dbl@biblesocieties.org</v>
      </c>
      <c r="K367" t="str">
        <f>IF(0 = IFERROR(VLOOKUP(DBL_FullList!I367,ContactsDbl!B:D, 3, FALSE), ""), "", IFERROR(VLOOKUP(DBL_FullList!I367, ContactsDbl!B:D, 3, FALSE), ""))</f>
        <v>http://www.unitedbiblesocieties.org/</v>
      </c>
      <c r="L367">
        <f t="shared" si="11"/>
        <v>2</v>
      </c>
    </row>
    <row r="368" spans="1:12" x14ac:dyDescent="0.25">
      <c r="A368" t="s">
        <v>4134</v>
      </c>
      <c r="B368" t="str">
        <f>IF(ISERROR(VLOOKUP(F368,STEP!A:A, 1, FALSE)), "N", "Y")</f>
        <v>Y</v>
      </c>
      <c r="C368" t="str">
        <f>IF(ISERROR(VLOOKUP(E368, BibleInEveryLanguageTexts!A:A, 1, FALSE)), "N", "Y")</f>
        <v>N</v>
      </c>
      <c r="D368" t="str">
        <f t="shared" si="10"/>
        <v/>
      </c>
      <c r="E368" t="s">
        <v>4135</v>
      </c>
      <c r="F368" t="s">
        <v>4136</v>
      </c>
      <c r="G368" t="s">
        <v>48</v>
      </c>
      <c r="H368" t="s">
        <v>4137</v>
      </c>
      <c r="I368" t="s">
        <v>2661</v>
      </c>
      <c r="J368" t="str">
        <f>IF(0 = IFERROR(VLOOKUP(DBL_FullList!I368, ContactsDbl!B:D, 2, FALSE), ""), "", IFERROR(VLOOKUP(DBL_FullList!I368, ContactsDbl!B:D, 2, FALSE), ""))</f>
        <v>dbladmin_intl@sil.org</v>
      </c>
      <c r="K368" t="str">
        <f>IF(0 = IFERROR(VLOOKUP(DBL_FullList!I368,ContactsDbl!B:D, 3, FALSE), ""), "", IFERROR(VLOOKUP(DBL_FullList!I368, ContactsDbl!B:D, 3, FALSE), ""))</f>
        <v>http://www.wycliffe.org</v>
      </c>
      <c r="L368">
        <f t="shared" si="11"/>
        <v>2</v>
      </c>
    </row>
    <row r="369" spans="1:12" x14ac:dyDescent="0.25">
      <c r="A369" t="s">
        <v>4138</v>
      </c>
      <c r="B369" t="str">
        <f>IF(ISERROR(VLOOKUP(F369,STEP!A:A, 1, FALSE)), "N", "Y")</f>
        <v>N</v>
      </c>
      <c r="C369" t="str">
        <f>IF(ISERROR(VLOOKUP(E369, BibleInEveryLanguageTexts!A:A, 1, FALSE)), "N", "Y")</f>
        <v>N</v>
      </c>
      <c r="D369" t="str">
        <f t="shared" si="10"/>
        <v>X</v>
      </c>
      <c r="E369" t="s">
        <v>4139</v>
      </c>
      <c r="F369" t="s">
        <v>4140</v>
      </c>
      <c r="G369" t="s">
        <v>2743</v>
      </c>
      <c r="H369" t="s">
        <v>4141</v>
      </c>
      <c r="I369" t="s">
        <v>2073</v>
      </c>
      <c r="J369" t="str">
        <f>IF(0 = IFERROR(VLOOKUP(DBL_FullList!I369, ContactsDbl!B:D, 2, FALSE), ""), "", IFERROR(VLOOKUP(DBL_FullList!I369, ContactsDbl!B:D, 2, FALSE), ""))</f>
        <v>ajiboye@biblesociety-nigeria.org</v>
      </c>
      <c r="K369" t="str">
        <f>IF(0 = IFERROR(VLOOKUP(DBL_FullList!I369,ContactsDbl!B:D, 3, FALSE), ""), "", IFERROR(VLOOKUP(DBL_FullList!I369, ContactsDbl!B:D, 3, FALSE), ""))</f>
        <v>http://www.biblesociety-nigeria.org/</v>
      </c>
      <c r="L369">
        <f t="shared" si="11"/>
        <v>2</v>
      </c>
    </row>
    <row r="370" spans="1:12" x14ac:dyDescent="0.25">
      <c r="A370" t="s">
        <v>4142</v>
      </c>
      <c r="B370" t="str">
        <f>IF(ISERROR(VLOOKUP(F370,STEP!A:A, 1, FALSE)), "N", "Y")</f>
        <v>N</v>
      </c>
      <c r="C370" t="str">
        <f>IF(ISERROR(VLOOKUP(E370, BibleInEveryLanguageTexts!A:A, 1, FALSE)), "N", "Y")</f>
        <v>N</v>
      </c>
      <c r="D370" t="str">
        <f t="shared" si="10"/>
        <v>X</v>
      </c>
      <c r="E370" t="s">
        <v>4143</v>
      </c>
      <c r="F370" t="s">
        <v>4144</v>
      </c>
      <c r="G370" t="s">
        <v>2984</v>
      </c>
      <c r="H370" t="s">
        <v>4145</v>
      </c>
      <c r="I370" t="s">
        <v>2456</v>
      </c>
      <c r="J370" t="str">
        <f>IF(0 = IFERROR(VLOOKUP(DBL_FullList!I370, ContactsDbl!B:D, 2, FALSE), ""), "", IFERROR(VLOOKUP(DBL_FullList!I370, ContactsDbl!B:D, 2, FALSE), ""))</f>
        <v/>
      </c>
      <c r="K370" t="str">
        <f>IF(0 = IFERROR(VLOOKUP(DBL_FullList!I370,ContactsDbl!B:D, 3, FALSE), ""), "", IFERROR(VLOOKUP(DBL_FullList!I370, ContactsDbl!B:D, 3, FALSE), ""))</f>
        <v>http://www.myanmarbible.com/</v>
      </c>
      <c r="L370">
        <f t="shared" si="11"/>
        <v>1</v>
      </c>
    </row>
    <row r="371" spans="1:12" x14ac:dyDescent="0.25">
      <c r="A371" t="s">
        <v>4146</v>
      </c>
      <c r="B371" t="str">
        <f>IF(ISERROR(VLOOKUP(F371,STEP!A:A, 1, FALSE)), "N", "Y")</f>
        <v>N</v>
      </c>
      <c r="C371" t="str">
        <f>IF(ISERROR(VLOOKUP(E371, BibleInEveryLanguageTexts!A:A, 1, FALSE)), "N", "Y")</f>
        <v>N</v>
      </c>
      <c r="D371" t="str">
        <f t="shared" si="10"/>
        <v>X</v>
      </c>
      <c r="E371" t="s">
        <v>4147</v>
      </c>
      <c r="F371" t="s">
        <v>4148</v>
      </c>
      <c r="G371" t="s">
        <v>383</v>
      </c>
      <c r="H371" t="s">
        <v>4149</v>
      </c>
      <c r="I371" t="s">
        <v>183</v>
      </c>
      <c r="J371" t="str">
        <f>IF(0 = IFERROR(VLOOKUP(DBL_FullList!I371, ContactsDbl!B:D, 2, FALSE), ""), "", IFERROR(VLOOKUP(DBL_FullList!I371, ContactsDbl!B:D, 2, FALSE), ""))</f>
        <v>dbl@biblesocieties.org</v>
      </c>
      <c r="K371" t="str">
        <f>IF(0 = IFERROR(VLOOKUP(DBL_FullList!I371,ContactsDbl!B:D, 3, FALSE), ""), "", IFERROR(VLOOKUP(DBL_FullList!I371, ContactsDbl!B:D, 3, FALSE), ""))</f>
        <v>http://www.unitedbiblesocieties.org/</v>
      </c>
      <c r="L371">
        <f t="shared" si="11"/>
        <v>2</v>
      </c>
    </row>
    <row r="372" spans="1:12" x14ac:dyDescent="0.25">
      <c r="A372" t="s">
        <v>4150</v>
      </c>
      <c r="B372" t="str">
        <f>IF(ISERROR(VLOOKUP(F372,STEP!A:A, 1, FALSE)), "N", "Y")</f>
        <v>N</v>
      </c>
      <c r="C372" t="str">
        <f>IF(ISERROR(VLOOKUP(E372, BibleInEveryLanguageTexts!A:A, 1, FALSE)), "N", "Y")</f>
        <v>N</v>
      </c>
      <c r="D372" t="str">
        <f t="shared" si="10"/>
        <v>X</v>
      </c>
      <c r="E372" t="s">
        <v>4151</v>
      </c>
      <c r="F372" t="s">
        <v>4152</v>
      </c>
      <c r="G372" t="s">
        <v>2858</v>
      </c>
      <c r="H372" t="s">
        <v>4153</v>
      </c>
      <c r="I372" t="s">
        <v>2505</v>
      </c>
      <c r="J372" t="str">
        <f>IF(0 = IFERROR(VLOOKUP(DBL_FullList!I372, ContactsDbl!B:D, 2, FALSE), ""), "", IFERROR(VLOOKUP(DBL_FullList!I372, ContactsDbl!B:D, 2, FALSE), ""))</f>
        <v/>
      </c>
      <c r="K372" t="str">
        <f>IF(0 = IFERROR(VLOOKUP(DBL_FullList!I372,ContactsDbl!B:D, 3, FALSE), ""), "", IFERROR(VLOOKUP(DBL_FullList!I372, ContactsDbl!B:D, 3, FALSE), ""))</f>
        <v>http://www.bible.org.ph/</v>
      </c>
      <c r="L372">
        <f t="shared" si="11"/>
        <v>1</v>
      </c>
    </row>
    <row r="373" spans="1:12" x14ac:dyDescent="0.25">
      <c r="A373" t="s">
        <v>4154</v>
      </c>
      <c r="B373" t="str">
        <f>IF(ISERROR(VLOOKUP(F373,STEP!A:A, 1, FALSE)), "N", "Y")</f>
        <v>N</v>
      </c>
      <c r="C373" t="str">
        <f>IF(ISERROR(VLOOKUP(E373, BibleInEveryLanguageTexts!A:A, 1, FALSE)), "N", "Y")</f>
        <v>N</v>
      </c>
      <c r="D373" t="str">
        <f t="shared" si="10"/>
        <v>X</v>
      </c>
      <c r="E373" t="s">
        <v>219</v>
      </c>
      <c r="F373" t="s">
        <v>217</v>
      </c>
      <c r="G373" t="s">
        <v>218</v>
      </c>
      <c r="H373" t="s">
        <v>4155</v>
      </c>
      <c r="I373" t="s">
        <v>2241</v>
      </c>
      <c r="J373" t="str">
        <f>IF(0 = IFERROR(VLOOKUP(DBL_FullList!I373, ContactsDbl!B:D, 2, FALSE), ""), "", IFERROR(VLOOKUP(DBL_FullList!I373, ContactsDbl!B:D, 2, FALSE), ""))</f>
        <v>dbl@dbg.de</v>
      </c>
      <c r="K373" t="str">
        <f>IF(0 = IFERROR(VLOOKUP(DBL_FullList!I373,ContactsDbl!B:D, 3, FALSE), ""), "", IFERROR(VLOOKUP(DBL_FullList!I373, ContactsDbl!B:D, 3, FALSE), ""))</f>
        <v>http://www.die-bibel.de</v>
      </c>
      <c r="L373">
        <f t="shared" si="11"/>
        <v>2</v>
      </c>
    </row>
    <row r="374" spans="1:12" x14ac:dyDescent="0.25">
      <c r="A374" t="s">
        <v>4156</v>
      </c>
      <c r="B374" t="str">
        <f>IF(ISERROR(VLOOKUP(F374,STEP!A:A, 1, FALSE)), "N", "Y")</f>
        <v>N</v>
      </c>
      <c r="C374" t="str">
        <f>IF(ISERROR(VLOOKUP(E374, BibleInEveryLanguageTexts!A:A, 1, FALSE)), "N", "Y")</f>
        <v>N</v>
      </c>
      <c r="D374" t="str">
        <f t="shared" si="10"/>
        <v>X</v>
      </c>
      <c r="E374" t="s">
        <v>3320</v>
      </c>
      <c r="F374" t="s">
        <v>3321</v>
      </c>
      <c r="G374" t="s">
        <v>3322</v>
      </c>
      <c r="H374" t="s">
        <v>4157</v>
      </c>
      <c r="I374" t="s">
        <v>2304</v>
      </c>
      <c r="J374" t="str">
        <f>IF(0 = IFERROR(VLOOKUP(DBL_FullList!I374, ContactsDbl!B:D, 2, FALSE), ""), "", IFERROR(VLOOKUP(DBL_FullList!I374, ContactsDbl!B:D, 2, FALSE), ""))</f>
        <v/>
      </c>
      <c r="K374" t="str">
        <f>IF(0 = IFERROR(VLOOKUP(DBL_FullList!I374,ContactsDbl!B:D, 3, FALSE), ""), "", IFERROR(VLOOKUP(DBL_FullList!I374, ContactsDbl!B:D, 3, FALSE), ""))</f>
        <v>http://www.societateabiblica.org</v>
      </c>
      <c r="L374">
        <f t="shared" si="11"/>
        <v>1</v>
      </c>
    </row>
    <row r="375" spans="1:12" x14ac:dyDescent="0.25">
      <c r="A375" t="s">
        <v>4158</v>
      </c>
      <c r="B375" t="str">
        <f>IF(ISERROR(VLOOKUP(F375,STEP!A:A, 1, FALSE)), "N", "Y")</f>
        <v>N</v>
      </c>
      <c r="C375" t="str">
        <f>IF(ISERROR(VLOOKUP(E375, BibleInEveryLanguageTexts!A:A, 1, FALSE)), "N", "Y")</f>
        <v>N</v>
      </c>
      <c r="D375" t="str">
        <f t="shared" si="10"/>
        <v>X</v>
      </c>
      <c r="E375" t="s">
        <v>4159</v>
      </c>
      <c r="F375" t="s">
        <v>4160</v>
      </c>
      <c r="G375" t="s">
        <v>20</v>
      </c>
      <c r="H375" t="s">
        <v>4161</v>
      </c>
      <c r="I375" t="s">
        <v>2329</v>
      </c>
      <c r="J375" t="str">
        <f>IF(0 = IFERROR(VLOOKUP(DBL_FullList!I375, ContactsDbl!B:D, 2, FALSE), ""), "", IFERROR(VLOOKUP(DBL_FullList!I375, ContactsDbl!B:D, 2, FALSE), ""))</f>
        <v/>
      </c>
      <c r="K375" t="str">
        <f>IF(0 = IFERROR(VLOOKUP(DBL_FullList!I375,ContactsDbl!B:D, 3, FALSE), ""), "", IFERROR(VLOOKUP(DBL_FullList!I375, ContactsDbl!B:D, 3, FALSE), ""))</f>
        <v>http://www.bsind.org/</v>
      </c>
      <c r="L375">
        <f t="shared" si="11"/>
        <v>1</v>
      </c>
    </row>
    <row r="376" spans="1:12" x14ac:dyDescent="0.25">
      <c r="A376" t="s">
        <v>4162</v>
      </c>
      <c r="B376" t="str">
        <f>IF(ISERROR(VLOOKUP(F376,STEP!A:A, 1, FALSE)), "N", "Y")</f>
        <v>N</v>
      </c>
      <c r="C376" t="str">
        <f>IF(ISERROR(VLOOKUP(E376, BibleInEveryLanguageTexts!A:A, 1, FALSE)), "N", "Y")</f>
        <v>N</v>
      </c>
      <c r="D376" t="str">
        <f t="shared" si="10"/>
        <v>X</v>
      </c>
      <c r="E376" t="s">
        <v>709</v>
      </c>
      <c r="F376" t="s">
        <v>4163</v>
      </c>
      <c r="G376" t="s">
        <v>3861</v>
      </c>
      <c r="H376" t="s">
        <v>4164</v>
      </c>
      <c r="I376" t="s">
        <v>2393</v>
      </c>
      <c r="J376" t="str">
        <f>IF(0 = IFERROR(VLOOKUP(DBL_FullList!I376, ContactsDbl!B:D, 2, FALSE), ""), "", IFERROR(VLOOKUP(DBL_FullList!I376, ContactsDbl!B:D, 2, FALSE), ""))</f>
        <v>pstevens@biblesocieties.org</v>
      </c>
      <c r="K376" t="str">
        <f>IF(0 = IFERROR(VLOOKUP(DBL_FullList!I376,ContactsDbl!B:D, 3, FALSE), ""), "", IFERROR(VLOOKUP(DBL_FullList!I376, ContactsDbl!B:D, 3, FALSE), ""))</f>
        <v>http://www.unitedbiblesocieties.org/society/bible-society-in-liberia/</v>
      </c>
      <c r="L376">
        <f t="shared" si="11"/>
        <v>2</v>
      </c>
    </row>
    <row r="377" spans="1:12" x14ac:dyDescent="0.25">
      <c r="A377" t="s">
        <v>4165</v>
      </c>
      <c r="B377" t="str">
        <f>IF(ISERROR(VLOOKUP(F377,STEP!A:A, 1, FALSE)), "N", "Y")</f>
        <v>N</v>
      </c>
      <c r="C377" t="str">
        <f>IF(ISERROR(VLOOKUP(E377, BibleInEveryLanguageTexts!A:A, 1, FALSE)), "N", "Y")</f>
        <v>N</v>
      </c>
      <c r="D377" t="str">
        <f t="shared" si="10"/>
        <v>X</v>
      </c>
      <c r="E377" t="s">
        <v>4166</v>
      </c>
      <c r="F377" t="s">
        <v>4167</v>
      </c>
      <c r="G377" t="s">
        <v>2756</v>
      </c>
      <c r="H377" t="s">
        <v>4168</v>
      </c>
      <c r="I377" t="s">
        <v>2126</v>
      </c>
      <c r="J377" t="str">
        <f>IF(0 = IFERROR(VLOOKUP(DBL_FullList!I377, ContactsDbl!B:D, 2, FALSE), ""), "", IFERROR(VLOOKUP(DBL_FullList!I377, ContactsDbl!B:D, 2, FALSE), ""))</f>
        <v>gluke@biblesocieties.org</v>
      </c>
      <c r="K377" t="str">
        <f>IF(0 = IFERROR(VLOOKUP(DBL_FullList!I377,ContactsDbl!B:D, 3, FALSE), ""), "", IFERROR(VLOOKUP(DBL_FullList!I377, ContactsDbl!B:D, 3, FALSE), ""))</f>
        <v>http://www.biblesociety-cameroon.org/</v>
      </c>
      <c r="L377">
        <f t="shared" si="11"/>
        <v>2</v>
      </c>
    </row>
    <row r="378" spans="1:12" x14ac:dyDescent="0.25">
      <c r="A378" t="s">
        <v>4169</v>
      </c>
      <c r="B378" t="str">
        <f>IF(ISERROR(VLOOKUP(F378,STEP!A:A, 1, FALSE)), "N", "Y")</f>
        <v>N</v>
      </c>
      <c r="C378" t="str">
        <f>IF(ISERROR(VLOOKUP(E378, BibleInEveryLanguageTexts!A:A, 1, FALSE)), "N", "Y")</f>
        <v>N</v>
      </c>
      <c r="D378" t="str">
        <f t="shared" si="10"/>
        <v>X</v>
      </c>
      <c r="E378" t="s">
        <v>4170</v>
      </c>
      <c r="F378" t="s">
        <v>4171</v>
      </c>
      <c r="G378" t="s">
        <v>20</v>
      </c>
      <c r="H378" t="s">
        <v>4172</v>
      </c>
      <c r="I378" t="s">
        <v>2329</v>
      </c>
      <c r="J378" t="str">
        <f>IF(0 = IFERROR(VLOOKUP(DBL_FullList!I378, ContactsDbl!B:D, 2, FALSE), ""), "", IFERROR(VLOOKUP(DBL_FullList!I378, ContactsDbl!B:D, 2, FALSE), ""))</f>
        <v/>
      </c>
      <c r="K378" t="str">
        <f>IF(0 = IFERROR(VLOOKUP(DBL_FullList!I378,ContactsDbl!B:D, 3, FALSE), ""), "", IFERROR(VLOOKUP(DBL_FullList!I378, ContactsDbl!B:D, 3, FALSE), ""))</f>
        <v>http://www.bsind.org/</v>
      </c>
      <c r="L378">
        <f t="shared" si="11"/>
        <v>1</v>
      </c>
    </row>
    <row r="379" spans="1:12" x14ac:dyDescent="0.25">
      <c r="A379" t="s">
        <v>4173</v>
      </c>
      <c r="B379" t="str">
        <f>IF(ISERROR(VLOOKUP(F379,STEP!A:A, 1, FALSE)), "N", "Y")</f>
        <v>N</v>
      </c>
      <c r="C379" t="str">
        <f>IF(ISERROR(VLOOKUP(E379, BibleInEveryLanguageTexts!A:A, 1, FALSE)), "N", "Y")</f>
        <v>Y</v>
      </c>
      <c r="D379" t="str">
        <f t="shared" si="10"/>
        <v/>
      </c>
      <c r="E379" t="s">
        <v>1515</v>
      </c>
      <c r="F379" t="s">
        <v>4076</v>
      </c>
      <c r="G379" t="s">
        <v>2858</v>
      </c>
      <c r="H379" t="s">
        <v>4174</v>
      </c>
      <c r="I379" t="s">
        <v>2505</v>
      </c>
      <c r="J379" t="str">
        <f>IF(0 = IFERROR(VLOOKUP(DBL_FullList!I379, ContactsDbl!B:D, 2, FALSE), ""), "", IFERROR(VLOOKUP(DBL_FullList!I379, ContactsDbl!B:D, 2, FALSE), ""))</f>
        <v/>
      </c>
      <c r="K379" t="str">
        <f>IF(0 = IFERROR(VLOOKUP(DBL_FullList!I379,ContactsDbl!B:D, 3, FALSE), ""), "", IFERROR(VLOOKUP(DBL_FullList!I379, ContactsDbl!B:D, 3, FALSE), ""))</f>
        <v>http://www.bible.org.ph/</v>
      </c>
      <c r="L379">
        <f t="shared" si="11"/>
        <v>1</v>
      </c>
    </row>
    <row r="380" spans="1:12" x14ac:dyDescent="0.25">
      <c r="A380" t="s">
        <v>4175</v>
      </c>
      <c r="B380" t="str">
        <f>IF(ISERROR(VLOOKUP(F380,STEP!A:A, 1, FALSE)), "N", "Y")</f>
        <v>N</v>
      </c>
      <c r="C380" t="str">
        <f>IF(ISERROR(VLOOKUP(E380, BibleInEveryLanguageTexts!A:A, 1, FALSE)), "N", "Y")</f>
        <v>N</v>
      </c>
      <c r="D380" t="str">
        <f t="shared" si="10"/>
        <v>X</v>
      </c>
      <c r="E380" t="s">
        <v>4176</v>
      </c>
      <c r="F380" t="s">
        <v>4177</v>
      </c>
      <c r="G380" t="s">
        <v>4178</v>
      </c>
      <c r="H380" t="s">
        <v>4179</v>
      </c>
      <c r="I380" t="s">
        <v>2440</v>
      </c>
      <c r="J380" t="str">
        <f>IF(0 = IFERROR(VLOOKUP(DBL_FullList!I380, ContactsDbl!B:D, 2, FALSE), ""), "", IFERROR(VLOOKUP(DBL_FullList!I380, ContactsDbl!B:D, 2, FALSE), ""))</f>
        <v>bsmor@biblesocieties.org</v>
      </c>
      <c r="K380" t="str">
        <f>IF(0 = IFERROR(VLOOKUP(DBL_FullList!I380,ContactsDbl!B:D, 3, FALSE), ""), "", IFERROR(VLOOKUP(DBL_FullList!I380, ContactsDbl!B:D, 3, FALSE), ""))</f>
        <v>https://www.biblesociety.ma</v>
      </c>
      <c r="L380">
        <f t="shared" si="11"/>
        <v>2</v>
      </c>
    </row>
    <row r="381" spans="1:12" x14ac:dyDescent="0.25">
      <c r="A381" t="s">
        <v>4180</v>
      </c>
      <c r="B381" t="str">
        <f>IF(ISERROR(VLOOKUP(F381,STEP!A:A, 1, FALSE)), "N", "Y")</f>
        <v>Y</v>
      </c>
      <c r="C381" t="str">
        <f>IF(ISERROR(VLOOKUP(E381, BibleInEveryLanguageTexts!A:A, 1, FALSE)), "N", "Y")</f>
        <v>N</v>
      </c>
      <c r="D381" t="str">
        <f t="shared" si="10"/>
        <v/>
      </c>
      <c r="E381" t="s">
        <v>4181</v>
      </c>
      <c r="F381" t="s">
        <v>4182</v>
      </c>
      <c r="G381" t="s">
        <v>48</v>
      </c>
      <c r="H381" t="s">
        <v>4183</v>
      </c>
      <c r="I381" t="s">
        <v>2661</v>
      </c>
      <c r="J381" t="str">
        <f>IF(0 = IFERROR(VLOOKUP(DBL_FullList!I381, ContactsDbl!B:D, 2, FALSE), ""), "", IFERROR(VLOOKUP(DBL_FullList!I381, ContactsDbl!B:D, 2, FALSE), ""))</f>
        <v>dbladmin_intl@sil.org</v>
      </c>
      <c r="K381" t="str">
        <f>IF(0 = IFERROR(VLOOKUP(DBL_FullList!I381,ContactsDbl!B:D, 3, FALSE), ""), "", IFERROR(VLOOKUP(DBL_FullList!I381, ContactsDbl!B:D, 3, FALSE), ""))</f>
        <v>http://www.wycliffe.org</v>
      </c>
      <c r="L381">
        <f t="shared" si="11"/>
        <v>2</v>
      </c>
    </row>
    <row r="382" spans="1:12" x14ac:dyDescent="0.25">
      <c r="A382" t="s">
        <v>4184</v>
      </c>
      <c r="B382" t="str">
        <f>IF(ISERROR(VLOOKUP(F382,STEP!A:A, 1, FALSE)), "N", "Y")</f>
        <v>N</v>
      </c>
      <c r="C382" t="str">
        <f>IF(ISERROR(VLOOKUP(E382, BibleInEveryLanguageTexts!A:A, 1, FALSE)), "N", "Y")</f>
        <v>Y</v>
      </c>
      <c r="D382" t="str">
        <f t="shared" si="10"/>
        <v/>
      </c>
      <c r="E382" t="s">
        <v>1515</v>
      </c>
      <c r="F382" t="s">
        <v>4076</v>
      </c>
      <c r="G382" t="s">
        <v>2858</v>
      </c>
      <c r="H382" t="s">
        <v>4185</v>
      </c>
      <c r="I382" t="s">
        <v>2505</v>
      </c>
      <c r="J382" t="str">
        <f>IF(0 = IFERROR(VLOOKUP(DBL_FullList!I382, ContactsDbl!B:D, 2, FALSE), ""), "", IFERROR(VLOOKUP(DBL_FullList!I382, ContactsDbl!B:D, 2, FALSE), ""))</f>
        <v/>
      </c>
      <c r="K382" t="str">
        <f>IF(0 = IFERROR(VLOOKUP(DBL_FullList!I382,ContactsDbl!B:D, 3, FALSE), ""), "", IFERROR(VLOOKUP(DBL_FullList!I382, ContactsDbl!B:D, 3, FALSE), ""))</f>
        <v>http://www.bible.org.ph/</v>
      </c>
      <c r="L382">
        <f t="shared" si="11"/>
        <v>1</v>
      </c>
    </row>
    <row r="383" spans="1:12" x14ac:dyDescent="0.25">
      <c r="A383" s="1" t="s">
        <v>4186</v>
      </c>
      <c r="B383" t="str">
        <f>IF(ISERROR(VLOOKUP(F383,STEP!A:A, 1, FALSE)), "N", "Y")</f>
        <v>N</v>
      </c>
      <c r="C383" t="str">
        <f>IF(ISERROR(VLOOKUP(E383, BibleInEveryLanguageTexts!A:A, 1, FALSE)), "N", "Y")</f>
        <v>N</v>
      </c>
      <c r="D383" t="str">
        <f t="shared" si="10"/>
        <v>X</v>
      </c>
      <c r="E383" t="s">
        <v>477</v>
      </c>
      <c r="F383" t="s">
        <v>476</v>
      </c>
      <c r="G383" t="s">
        <v>2861</v>
      </c>
      <c r="H383" t="s">
        <v>4187</v>
      </c>
      <c r="I383" t="s">
        <v>3104</v>
      </c>
      <c r="J383" t="str">
        <f>IF(0 = IFERROR(VLOOKUP(DBL_FullList!I383, ContactsDbl!B:D, 2, FALSE), ""), "", IFERROR(VLOOKUP(DBL_FullList!I383, ContactsDbl!B:D, 2, FALSE), ""))</f>
        <v/>
      </c>
      <c r="K383" t="str">
        <f>IF(0 = IFERROR(VLOOKUP(DBL_FullList!I383,ContactsDbl!B:D, 3, FALSE), ""), "", IFERROR(VLOOKUP(DBL_FullList!I383, ContactsDbl!B:D, 3, FALSE), ""))</f>
        <v/>
      </c>
      <c r="L383">
        <f t="shared" si="11"/>
        <v>0</v>
      </c>
    </row>
    <row r="384" spans="1:12" x14ac:dyDescent="0.25">
      <c r="A384" t="s">
        <v>4188</v>
      </c>
      <c r="B384" t="str">
        <f>IF(ISERROR(VLOOKUP(F384,STEP!A:A, 1, FALSE)), "N", "Y")</f>
        <v>N</v>
      </c>
      <c r="C384" t="str">
        <f>IF(ISERROR(VLOOKUP(E384, BibleInEveryLanguageTexts!A:A, 1, FALSE)), "N", "Y")</f>
        <v>N</v>
      </c>
      <c r="D384" t="str">
        <f t="shared" si="10"/>
        <v>X</v>
      </c>
      <c r="E384" t="s">
        <v>4189</v>
      </c>
      <c r="F384" t="s">
        <v>4190</v>
      </c>
      <c r="G384" t="s">
        <v>4191</v>
      </c>
      <c r="H384" t="s">
        <v>4192</v>
      </c>
      <c r="I384" t="s">
        <v>3104</v>
      </c>
      <c r="J384" t="str">
        <f>IF(0 = IFERROR(VLOOKUP(DBL_FullList!I384, ContactsDbl!B:D, 2, FALSE), ""), "", IFERROR(VLOOKUP(DBL_FullList!I384, ContactsDbl!B:D, 2, FALSE), ""))</f>
        <v/>
      </c>
      <c r="K384" t="str">
        <f>IF(0 = IFERROR(VLOOKUP(DBL_FullList!I384,ContactsDbl!B:D, 3, FALSE), ""), "", IFERROR(VLOOKUP(DBL_FullList!I384, ContactsDbl!B:D, 3, FALSE), ""))</f>
        <v/>
      </c>
      <c r="L384">
        <f t="shared" si="11"/>
        <v>0</v>
      </c>
    </row>
    <row r="385" spans="1:12" x14ac:dyDescent="0.25">
      <c r="A385" t="s">
        <v>4193</v>
      </c>
      <c r="B385" t="str">
        <f>IF(ISERROR(VLOOKUP(F385,STEP!A:A, 1, FALSE)), "N", "Y")</f>
        <v>Y</v>
      </c>
      <c r="C385" t="str">
        <f>IF(ISERROR(VLOOKUP(E385, BibleInEveryLanguageTexts!A:A, 1, FALSE)), "N", "Y")</f>
        <v>N</v>
      </c>
      <c r="D385" t="str">
        <f t="shared" si="10"/>
        <v/>
      </c>
      <c r="E385" t="s">
        <v>4194</v>
      </c>
      <c r="F385" t="s">
        <v>4195</v>
      </c>
      <c r="G385" t="s">
        <v>48</v>
      </c>
      <c r="H385" t="s">
        <v>4196</v>
      </c>
      <c r="I385" t="s">
        <v>2661</v>
      </c>
      <c r="J385" t="str">
        <f>IF(0 = IFERROR(VLOOKUP(DBL_FullList!I385, ContactsDbl!B:D, 2, FALSE), ""), "", IFERROR(VLOOKUP(DBL_FullList!I385, ContactsDbl!B:D, 2, FALSE), ""))</f>
        <v>dbladmin_intl@sil.org</v>
      </c>
      <c r="K385" t="str">
        <f>IF(0 = IFERROR(VLOOKUP(DBL_FullList!I385,ContactsDbl!B:D, 3, FALSE), ""), "", IFERROR(VLOOKUP(DBL_FullList!I385, ContactsDbl!B:D, 3, FALSE), ""))</f>
        <v>http://www.wycliffe.org</v>
      </c>
      <c r="L385">
        <f t="shared" si="11"/>
        <v>2</v>
      </c>
    </row>
    <row r="386" spans="1:12" x14ac:dyDescent="0.25">
      <c r="A386" t="s">
        <v>4197</v>
      </c>
      <c r="B386" t="str">
        <f>IF(ISERROR(VLOOKUP(F386,STEP!A:A, 1, FALSE)), "N", "Y")</f>
        <v>N</v>
      </c>
      <c r="C386" t="str">
        <f>IF(ISERROR(VLOOKUP(E386, BibleInEveryLanguageTexts!A:A, 1, FALSE)), "N", "Y")</f>
        <v>N</v>
      </c>
      <c r="D386" t="str">
        <f t="shared" si="10"/>
        <v>X</v>
      </c>
      <c r="E386" t="s">
        <v>4198</v>
      </c>
      <c r="F386" t="s">
        <v>4199</v>
      </c>
      <c r="G386" t="s">
        <v>4200</v>
      </c>
      <c r="H386" t="s">
        <v>4201</v>
      </c>
      <c r="I386" t="s">
        <v>2444</v>
      </c>
      <c r="J386" t="str">
        <f>IF(0 = IFERROR(VLOOKUP(DBL_FullList!I386, ContactsDbl!B:D, 2, FALSE), ""), "", IFERROR(VLOOKUP(DBL_FullList!I386, ContactsDbl!B:D, 2, FALSE), ""))</f>
        <v>sbmoz@tvcabo.co.mz</v>
      </c>
      <c r="K386" t="str">
        <f>IF(0 = IFERROR(VLOOKUP(DBL_FullList!I386,ContactsDbl!B:D, 3, FALSE), ""), "", IFERROR(VLOOKUP(DBL_FullList!I386, ContactsDbl!B:D, 3, FALSE), ""))</f>
        <v>http://www.unitedbiblesocieties.org/society/bible-society-in-mozambique/</v>
      </c>
      <c r="L386">
        <f t="shared" si="11"/>
        <v>2</v>
      </c>
    </row>
    <row r="387" spans="1:12" x14ac:dyDescent="0.25">
      <c r="A387" t="s">
        <v>4202</v>
      </c>
      <c r="B387" t="str">
        <f>IF(ISERROR(VLOOKUP(F387,STEP!A:A, 1, FALSE)), "N", "Y")</f>
        <v>N</v>
      </c>
      <c r="C387" t="str">
        <f>IF(ISERROR(VLOOKUP(E387, BibleInEveryLanguageTexts!A:A, 1, FALSE)), "N", "Y")</f>
        <v>N</v>
      </c>
      <c r="D387" t="str">
        <f t="shared" ref="D387:D450" si="12">IF(AND("N" = B387, "N" = C387), "X", "")</f>
        <v>X</v>
      </c>
      <c r="E387" t="s">
        <v>4203</v>
      </c>
      <c r="F387" t="s">
        <v>4204</v>
      </c>
      <c r="G387" t="s">
        <v>48</v>
      </c>
      <c r="H387" t="s">
        <v>4205</v>
      </c>
      <c r="I387" t="s">
        <v>2661</v>
      </c>
      <c r="J387" t="str">
        <f>IF(0 = IFERROR(VLOOKUP(DBL_FullList!I387, ContactsDbl!B:D, 2, FALSE), ""), "", IFERROR(VLOOKUP(DBL_FullList!I387, ContactsDbl!B:D, 2, FALSE), ""))</f>
        <v>dbladmin_intl@sil.org</v>
      </c>
      <c r="K387" t="str">
        <f>IF(0 = IFERROR(VLOOKUP(DBL_FullList!I387,ContactsDbl!B:D, 3, FALSE), ""), "", IFERROR(VLOOKUP(DBL_FullList!I387, ContactsDbl!B:D, 3, FALSE), ""))</f>
        <v>http://www.wycliffe.org</v>
      </c>
      <c r="L387">
        <f t="shared" ref="L387:L450" si="13">IF("" &lt;&gt; J387, 2, IF("" &lt;&gt; K387, 1, 0))</f>
        <v>2</v>
      </c>
    </row>
    <row r="388" spans="1:12" x14ac:dyDescent="0.25">
      <c r="A388" t="s">
        <v>4206</v>
      </c>
      <c r="B388" t="str">
        <f>IF(ISERROR(VLOOKUP(F388,STEP!A:A, 1, FALSE)), "N", "Y")</f>
        <v>Y</v>
      </c>
      <c r="C388" t="str">
        <f>IF(ISERROR(VLOOKUP(E388, BibleInEveryLanguageTexts!A:A, 1, FALSE)), "N", "Y")</f>
        <v>N</v>
      </c>
      <c r="D388" t="str">
        <f t="shared" si="12"/>
        <v/>
      </c>
      <c r="E388" t="s">
        <v>3767</v>
      </c>
      <c r="F388" t="s">
        <v>3768</v>
      </c>
      <c r="G388" t="s">
        <v>48</v>
      </c>
      <c r="H388" t="s">
        <v>4207</v>
      </c>
      <c r="I388" t="s">
        <v>2661</v>
      </c>
      <c r="J388" t="str">
        <f>IF(0 = IFERROR(VLOOKUP(DBL_FullList!I388, ContactsDbl!B:D, 2, FALSE), ""), "", IFERROR(VLOOKUP(DBL_FullList!I388, ContactsDbl!B:D, 2, FALSE), ""))</f>
        <v>dbladmin_intl@sil.org</v>
      </c>
      <c r="K388" t="str">
        <f>IF(0 = IFERROR(VLOOKUP(DBL_FullList!I388,ContactsDbl!B:D, 3, FALSE), ""), "", IFERROR(VLOOKUP(DBL_FullList!I388, ContactsDbl!B:D, 3, FALSE), ""))</f>
        <v>http://www.wycliffe.org</v>
      </c>
      <c r="L388">
        <f t="shared" si="13"/>
        <v>2</v>
      </c>
    </row>
    <row r="389" spans="1:12" x14ac:dyDescent="0.25">
      <c r="A389" t="s">
        <v>104</v>
      </c>
      <c r="B389" t="str">
        <f>IF(ISERROR(VLOOKUP(F389,STEP!A:A, 1, FALSE)), "N", "Y")</f>
        <v>N</v>
      </c>
      <c r="C389" t="str">
        <f>IF(ISERROR(VLOOKUP(E389, BibleInEveryLanguageTexts!A:A, 1, FALSE)), "N", "Y")</f>
        <v>N</v>
      </c>
      <c r="D389" t="str">
        <f t="shared" si="12"/>
        <v>X</v>
      </c>
      <c r="E389" t="s">
        <v>103</v>
      </c>
      <c r="F389" t="s">
        <v>101</v>
      </c>
      <c r="G389" t="s">
        <v>102</v>
      </c>
      <c r="H389" t="s">
        <v>100</v>
      </c>
      <c r="I389" t="s">
        <v>45</v>
      </c>
      <c r="J389" t="str">
        <f>IF(0 = IFERROR(VLOOKUP(DBL_FullList!I389, ContactsDbl!B:D, 2, FALSE), ""), "", IFERROR(VLOOKUP(DBL_FullList!I389, ContactsDbl!B:D, 2, FALSE), ""))</f>
        <v>pbt@pbti.org</v>
      </c>
      <c r="K389" t="str">
        <f>IF(0 = IFERROR(VLOOKUP(DBL_FullList!I389,ContactsDbl!B:D, 3, FALSE), ""), "", IFERROR(VLOOKUP(DBL_FullList!I389, ContactsDbl!B:D, 3, FALSE), ""))</f>
        <v>www.pioneerbible.org</v>
      </c>
      <c r="L389">
        <f t="shared" si="13"/>
        <v>2</v>
      </c>
    </row>
    <row r="390" spans="1:12" x14ac:dyDescent="0.25">
      <c r="A390" t="s">
        <v>536</v>
      </c>
      <c r="B390" t="str">
        <f>IF(ISERROR(VLOOKUP(F390,STEP!A:A, 1, FALSE)), "N", "Y")</f>
        <v>N</v>
      </c>
      <c r="C390" t="str">
        <f>IF(ISERROR(VLOOKUP(E390, BibleInEveryLanguageTexts!A:A, 1, FALSE)), "N", "Y")</f>
        <v>N</v>
      </c>
      <c r="D390" t="str">
        <f t="shared" si="12"/>
        <v>X</v>
      </c>
      <c r="E390" t="s">
        <v>535</v>
      </c>
      <c r="F390" t="s">
        <v>534</v>
      </c>
      <c r="G390" t="s">
        <v>139</v>
      </c>
      <c r="H390" t="s">
        <v>4208</v>
      </c>
      <c r="I390" t="s">
        <v>45</v>
      </c>
      <c r="J390" t="str">
        <f>IF(0 = IFERROR(VLOOKUP(DBL_FullList!I390, ContactsDbl!B:D, 2, FALSE), ""), "", IFERROR(VLOOKUP(DBL_FullList!I390, ContactsDbl!B:D, 2, FALSE), ""))</f>
        <v>pbt@pbti.org</v>
      </c>
      <c r="K390" t="str">
        <f>IF(0 = IFERROR(VLOOKUP(DBL_FullList!I390,ContactsDbl!B:D, 3, FALSE), ""), "", IFERROR(VLOOKUP(DBL_FullList!I390, ContactsDbl!B:D, 3, FALSE), ""))</f>
        <v>www.pioneerbible.org</v>
      </c>
      <c r="L390">
        <f t="shared" si="13"/>
        <v>2</v>
      </c>
    </row>
    <row r="391" spans="1:12" x14ac:dyDescent="0.25">
      <c r="A391" t="s">
        <v>4209</v>
      </c>
      <c r="B391" t="str">
        <f>IF(ISERROR(VLOOKUP(F391,STEP!A:A, 1, FALSE)), "N", "Y")</f>
        <v>N</v>
      </c>
      <c r="C391" t="str">
        <f>IF(ISERROR(VLOOKUP(E391, BibleInEveryLanguageTexts!A:A, 1, FALSE)), "N", "Y")</f>
        <v>N</v>
      </c>
      <c r="D391" t="str">
        <f t="shared" si="12"/>
        <v>X</v>
      </c>
      <c r="E391" t="s">
        <v>4210</v>
      </c>
      <c r="F391" t="s">
        <v>4211</v>
      </c>
      <c r="G391" t="s">
        <v>3083</v>
      </c>
      <c r="H391" t="s">
        <v>4212</v>
      </c>
      <c r="I391" t="s">
        <v>2413</v>
      </c>
      <c r="J391" t="str">
        <f>IF(0 = IFERROR(VLOOKUP(DBL_FullList!I391, ContactsDbl!B:D, 2, FALSE), ""), "", IFERROR(VLOOKUP(DBL_FullList!I391, ContactsDbl!B:D, 2, FALSE), ""))</f>
        <v>info@biblesociety-mali.org</v>
      </c>
      <c r="K391" t="str">
        <f>IF(0 = IFERROR(VLOOKUP(DBL_FullList!I391,ContactsDbl!B:D, 3, FALSE), ""), "", IFERROR(VLOOKUP(DBL_FullList!I391, ContactsDbl!B:D, 3, FALSE), ""))</f>
        <v>http://www.biblesociety-mali.org</v>
      </c>
      <c r="L391">
        <f t="shared" si="13"/>
        <v>2</v>
      </c>
    </row>
    <row r="392" spans="1:12" x14ac:dyDescent="0.25">
      <c r="A392" t="s">
        <v>525</v>
      </c>
      <c r="B392" t="str">
        <f>IF(ISERROR(VLOOKUP(F392,STEP!A:A, 1, FALSE)), "N", "Y")</f>
        <v>N</v>
      </c>
      <c r="C392" t="str">
        <f>IF(ISERROR(VLOOKUP(E392, BibleInEveryLanguageTexts!A:A, 1, FALSE)), "N", "Y")</f>
        <v>N</v>
      </c>
      <c r="D392" t="str">
        <f t="shared" si="12"/>
        <v>X</v>
      </c>
      <c r="E392" t="s">
        <v>524</v>
      </c>
      <c r="F392" t="s">
        <v>523</v>
      </c>
      <c r="G392" t="s">
        <v>139</v>
      </c>
      <c r="H392" t="s">
        <v>4213</v>
      </c>
      <c r="I392" t="s">
        <v>45</v>
      </c>
      <c r="J392" t="str">
        <f>IF(0 = IFERROR(VLOOKUP(DBL_FullList!I392, ContactsDbl!B:D, 2, FALSE), ""), "", IFERROR(VLOOKUP(DBL_FullList!I392, ContactsDbl!B:D, 2, FALSE), ""))</f>
        <v>pbt@pbti.org</v>
      </c>
      <c r="K392" t="str">
        <f>IF(0 = IFERROR(VLOOKUP(DBL_FullList!I392,ContactsDbl!B:D, 3, FALSE), ""), "", IFERROR(VLOOKUP(DBL_FullList!I392, ContactsDbl!B:D, 3, FALSE), ""))</f>
        <v>www.pioneerbible.org</v>
      </c>
      <c r="L392">
        <f t="shared" si="13"/>
        <v>2</v>
      </c>
    </row>
    <row r="393" spans="1:12" x14ac:dyDescent="0.25">
      <c r="A393" t="s">
        <v>4214</v>
      </c>
      <c r="B393" t="str">
        <f>IF(ISERROR(VLOOKUP(F393,STEP!A:A, 1, FALSE)), "N", "Y")</f>
        <v>Y</v>
      </c>
      <c r="C393" t="str">
        <f>IF(ISERROR(VLOOKUP(E393, BibleInEveryLanguageTexts!A:A, 1, FALSE)), "N", "Y")</f>
        <v>N</v>
      </c>
      <c r="D393" t="str">
        <f t="shared" si="12"/>
        <v/>
      </c>
      <c r="E393" t="s">
        <v>4215</v>
      </c>
      <c r="F393" t="s">
        <v>4216</v>
      </c>
      <c r="G393" t="s">
        <v>48</v>
      </c>
      <c r="H393" t="s">
        <v>4217</v>
      </c>
      <c r="I393" t="s">
        <v>2661</v>
      </c>
      <c r="J393" t="str">
        <f>IF(0 = IFERROR(VLOOKUP(DBL_FullList!I393, ContactsDbl!B:D, 2, FALSE), ""), "", IFERROR(VLOOKUP(DBL_FullList!I393, ContactsDbl!B:D, 2, FALSE), ""))</f>
        <v>dbladmin_intl@sil.org</v>
      </c>
      <c r="K393" t="str">
        <f>IF(0 = IFERROR(VLOOKUP(DBL_FullList!I393,ContactsDbl!B:D, 3, FALSE), ""), "", IFERROR(VLOOKUP(DBL_FullList!I393, ContactsDbl!B:D, 3, FALSE), ""))</f>
        <v>http://www.wycliffe.org</v>
      </c>
      <c r="L393">
        <f t="shared" si="13"/>
        <v>2</v>
      </c>
    </row>
    <row r="394" spans="1:12" x14ac:dyDescent="0.25">
      <c r="A394" t="s">
        <v>305</v>
      </c>
      <c r="B394" t="str">
        <f>IF(ISERROR(VLOOKUP(F394,STEP!A:A, 1, FALSE)), "N", "Y")</f>
        <v>N</v>
      </c>
      <c r="C394" t="str">
        <f>IF(ISERROR(VLOOKUP(E394, BibleInEveryLanguageTexts!A:A, 1, FALSE)), "N", "Y")</f>
        <v>N</v>
      </c>
      <c r="D394" t="str">
        <f t="shared" si="12"/>
        <v>X</v>
      </c>
      <c r="E394" t="s">
        <v>304</v>
      </c>
      <c r="F394" t="s">
        <v>303</v>
      </c>
      <c r="G394" t="s">
        <v>139</v>
      </c>
      <c r="H394" t="s">
        <v>302</v>
      </c>
      <c r="I394" t="s">
        <v>45</v>
      </c>
      <c r="J394" t="str">
        <f>IF(0 = IFERROR(VLOOKUP(DBL_FullList!I394, ContactsDbl!B:D, 2, FALSE), ""), "", IFERROR(VLOOKUP(DBL_FullList!I394, ContactsDbl!B:D, 2, FALSE), ""))</f>
        <v>pbt@pbti.org</v>
      </c>
      <c r="K394" t="str">
        <f>IF(0 = IFERROR(VLOOKUP(DBL_FullList!I394,ContactsDbl!B:D, 3, FALSE), ""), "", IFERROR(VLOOKUP(DBL_FullList!I394, ContactsDbl!B:D, 3, FALSE), ""))</f>
        <v>www.pioneerbible.org</v>
      </c>
      <c r="L394">
        <f t="shared" si="13"/>
        <v>2</v>
      </c>
    </row>
    <row r="395" spans="1:12" x14ac:dyDescent="0.25">
      <c r="A395" t="s">
        <v>4218</v>
      </c>
      <c r="B395" t="str">
        <f>IF(ISERROR(VLOOKUP(F395,STEP!A:A, 1, FALSE)), "N", "Y")</f>
        <v>N</v>
      </c>
      <c r="C395" t="str">
        <f>IF(ISERROR(VLOOKUP(E395, BibleInEveryLanguageTexts!A:A, 1, FALSE)), "N", "Y")</f>
        <v>N</v>
      </c>
      <c r="D395" t="str">
        <f t="shared" si="12"/>
        <v>X</v>
      </c>
      <c r="E395" t="s">
        <v>4219</v>
      </c>
      <c r="F395" t="s">
        <v>4220</v>
      </c>
      <c r="G395" t="s">
        <v>20</v>
      </c>
      <c r="H395" t="s">
        <v>4221</v>
      </c>
      <c r="I395" t="s">
        <v>2329</v>
      </c>
      <c r="J395" t="str">
        <f>IF(0 = IFERROR(VLOOKUP(DBL_FullList!I395, ContactsDbl!B:D, 2, FALSE), ""), "", IFERROR(VLOOKUP(DBL_FullList!I395, ContactsDbl!B:D, 2, FALSE), ""))</f>
        <v/>
      </c>
      <c r="K395" t="str">
        <f>IF(0 = IFERROR(VLOOKUP(DBL_FullList!I395,ContactsDbl!B:D, 3, FALSE), ""), "", IFERROR(VLOOKUP(DBL_FullList!I395, ContactsDbl!B:D, 3, FALSE), ""))</f>
        <v>http://www.bsind.org/</v>
      </c>
      <c r="L395">
        <f t="shared" si="13"/>
        <v>1</v>
      </c>
    </row>
    <row r="396" spans="1:12" x14ac:dyDescent="0.25">
      <c r="A396" t="s">
        <v>435</v>
      </c>
      <c r="B396" t="str">
        <f>IF(ISERROR(VLOOKUP(F396,STEP!A:A, 1, FALSE)), "N", "Y")</f>
        <v>N</v>
      </c>
      <c r="C396" t="str">
        <f>IF(ISERROR(VLOOKUP(E396, BibleInEveryLanguageTexts!A:A, 1, FALSE)), "N", "Y")</f>
        <v>N</v>
      </c>
      <c r="D396" t="str">
        <f t="shared" si="12"/>
        <v>X</v>
      </c>
      <c r="E396" t="s">
        <v>434</v>
      </c>
      <c r="F396" t="s">
        <v>433</v>
      </c>
      <c r="G396" t="s">
        <v>139</v>
      </c>
      <c r="H396" t="s">
        <v>432</v>
      </c>
      <c r="I396" t="s">
        <v>45</v>
      </c>
      <c r="J396" t="str">
        <f>IF(0 = IFERROR(VLOOKUP(DBL_FullList!I396, ContactsDbl!B:D, 2, FALSE), ""), "", IFERROR(VLOOKUP(DBL_FullList!I396, ContactsDbl!B:D, 2, FALSE), ""))</f>
        <v>pbt@pbti.org</v>
      </c>
      <c r="K396" t="str">
        <f>IF(0 = IFERROR(VLOOKUP(DBL_FullList!I396,ContactsDbl!B:D, 3, FALSE), ""), "", IFERROR(VLOOKUP(DBL_FullList!I396, ContactsDbl!B:D, 3, FALSE), ""))</f>
        <v>www.pioneerbible.org</v>
      </c>
      <c r="L396">
        <f t="shared" si="13"/>
        <v>2</v>
      </c>
    </row>
    <row r="397" spans="1:12" x14ac:dyDescent="0.25">
      <c r="A397" t="s">
        <v>4222</v>
      </c>
      <c r="B397" t="str">
        <f>IF(ISERROR(VLOOKUP(F397,STEP!A:A, 1, FALSE)), "N", "Y")</f>
        <v>N</v>
      </c>
      <c r="C397" t="str">
        <f>IF(ISERROR(VLOOKUP(E397, BibleInEveryLanguageTexts!A:A, 1, FALSE)), "N", "Y")</f>
        <v>N</v>
      </c>
      <c r="D397" t="str">
        <f t="shared" si="12"/>
        <v>X</v>
      </c>
      <c r="E397" t="s">
        <v>4223</v>
      </c>
      <c r="F397" t="s">
        <v>4224</v>
      </c>
      <c r="G397" t="s">
        <v>20</v>
      </c>
      <c r="H397" t="s">
        <v>4225</v>
      </c>
      <c r="I397" t="s">
        <v>2329</v>
      </c>
      <c r="J397" t="str">
        <f>IF(0 = IFERROR(VLOOKUP(DBL_FullList!I397, ContactsDbl!B:D, 2, FALSE), ""), "", IFERROR(VLOOKUP(DBL_FullList!I397, ContactsDbl!B:D, 2, FALSE), ""))</f>
        <v/>
      </c>
      <c r="K397" t="str">
        <f>IF(0 = IFERROR(VLOOKUP(DBL_FullList!I397,ContactsDbl!B:D, 3, FALSE), ""), "", IFERROR(VLOOKUP(DBL_FullList!I397, ContactsDbl!B:D, 3, FALSE), ""))</f>
        <v>http://www.bsind.org/</v>
      </c>
      <c r="L397">
        <f t="shared" si="13"/>
        <v>1</v>
      </c>
    </row>
    <row r="398" spans="1:12" x14ac:dyDescent="0.25">
      <c r="A398" t="s">
        <v>4226</v>
      </c>
      <c r="B398" t="str">
        <f>IF(ISERROR(VLOOKUP(F398,STEP!A:A, 1, FALSE)), "N", "Y")</f>
        <v>N</v>
      </c>
      <c r="C398" t="str">
        <f>IF(ISERROR(VLOOKUP(E398, BibleInEveryLanguageTexts!A:A, 1, FALSE)), "N", "Y")</f>
        <v>N</v>
      </c>
      <c r="D398" t="str">
        <f t="shared" si="12"/>
        <v>X</v>
      </c>
      <c r="E398" t="s">
        <v>4227</v>
      </c>
      <c r="F398" t="s">
        <v>4228</v>
      </c>
      <c r="G398" t="s">
        <v>3418</v>
      </c>
      <c r="H398" t="s">
        <v>4229</v>
      </c>
      <c r="I398" t="s">
        <v>3104</v>
      </c>
      <c r="J398" t="str">
        <f>IF(0 = IFERROR(VLOOKUP(DBL_FullList!I398, ContactsDbl!B:D, 2, FALSE), ""), "", IFERROR(VLOOKUP(DBL_FullList!I398, ContactsDbl!B:D, 2, FALSE), ""))</f>
        <v/>
      </c>
      <c r="K398" t="str">
        <f>IF(0 = IFERROR(VLOOKUP(DBL_FullList!I398,ContactsDbl!B:D, 3, FALSE), ""), "", IFERROR(VLOOKUP(DBL_FullList!I398, ContactsDbl!B:D, 3, FALSE), ""))</f>
        <v/>
      </c>
      <c r="L398">
        <f t="shared" si="13"/>
        <v>0</v>
      </c>
    </row>
    <row r="399" spans="1:12" x14ac:dyDescent="0.25">
      <c r="A399" t="s">
        <v>4230</v>
      </c>
      <c r="B399" t="str">
        <f>IF(ISERROR(VLOOKUP(F399,STEP!A:A, 1, FALSE)), "N", "Y")</f>
        <v>N</v>
      </c>
      <c r="C399" t="str">
        <f>IF(ISERROR(VLOOKUP(E399, BibleInEveryLanguageTexts!A:A, 1, FALSE)), "N", "Y")</f>
        <v>N</v>
      </c>
      <c r="D399" t="str">
        <f t="shared" si="12"/>
        <v>X</v>
      </c>
      <c r="E399" t="s">
        <v>4231</v>
      </c>
      <c r="F399" t="s">
        <v>4232</v>
      </c>
      <c r="G399" t="s">
        <v>20</v>
      </c>
      <c r="H399" t="s">
        <v>4233</v>
      </c>
      <c r="I399" t="s">
        <v>2329</v>
      </c>
      <c r="J399" t="str">
        <f>IF(0 = IFERROR(VLOOKUP(DBL_FullList!I399, ContactsDbl!B:D, 2, FALSE), ""), "", IFERROR(VLOOKUP(DBL_FullList!I399, ContactsDbl!B:D, 2, FALSE), ""))</f>
        <v/>
      </c>
      <c r="K399" t="str">
        <f>IF(0 = IFERROR(VLOOKUP(DBL_FullList!I399,ContactsDbl!B:D, 3, FALSE), ""), "", IFERROR(VLOOKUP(DBL_FullList!I399, ContactsDbl!B:D, 3, FALSE), ""))</f>
        <v>http://www.bsind.org/</v>
      </c>
      <c r="L399">
        <f t="shared" si="13"/>
        <v>1</v>
      </c>
    </row>
    <row r="400" spans="1:12" x14ac:dyDescent="0.25">
      <c r="A400" t="s">
        <v>4234</v>
      </c>
      <c r="B400" t="str">
        <f>IF(ISERROR(VLOOKUP(F400,STEP!A:A, 1, FALSE)), "N", "Y")</f>
        <v>N</v>
      </c>
      <c r="C400" t="str">
        <f>IF(ISERROR(VLOOKUP(E400, BibleInEveryLanguageTexts!A:A, 1, FALSE)), "N", "Y")</f>
        <v>N</v>
      </c>
      <c r="D400" t="str">
        <f t="shared" si="12"/>
        <v>X</v>
      </c>
      <c r="E400" t="s">
        <v>219</v>
      </c>
      <c r="F400" t="s">
        <v>217</v>
      </c>
      <c r="G400" t="s">
        <v>218</v>
      </c>
      <c r="H400" t="s">
        <v>4235</v>
      </c>
      <c r="I400" t="s">
        <v>2241</v>
      </c>
      <c r="J400" t="str">
        <f>IF(0 = IFERROR(VLOOKUP(DBL_FullList!I400, ContactsDbl!B:D, 2, FALSE), ""), "", IFERROR(VLOOKUP(DBL_FullList!I400, ContactsDbl!B:D, 2, FALSE), ""))</f>
        <v>dbl@dbg.de</v>
      </c>
      <c r="K400" t="str">
        <f>IF(0 = IFERROR(VLOOKUP(DBL_FullList!I400,ContactsDbl!B:D, 3, FALSE), ""), "", IFERROR(VLOOKUP(DBL_FullList!I400, ContactsDbl!B:D, 3, FALSE), ""))</f>
        <v>http://www.die-bibel.de</v>
      </c>
      <c r="L400">
        <f t="shared" si="13"/>
        <v>2</v>
      </c>
    </row>
    <row r="401" spans="1:12" x14ac:dyDescent="0.25">
      <c r="A401" t="s">
        <v>4236</v>
      </c>
      <c r="B401" t="str">
        <f>IF(ISERROR(VLOOKUP(F401,STEP!A:A, 1, FALSE)), "N", "Y")</f>
        <v>Y</v>
      </c>
      <c r="C401" t="str">
        <f>IF(ISERROR(VLOOKUP(E401, BibleInEveryLanguageTexts!A:A, 1, FALSE)), "N", "Y")</f>
        <v>N</v>
      </c>
      <c r="D401" t="str">
        <f t="shared" si="12"/>
        <v/>
      </c>
      <c r="E401" t="s">
        <v>4237</v>
      </c>
      <c r="F401" t="s">
        <v>4238</v>
      </c>
      <c r="G401" t="s">
        <v>48</v>
      </c>
      <c r="H401" t="s">
        <v>4239</v>
      </c>
      <c r="I401" t="s">
        <v>2661</v>
      </c>
      <c r="J401" t="str">
        <f>IF(0 = IFERROR(VLOOKUP(DBL_FullList!I401, ContactsDbl!B:D, 2, FALSE), ""), "", IFERROR(VLOOKUP(DBL_FullList!I401, ContactsDbl!B:D, 2, FALSE), ""))</f>
        <v>dbladmin_intl@sil.org</v>
      </c>
      <c r="K401" t="str">
        <f>IF(0 = IFERROR(VLOOKUP(DBL_FullList!I401,ContactsDbl!B:D, 3, FALSE), ""), "", IFERROR(VLOOKUP(DBL_FullList!I401, ContactsDbl!B:D, 3, FALSE), ""))</f>
        <v>http://www.wycliffe.org</v>
      </c>
      <c r="L401">
        <f t="shared" si="13"/>
        <v>2</v>
      </c>
    </row>
    <row r="402" spans="1:12" x14ac:dyDescent="0.25">
      <c r="A402" t="s">
        <v>4240</v>
      </c>
      <c r="B402" t="str">
        <f>IF(ISERROR(VLOOKUP(F402,STEP!A:A, 1, FALSE)), "N", "Y")</f>
        <v>N</v>
      </c>
      <c r="C402" t="str">
        <f>IF(ISERROR(VLOOKUP(E402, BibleInEveryLanguageTexts!A:A, 1, FALSE)), "N", "Y")</f>
        <v>N</v>
      </c>
      <c r="D402" t="str">
        <f t="shared" si="12"/>
        <v>X</v>
      </c>
      <c r="E402" t="s">
        <v>4241</v>
      </c>
      <c r="F402" t="s">
        <v>4242</v>
      </c>
      <c r="G402" t="s">
        <v>20</v>
      </c>
      <c r="H402" t="s">
        <v>4243</v>
      </c>
      <c r="I402" t="s">
        <v>2329</v>
      </c>
      <c r="J402" t="str">
        <f>IF(0 = IFERROR(VLOOKUP(DBL_FullList!I402, ContactsDbl!B:D, 2, FALSE), ""), "", IFERROR(VLOOKUP(DBL_FullList!I402, ContactsDbl!B:D, 2, FALSE), ""))</f>
        <v/>
      </c>
      <c r="K402" t="str">
        <f>IF(0 = IFERROR(VLOOKUP(DBL_FullList!I402,ContactsDbl!B:D, 3, FALSE), ""), "", IFERROR(VLOOKUP(DBL_FullList!I402, ContactsDbl!B:D, 3, FALSE), ""))</f>
        <v>http://www.bsind.org/</v>
      </c>
      <c r="L402">
        <f t="shared" si="13"/>
        <v>1</v>
      </c>
    </row>
    <row r="403" spans="1:12" x14ac:dyDescent="0.25">
      <c r="A403" t="s">
        <v>4244</v>
      </c>
      <c r="B403" t="str">
        <f>IF(ISERROR(VLOOKUP(F403,STEP!A:A, 1, FALSE)), "N", "Y")</f>
        <v>Y</v>
      </c>
      <c r="C403" t="str">
        <f>IF(ISERROR(VLOOKUP(E403, BibleInEveryLanguageTexts!A:A, 1, FALSE)), "N", "Y")</f>
        <v>N</v>
      </c>
      <c r="D403" t="str">
        <f t="shared" si="12"/>
        <v/>
      </c>
      <c r="E403" t="s">
        <v>4245</v>
      </c>
      <c r="F403" t="s">
        <v>4246</v>
      </c>
      <c r="G403" t="s">
        <v>48</v>
      </c>
      <c r="H403" t="s">
        <v>4247</v>
      </c>
      <c r="I403" t="s">
        <v>2661</v>
      </c>
      <c r="J403" t="str">
        <f>IF(0 = IFERROR(VLOOKUP(DBL_FullList!I403, ContactsDbl!B:D, 2, FALSE), ""), "", IFERROR(VLOOKUP(DBL_FullList!I403, ContactsDbl!B:D, 2, FALSE), ""))</f>
        <v>dbladmin_intl@sil.org</v>
      </c>
      <c r="K403" t="str">
        <f>IF(0 = IFERROR(VLOOKUP(DBL_FullList!I403,ContactsDbl!B:D, 3, FALSE), ""), "", IFERROR(VLOOKUP(DBL_FullList!I403, ContactsDbl!B:D, 3, FALSE), ""))</f>
        <v>http://www.wycliffe.org</v>
      </c>
      <c r="L403">
        <f t="shared" si="13"/>
        <v>2</v>
      </c>
    </row>
    <row r="404" spans="1:12" x14ac:dyDescent="0.25">
      <c r="A404" t="s">
        <v>4248</v>
      </c>
      <c r="B404" t="str">
        <f>IF(ISERROR(VLOOKUP(F404,STEP!A:A, 1, FALSE)), "N", "Y")</f>
        <v>N</v>
      </c>
      <c r="C404" t="str">
        <f>IF(ISERROR(VLOOKUP(E404, BibleInEveryLanguageTexts!A:A, 1, FALSE)), "N", "Y")</f>
        <v>N</v>
      </c>
      <c r="D404" t="str">
        <f t="shared" si="12"/>
        <v>X</v>
      </c>
      <c r="E404" t="s">
        <v>4249</v>
      </c>
      <c r="F404" t="s">
        <v>4250</v>
      </c>
      <c r="G404" t="s">
        <v>20</v>
      </c>
      <c r="H404" t="s">
        <v>4251</v>
      </c>
      <c r="I404" t="s">
        <v>2329</v>
      </c>
      <c r="J404" t="str">
        <f>IF(0 = IFERROR(VLOOKUP(DBL_FullList!I404, ContactsDbl!B:D, 2, FALSE), ""), "", IFERROR(VLOOKUP(DBL_FullList!I404, ContactsDbl!B:D, 2, FALSE), ""))</f>
        <v/>
      </c>
      <c r="K404" t="str">
        <f>IF(0 = IFERROR(VLOOKUP(DBL_FullList!I404,ContactsDbl!B:D, 3, FALSE), ""), "", IFERROR(VLOOKUP(DBL_FullList!I404, ContactsDbl!B:D, 3, FALSE), ""))</f>
        <v>http://www.bsind.org/</v>
      </c>
      <c r="L404">
        <f t="shared" si="13"/>
        <v>1</v>
      </c>
    </row>
    <row r="405" spans="1:12" x14ac:dyDescent="0.25">
      <c r="A405" t="s">
        <v>4252</v>
      </c>
      <c r="B405" t="str">
        <f>IF(ISERROR(VLOOKUP(F405,STEP!A:A, 1, FALSE)), "N", "Y")</f>
        <v>N</v>
      </c>
      <c r="C405" t="str">
        <f>IF(ISERROR(VLOOKUP(E405, BibleInEveryLanguageTexts!A:A, 1, FALSE)), "N", "Y")</f>
        <v>N</v>
      </c>
      <c r="D405" t="str">
        <f t="shared" si="12"/>
        <v>X</v>
      </c>
      <c r="E405" t="s">
        <v>334</v>
      </c>
      <c r="F405" t="s">
        <v>332</v>
      </c>
      <c r="G405" t="s">
        <v>4253</v>
      </c>
      <c r="H405" t="s">
        <v>4254</v>
      </c>
      <c r="I405" t="s">
        <v>1997</v>
      </c>
      <c r="J405" t="str">
        <f>IF(0 = IFERROR(VLOOKUP(DBL_FullList!I405, ContactsDbl!B:D, 2, FALSE), ""), "", IFERROR(VLOOKUP(DBL_FullList!I405, ContactsDbl!B:D, 2, FALSE), ""))</f>
        <v>Lee.Harris@biblica.com</v>
      </c>
      <c r="K405" t="str">
        <f>IF(0 = IFERROR(VLOOKUP(DBL_FullList!I405,ContactsDbl!B:D, 3, FALSE), ""), "", IFERROR(VLOOKUP(DBL_FullList!I405, ContactsDbl!B:D, 3, FALSE), ""))</f>
        <v>http://www.Biblica.com</v>
      </c>
      <c r="L405">
        <f t="shared" si="13"/>
        <v>2</v>
      </c>
    </row>
    <row r="406" spans="1:12" x14ac:dyDescent="0.25">
      <c r="A406" t="s">
        <v>4255</v>
      </c>
      <c r="B406" t="str">
        <f>IF(ISERROR(VLOOKUP(F406,STEP!A:A, 1, FALSE)), "N", "Y")</f>
        <v>N</v>
      </c>
      <c r="C406" t="str">
        <f>IF(ISERROR(VLOOKUP(E406, BibleInEveryLanguageTexts!A:A, 1, FALSE)), "N", "Y")</f>
        <v>N</v>
      </c>
      <c r="D406" t="str">
        <f t="shared" si="12"/>
        <v>X</v>
      </c>
      <c r="E406" t="s">
        <v>3612</v>
      </c>
      <c r="F406" t="s">
        <v>3613</v>
      </c>
      <c r="G406" t="s">
        <v>2885</v>
      </c>
      <c r="H406" t="s">
        <v>4256</v>
      </c>
      <c r="I406" t="s">
        <v>2182</v>
      </c>
      <c r="J406" t="str">
        <f>IF(0 = IFERROR(VLOOKUP(DBL_FullList!I406, ContactsDbl!B:D, 2, FALSE), ""), "", IFERROR(VLOOKUP(DBL_FullList!I406, ContactsDbl!B:D, 2, FALSE), ""))</f>
        <v/>
      </c>
      <c r="K406" t="str">
        <f>IF(0 = IFERROR(VLOOKUP(DBL_FullList!I406,ContactsDbl!B:D, 3, FALSE), ""), "", IFERROR(VLOOKUP(DBL_FullList!I406, ContactsDbl!B:D, 3, FALSE), ""))</f>
        <v>http://www.biblesociety-cd.org/</v>
      </c>
      <c r="L406">
        <f t="shared" si="13"/>
        <v>1</v>
      </c>
    </row>
    <row r="407" spans="1:12" x14ac:dyDescent="0.25">
      <c r="A407" t="s">
        <v>4257</v>
      </c>
      <c r="B407" t="str">
        <f>IF(ISERROR(VLOOKUP(F407,STEP!A:A, 1, FALSE)), "N", "Y")</f>
        <v>Y</v>
      </c>
      <c r="C407" t="str">
        <f>IF(ISERROR(VLOOKUP(E407, BibleInEveryLanguageTexts!A:A, 1, FALSE)), "N", "Y")</f>
        <v>N</v>
      </c>
      <c r="D407" t="str">
        <f t="shared" si="12"/>
        <v/>
      </c>
      <c r="E407" t="s">
        <v>4258</v>
      </c>
      <c r="F407" t="s">
        <v>4259</v>
      </c>
      <c r="G407" t="s">
        <v>27</v>
      </c>
      <c r="H407" t="s">
        <v>4260</v>
      </c>
      <c r="I407" t="s">
        <v>3104</v>
      </c>
      <c r="J407" t="str">
        <f>IF(0 = IFERROR(VLOOKUP(DBL_FullList!I407, ContactsDbl!B:D, 2, FALSE), ""), "", IFERROR(VLOOKUP(DBL_FullList!I407, ContactsDbl!B:D, 2, FALSE), ""))</f>
        <v/>
      </c>
      <c r="K407" t="str">
        <f>IF(0 = IFERROR(VLOOKUP(DBL_FullList!I407,ContactsDbl!B:D, 3, FALSE), ""), "", IFERROR(VLOOKUP(DBL_FullList!I407, ContactsDbl!B:D, 3, FALSE), ""))</f>
        <v/>
      </c>
      <c r="L407">
        <f t="shared" si="13"/>
        <v>0</v>
      </c>
    </row>
    <row r="408" spans="1:12" x14ac:dyDescent="0.25">
      <c r="A408" t="s">
        <v>4261</v>
      </c>
      <c r="B408" t="str">
        <f>IF(ISERROR(VLOOKUP(F408,STEP!A:A, 1, FALSE)), "N", "Y")</f>
        <v>N</v>
      </c>
      <c r="C408" t="str">
        <f>IF(ISERROR(VLOOKUP(E408, BibleInEveryLanguageTexts!A:A, 1, FALSE)), "N", "Y")</f>
        <v>N</v>
      </c>
      <c r="D408" t="str">
        <f t="shared" si="12"/>
        <v>X</v>
      </c>
      <c r="E408" t="s">
        <v>4227</v>
      </c>
      <c r="F408" t="s">
        <v>4228</v>
      </c>
      <c r="G408" t="s">
        <v>3418</v>
      </c>
      <c r="H408" t="s">
        <v>4262</v>
      </c>
      <c r="I408" t="s">
        <v>3104</v>
      </c>
      <c r="J408" t="str">
        <f>IF(0 = IFERROR(VLOOKUP(DBL_FullList!I408, ContactsDbl!B:D, 2, FALSE), ""), "", IFERROR(VLOOKUP(DBL_FullList!I408, ContactsDbl!B:D, 2, FALSE), ""))</f>
        <v/>
      </c>
      <c r="K408" t="str">
        <f>IF(0 = IFERROR(VLOOKUP(DBL_FullList!I408,ContactsDbl!B:D, 3, FALSE), ""), "", IFERROR(VLOOKUP(DBL_FullList!I408, ContactsDbl!B:D, 3, FALSE), ""))</f>
        <v/>
      </c>
      <c r="L408">
        <f t="shared" si="13"/>
        <v>0</v>
      </c>
    </row>
    <row r="409" spans="1:12" x14ac:dyDescent="0.25">
      <c r="A409" t="s">
        <v>4263</v>
      </c>
      <c r="B409" t="str">
        <f>IF(ISERROR(VLOOKUP(F409,STEP!A:A, 1, FALSE)), "N", "Y")</f>
        <v>N</v>
      </c>
      <c r="C409" t="str">
        <f>IF(ISERROR(VLOOKUP(E409, BibleInEveryLanguageTexts!A:A, 1, FALSE)), "N", "Y")</f>
        <v>N</v>
      </c>
      <c r="D409" t="str">
        <f t="shared" si="12"/>
        <v>X</v>
      </c>
      <c r="E409" t="s">
        <v>4264</v>
      </c>
      <c r="F409" t="s">
        <v>4265</v>
      </c>
      <c r="G409" t="s">
        <v>145</v>
      </c>
      <c r="H409" t="s">
        <v>4266</v>
      </c>
      <c r="I409" t="s">
        <v>2583</v>
      </c>
      <c r="J409" t="str">
        <f>IF(0 = IFERROR(VLOOKUP(DBL_FullList!I409, ContactsDbl!B:D, 2, FALSE), ""), "", IFERROR(VLOOKUP(DBL_FullList!I409, ContactsDbl!B:D, 2, FALSE), ""))</f>
        <v>office@biblia.sk</v>
      </c>
      <c r="K409" t="str">
        <f>IF(0 = IFERROR(VLOOKUP(DBL_FullList!I409,ContactsDbl!B:D, 3, FALSE), ""), "", IFERROR(VLOOKUP(DBL_FullList!I409, ContactsDbl!B:D, 3, FALSE), ""))</f>
        <v>https://biblickaspolocnost.sk/podpora</v>
      </c>
      <c r="L409">
        <f t="shared" si="13"/>
        <v>2</v>
      </c>
    </row>
    <row r="410" spans="1:12" x14ac:dyDescent="0.25">
      <c r="A410" t="s">
        <v>4267</v>
      </c>
      <c r="B410" t="str">
        <f>IF(ISERROR(VLOOKUP(F410,STEP!A:A, 1, FALSE)), "N", "Y")</f>
        <v>N</v>
      </c>
      <c r="C410" t="str">
        <f>IF(ISERROR(VLOOKUP(E410, BibleInEveryLanguageTexts!A:A, 1, FALSE)), "N", "Y")</f>
        <v>Y</v>
      </c>
      <c r="D410" t="str">
        <f t="shared" si="12"/>
        <v/>
      </c>
      <c r="E410" t="s">
        <v>1481</v>
      </c>
      <c r="F410" t="s">
        <v>4123</v>
      </c>
      <c r="G410" t="s">
        <v>2815</v>
      </c>
      <c r="H410" t="s">
        <v>4268</v>
      </c>
      <c r="I410" t="s">
        <v>2106</v>
      </c>
      <c r="J410" t="str">
        <f>IF(0 = IFERROR(VLOOKUP(DBL_FullList!I410, ContactsDbl!B:D, 2, FALSE), ""), "", IFERROR(VLOOKUP(DBL_FullList!I410, ContactsDbl!B:D, 2, FALSE), ""))</f>
        <v>info@biblesociety-tanzania.org</v>
      </c>
      <c r="K410" t="str">
        <f>IF(0 = IFERROR(VLOOKUP(DBL_FullList!I410,ContactsDbl!B:D, 3, FALSE), ""), "", IFERROR(VLOOKUP(DBL_FullList!I410, ContactsDbl!B:D, 3, FALSE), ""))</f>
        <v>http://biblesociety-tanzania.org/</v>
      </c>
      <c r="L410">
        <f t="shared" si="13"/>
        <v>2</v>
      </c>
    </row>
    <row r="411" spans="1:12" x14ac:dyDescent="0.25">
      <c r="A411" t="s">
        <v>4269</v>
      </c>
      <c r="B411" t="str">
        <f>IF(ISERROR(VLOOKUP(F411,STEP!A:A, 1, FALSE)), "N", "Y")</f>
        <v>N</v>
      </c>
      <c r="C411" t="str">
        <f>IF(ISERROR(VLOOKUP(E411, BibleInEveryLanguageTexts!A:A, 1, FALSE)), "N", "Y")</f>
        <v>N</v>
      </c>
      <c r="D411" t="str">
        <f t="shared" si="12"/>
        <v>X</v>
      </c>
      <c r="E411" t="s">
        <v>84</v>
      </c>
      <c r="F411" t="s">
        <v>82</v>
      </c>
      <c r="G411" t="s">
        <v>83</v>
      </c>
      <c r="H411" t="s">
        <v>4270</v>
      </c>
      <c r="I411" t="s">
        <v>2202</v>
      </c>
      <c r="J411" t="str">
        <f>IF(0 = IFERROR(VLOOKUP(DBL_FullList!I411, ContactsDbl!B:D, 2, FALSE), ""), "", IFERROR(VLOOKUP(DBL_FullList!I411, ContactsDbl!B:D, 2, FALSE), ""))</f>
        <v/>
      </c>
      <c r="K411" t="str">
        <f>IF(0 = IFERROR(VLOOKUP(DBL_FullList!I411,ContactsDbl!B:D, 3, FALSE), ""), "", IFERROR(VLOOKUP(DBL_FullList!I411, ContactsDbl!B:D, 3, FALSE), ""))</f>
        <v>www.feib.pl</v>
      </c>
      <c r="L411">
        <f t="shared" si="13"/>
        <v>1</v>
      </c>
    </row>
    <row r="412" spans="1:12" x14ac:dyDescent="0.25">
      <c r="A412" t="s">
        <v>4271</v>
      </c>
      <c r="B412" t="str">
        <f>IF(ISERROR(VLOOKUP(F412,STEP!A:A, 1, FALSE)), "N", "Y")</f>
        <v>N</v>
      </c>
      <c r="C412" t="str">
        <f>IF(ISERROR(VLOOKUP(E412, BibleInEveryLanguageTexts!A:A, 1, FALSE)), "N", "Y")</f>
        <v>N</v>
      </c>
      <c r="D412" t="str">
        <f t="shared" si="12"/>
        <v>X</v>
      </c>
      <c r="E412" t="s">
        <v>4272</v>
      </c>
      <c r="F412" t="s">
        <v>4273</v>
      </c>
      <c r="G412" t="s">
        <v>268</v>
      </c>
      <c r="H412" t="s">
        <v>4274</v>
      </c>
      <c r="I412" t="s">
        <v>2131</v>
      </c>
      <c r="J412" t="str">
        <f>IF(0 = IFERROR(VLOOKUP(DBL_FullList!I412, ContactsDbl!B:D, 2, FALSE), ""), "", IFERROR(VLOOKUP(DBL_FullList!I412, ContactsDbl!B:D, 2, FALSE), ""))</f>
        <v>dbl@biblesociety.ca</v>
      </c>
      <c r="K412" t="str">
        <f>IF(0 = IFERROR(VLOOKUP(DBL_FullList!I412,ContactsDbl!B:D, 3, FALSE), ""), "", IFERROR(VLOOKUP(DBL_FullList!I412, ContactsDbl!B:D, 3, FALSE), ""))</f>
        <v>http://www.biblesociety.ca</v>
      </c>
      <c r="L412">
        <f t="shared" si="13"/>
        <v>2</v>
      </c>
    </row>
    <row r="413" spans="1:12" x14ac:dyDescent="0.25">
      <c r="A413" s="1" t="s">
        <v>4275</v>
      </c>
      <c r="B413" t="str">
        <f>IF(ISERROR(VLOOKUP(F413,STEP!A:A, 1, FALSE)), "N", "Y")</f>
        <v>Y</v>
      </c>
      <c r="C413" t="str">
        <f>IF(ISERROR(VLOOKUP(E413, BibleInEveryLanguageTexts!A:A, 1, FALSE)), "N", "Y")</f>
        <v>N</v>
      </c>
      <c r="D413" t="str">
        <f t="shared" si="12"/>
        <v/>
      </c>
      <c r="E413" t="s">
        <v>4276</v>
      </c>
      <c r="F413" t="s">
        <v>4277</v>
      </c>
      <c r="G413" t="s">
        <v>2793</v>
      </c>
      <c r="H413" t="s">
        <v>4278</v>
      </c>
      <c r="I413" t="s">
        <v>2661</v>
      </c>
      <c r="J413" t="str">
        <f>IF(0 = IFERROR(VLOOKUP(DBL_FullList!I413, ContactsDbl!B:D, 2, FALSE), ""), "", IFERROR(VLOOKUP(DBL_FullList!I413, ContactsDbl!B:D, 2, FALSE), ""))</f>
        <v>dbladmin_intl@sil.org</v>
      </c>
      <c r="K413" t="str">
        <f>IF(0 = IFERROR(VLOOKUP(DBL_FullList!I413,ContactsDbl!B:D, 3, FALSE), ""), "", IFERROR(VLOOKUP(DBL_FullList!I413, ContactsDbl!B:D, 3, FALSE), ""))</f>
        <v>http://www.wycliffe.org</v>
      </c>
      <c r="L413">
        <f t="shared" si="13"/>
        <v>2</v>
      </c>
    </row>
    <row r="414" spans="1:12" x14ac:dyDescent="0.25">
      <c r="A414" t="s">
        <v>4279</v>
      </c>
      <c r="B414" t="str">
        <f>IF(ISERROR(VLOOKUP(F414,STEP!A:A, 1, FALSE)), "N", "Y")</f>
        <v>N</v>
      </c>
      <c r="C414" t="str">
        <f>IF(ISERROR(VLOOKUP(E414, BibleInEveryLanguageTexts!A:A, 1, FALSE)), "N", "Y")</f>
        <v>N</v>
      </c>
      <c r="D414" t="str">
        <f t="shared" si="12"/>
        <v>X</v>
      </c>
      <c r="E414" t="s">
        <v>4280</v>
      </c>
      <c r="F414" t="s">
        <v>4281</v>
      </c>
      <c r="G414" t="s">
        <v>2756</v>
      </c>
      <c r="H414" t="s">
        <v>4282</v>
      </c>
      <c r="I414" t="s">
        <v>2126</v>
      </c>
      <c r="J414" t="str">
        <f>IF(0 = IFERROR(VLOOKUP(DBL_FullList!I414, ContactsDbl!B:D, 2, FALSE), ""), "", IFERROR(VLOOKUP(DBL_FullList!I414, ContactsDbl!B:D, 2, FALSE), ""))</f>
        <v>gluke@biblesocieties.org</v>
      </c>
      <c r="K414" t="str">
        <f>IF(0 = IFERROR(VLOOKUP(DBL_FullList!I414,ContactsDbl!B:D, 3, FALSE), ""), "", IFERROR(VLOOKUP(DBL_FullList!I414, ContactsDbl!B:D, 3, FALSE), ""))</f>
        <v>http://www.biblesociety-cameroon.org/</v>
      </c>
      <c r="L414">
        <f t="shared" si="13"/>
        <v>2</v>
      </c>
    </row>
    <row r="415" spans="1:12" x14ac:dyDescent="0.25">
      <c r="A415" t="s">
        <v>4283</v>
      </c>
      <c r="B415" t="str">
        <f>IF(ISERROR(VLOOKUP(F415,STEP!A:A, 1, FALSE)), "N", "Y")</f>
        <v>N</v>
      </c>
      <c r="C415" t="str">
        <f>IF(ISERROR(VLOOKUP(E415, BibleInEveryLanguageTexts!A:A, 1, FALSE)), "N", "Y")</f>
        <v>N</v>
      </c>
      <c r="D415" t="str">
        <f t="shared" si="12"/>
        <v>X</v>
      </c>
      <c r="E415" t="s">
        <v>4284</v>
      </c>
      <c r="F415" t="s">
        <v>4285</v>
      </c>
      <c r="G415" t="s">
        <v>268</v>
      </c>
      <c r="H415" t="s">
        <v>4286</v>
      </c>
      <c r="I415" t="s">
        <v>2131</v>
      </c>
      <c r="J415" t="str">
        <f>IF(0 = IFERROR(VLOOKUP(DBL_FullList!I415, ContactsDbl!B:D, 2, FALSE), ""), "", IFERROR(VLOOKUP(DBL_FullList!I415, ContactsDbl!B:D, 2, FALSE), ""))</f>
        <v>dbl@biblesociety.ca</v>
      </c>
      <c r="K415" t="str">
        <f>IF(0 = IFERROR(VLOOKUP(DBL_FullList!I415,ContactsDbl!B:D, 3, FALSE), ""), "", IFERROR(VLOOKUP(DBL_FullList!I415, ContactsDbl!B:D, 3, FALSE), ""))</f>
        <v>http://www.biblesociety.ca</v>
      </c>
      <c r="L415">
        <f t="shared" si="13"/>
        <v>2</v>
      </c>
    </row>
    <row r="416" spans="1:12" x14ac:dyDescent="0.25">
      <c r="A416" t="s">
        <v>4287</v>
      </c>
      <c r="B416" t="str">
        <f>IF(ISERROR(VLOOKUP(F416,STEP!A:A, 1, FALSE)), "N", "Y")</f>
        <v>N</v>
      </c>
      <c r="C416" t="str">
        <f>IF(ISERROR(VLOOKUP(E416, BibleInEveryLanguageTexts!A:A, 1, FALSE)), "N", "Y")</f>
        <v>N</v>
      </c>
      <c r="D416" t="str">
        <f t="shared" si="12"/>
        <v>X</v>
      </c>
      <c r="E416" t="s">
        <v>4288</v>
      </c>
      <c r="F416" t="s">
        <v>4289</v>
      </c>
      <c r="G416" t="s">
        <v>268</v>
      </c>
      <c r="H416" t="s">
        <v>4290</v>
      </c>
      <c r="I416" t="s">
        <v>2131</v>
      </c>
      <c r="J416" t="str">
        <f>IF(0 = IFERROR(VLOOKUP(DBL_FullList!I416, ContactsDbl!B:D, 2, FALSE), ""), "", IFERROR(VLOOKUP(DBL_FullList!I416, ContactsDbl!B:D, 2, FALSE), ""))</f>
        <v>dbl@biblesociety.ca</v>
      </c>
      <c r="K416" t="str">
        <f>IF(0 = IFERROR(VLOOKUP(DBL_FullList!I416,ContactsDbl!B:D, 3, FALSE), ""), "", IFERROR(VLOOKUP(DBL_FullList!I416, ContactsDbl!B:D, 3, FALSE), ""))</f>
        <v>http://www.biblesociety.ca</v>
      </c>
      <c r="L416">
        <f t="shared" si="13"/>
        <v>2</v>
      </c>
    </row>
    <row r="417" spans="1:12" x14ac:dyDescent="0.25">
      <c r="A417" t="s">
        <v>4291</v>
      </c>
      <c r="B417" t="str">
        <f>IF(ISERROR(VLOOKUP(F417,STEP!A:A, 1, FALSE)), "N", "Y")</f>
        <v>N</v>
      </c>
      <c r="C417" t="str">
        <f>IF(ISERROR(VLOOKUP(E417, BibleInEveryLanguageTexts!A:A, 1, FALSE)), "N", "Y")</f>
        <v>N</v>
      </c>
      <c r="D417" t="str">
        <f t="shared" si="12"/>
        <v>X</v>
      </c>
      <c r="E417" t="s">
        <v>4292</v>
      </c>
      <c r="F417" t="s">
        <v>4293</v>
      </c>
      <c r="G417" t="s">
        <v>268</v>
      </c>
      <c r="H417" t="s">
        <v>4294</v>
      </c>
      <c r="I417" t="s">
        <v>2131</v>
      </c>
      <c r="J417" t="str">
        <f>IF(0 = IFERROR(VLOOKUP(DBL_FullList!I417, ContactsDbl!B:D, 2, FALSE), ""), "", IFERROR(VLOOKUP(DBL_FullList!I417, ContactsDbl!B:D, 2, FALSE), ""))</f>
        <v>dbl@biblesociety.ca</v>
      </c>
      <c r="K417" t="str">
        <f>IF(0 = IFERROR(VLOOKUP(DBL_FullList!I417,ContactsDbl!B:D, 3, FALSE), ""), "", IFERROR(VLOOKUP(DBL_FullList!I417, ContactsDbl!B:D, 3, FALSE), ""))</f>
        <v>http://www.biblesociety.ca</v>
      </c>
      <c r="L417">
        <f t="shared" si="13"/>
        <v>2</v>
      </c>
    </row>
    <row r="418" spans="1:12" x14ac:dyDescent="0.25">
      <c r="A418" t="s">
        <v>4295</v>
      </c>
      <c r="B418" t="str">
        <f>IF(ISERROR(VLOOKUP(F418,STEP!A:A, 1, FALSE)), "N", "Y")</f>
        <v>N</v>
      </c>
      <c r="C418" t="str">
        <f>IF(ISERROR(VLOOKUP(E418, BibleInEveryLanguageTexts!A:A, 1, FALSE)), "N", "Y")</f>
        <v>N</v>
      </c>
      <c r="D418" t="str">
        <f t="shared" si="12"/>
        <v>X</v>
      </c>
      <c r="E418" t="s">
        <v>4296</v>
      </c>
      <c r="F418" t="s">
        <v>4297</v>
      </c>
      <c r="G418" t="s">
        <v>268</v>
      </c>
      <c r="H418" t="s">
        <v>4298</v>
      </c>
      <c r="I418" t="s">
        <v>2131</v>
      </c>
      <c r="J418" t="str">
        <f>IF(0 = IFERROR(VLOOKUP(DBL_FullList!I418, ContactsDbl!B:D, 2, FALSE), ""), "", IFERROR(VLOOKUP(DBL_FullList!I418, ContactsDbl!B:D, 2, FALSE), ""))</f>
        <v>dbl@biblesociety.ca</v>
      </c>
      <c r="K418" t="str">
        <f>IF(0 = IFERROR(VLOOKUP(DBL_FullList!I418,ContactsDbl!B:D, 3, FALSE), ""), "", IFERROR(VLOOKUP(DBL_FullList!I418, ContactsDbl!B:D, 3, FALSE), ""))</f>
        <v>http://www.biblesociety.ca</v>
      </c>
      <c r="L418">
        <f t="shared" si="13"/>
        <v>2</v>
      </c>
    </row>
    <row r="419" spans="1:12" x14ac:dyDescent="0.25">
      <c r="A419" t="s">
        <v>4299</v>
      </c>
      <c r="B419" t="str">
        <f>IF(ISERROR(VLOOKUP(F419,STEP!A:A, 1, FALSE)), "N", "Y")</f>
        <v>N</v>
      </c>
      <c r="C419" t="str">
        <f>IF(ISERROR(VLOOKUP(E419, BibleInEveryLanguageTexts!A:A, 1, FALSE)), "N", "Y")</f>
        <v>N</v>
      </c>
      <c r="D419" t="str">
        <f t="shared" si="12"/>
        <v>X</v>
      </c>
      <c r="E419" t="s">
        <v>4300</v>
      </c>
      <c r="F419" t="s">
        <v>4301</v>
      </c>
      <c r="G419" t="s">
        <v>2984</v>
      </c>
      <c r="H419" t="s">
        <v>4302</v>
      </c>
      <c r="I419" t="s">
        <v>2456</v>
      </c>
      <c r="J419" t="str">
        <f>IF(0 = IFERROR(VLOOKUP(DBL_FullList!I419, ContactsDbl!B:D, 2, FALSE), ""), "", IFERROR(VLOOKUP(DBL_FullList!I419, ContactsDbl!B:D, 2, FALSE), ""))</f>
        <v/>
      </c>
      <c r="K419" t="str">
        <f>IF(0 = IFERROR(VLOOKUP(DBL_FullList!I419,ContactsDbl!B:D, 3, FALSE), ""), "", IFERROR(VLOOKUP(DBL_FullList!I419, ContactsDbl!B:D, 3, FALSE), ""))</f>
        <v>http://www.myanmarbible.com/</v>
      </c>
      <c r="L419">
        <f t="shared" si="13"/>
        <v>1</v>
      </c>
    </row>
    <row r="420" spans="1:12" x14ac:dyDescent="0.25">
      <c r="A420" t="s">
        <v>4303</v>
      </c>
      <c r="B420" t="str">
        <f>IF(ISERROR(VLOOKUP(F420,STEP!A:A, 1, FALSE)), "N", "Y")</f>
        <v>N</v>
      </c>
      <c r="C420" t="str">
        <f>IF(ISERROR(VLOOKUP(E420, BibleInEveryLanguageTexts!A:A, 1, FALSE)), "N", "Y")</f>
        <v>N</v>
      </c>
      <c r="D420" t="str">
        <f t="shared" si="12"/>
        <v>X</v>
      </c>
      <c r="E420" t="s">
        <v>1439</v>
      </c>
      <c r="F420" t="s">
        <v>4304</v>
      </c>
      <c r="G420" t="s">
        <v>4305</v>
      </c>
      <c r="H420" t="s">
        <v>4306</v>
      </c>
      <c r="I420" t="s">
        <v>3104</v>
      </c>
      <c r="J420" t="str">
        <f>IF(0 = IFERROR(VLOOKUP(DBL_FullList!I420, ContactsDbl!B:D, 2, FALSE), ""), "", IFERROR(VLOOKUP(DBL_FullList!I420, ContactsDbl!B:D, 2, FALSE), ""))</f>
        <v/>
      </c>
      <c r="K420" t="str">
        <f>IF(0 = IFERROR(VLOOKUP(DBL_FullList!I420,ContactsDbl!B:D, 3, FALSE), ""), "", IFERROR(VLOOKUP(DBL_FullList!I420, ContactsDbl!B:D, 3, FALSE), ""))</f>
        <v/>
      </c>
      <c r="L420">
        <f t="shared" si="13"/>
        <v>0</v>
      </c>
    </row>
    <row r="421" spans="1:12" x14ac:dyDescent="0.25">
      <c r="A421" t="s">
        <v>4307</v>
      </c>
      <c r="B421" t="str">
        <f>IF(ISERROR(VLOOKUP(F421,STEP!A:A, 1, FALSE)), "N", "Y")</f>
        <v>N</v>
      </c>
      <c r="C421" t="str">
        <f>IF(ISERROR(VLOOKUP(E421, BibleInEveryLanguageTexts!A:A, 1, FALSE)), "N", "Y")</f>
        <v>N</v>
      </c>
      <c r="D421" t="str">
        <f t="shared" si="12"/>
        <v>X</v>
      </c>
      <c r="E421" t="s">
        <v>4308</v>
      </c>
      <c r="F421" t="s">
        <v>4309</v>
      </c>
      <c r="G421" t="s">
        <v>383</v>
      </c>
      <c r="H421" t="s">
        <v>4310</v>
      </c>
      <c r="I421" t="s">
        <v>2594</v>
      </c>
      <c r="J421" t="str">
        <f>IF(0 = IFERROR(VLOOKUP(DBL_FullList!I421, ContactsDbl!B:D, 2, FALSE), ""), "", IFERROR(VLOOKUP(DBL_FullList!I421, ContactsDbl!B:D, 2, FALSE), ""))</f>
        <v>ekajivora@hotmail.com</v>
      </c>
      <c r="K421" t="str">
        <f>IF(0 = IFERROR(VLOOKUP(DBL_FullList!I421,ContactsDbl!B:D, 3, FALSE), ""), "", IFERROR(VLOOKUP(DBL_FullList!I421, ContactsDbl!B:D, 3, FALSE), ""))</f>
        <v/>
      </c>
      <c r="L421">
        <f t="shared" si="13"/>
        <v>2</v>
      </c>
    </row>
    <row r="422" spans="1:12" x14ac:dyDescent="0.25">
      <c r="A422" t="s">
        <v>4311</v>
      </c>
      <c r="B422" t="str">
        <f>IF(ISERROR(VLOOKUP(F422,STEP!A:A, 1, FALSE)), "N", "Y")</f>
        <v>Y</v>
      </c>
      <c r="C422" t="str">
        <f>IF(ISERROR(VLOOKUP(E422, BibleInEveryLanguageTexts!A:A, 1, FALSE)), "N", "Y")</f>
        <v>N</v>
      </c>
      <c r="D422" t="str">
        <f t="shared" si="12"/>
        <v/>
      </c>
      <c r="E422" t="s">
        <v>4312</v>
      </c>
      <c r="F422" t="s">
        <v>4313</v>
      </c>
      <c r="G422" t="s">
        <v>48</v>
      </c>
      <c r="H422" t="s">
        <v>4314</v>
      </c>
      <c r="I422" t="s">
        <v>2661</v>
      </c>
      <c r="J422" t="str">
        <f>IF(0 = IFERROR(VLOOKUP(DBL_FullList!I422, ContactsDbl!B:D, 2, FALSE), ""), "", IFERROR(VLOOKUP(DBL_FullList!I422, ContactsDbl!B:D, 2, FALSE), ""))</f>
        <v>dbladmin_intl@sil.org</v>
      </c>
      <c r="K422" t="str">
        <f>IF(0 = IFERROR(VLOOKUP(DBL_FullList!I422,ContactsDbl!B:D, 3, FALSE), ""), "", IFERROR(VLOOKUP(DBL_FullList!I422, ContactsDbl!B:D, 3, FALSE), ""))</f>
        <v>http://www.wycliffe.org</v>
      </c>
      <c r="L422">
        <f t="shared" si="13"/>
        <v>2</v>
      </c>
    </row>
    <row r="423" spans="1:12" x14ac:dyDescent="0.25">
      <c r="A423" t="s">
        <v>4315</v>
      </c>
      <c r="B423" t="str">
        <f>IF(ISERROR(VLOOKUP(F423,STEP!A:A, 1, FALSE)), "N", "Y")</f>
        <v>N</v>
      </c>
      <c r="C423" t="str">
        <f>IF(ISERROR(VLOOKUP(E423, BibleInEveryLanguageTexts!A:A, 1, FALSE)), "N", "Y")</f>
        <v>N</v>
      </c>
      <c r="D423" t="str">
        <f t="shared" si="12"/>
        <v>X</v>
      </c>
      <c r="E423" t="s">
        <v>4316</v>
      </c>
      <c r="F423" t="s">
        <v>4317</v>
      </c>
      <c r="G423" t="s">
        <v>4318</v>
      </c>
      <c r="H423" t="s">
        <v>4319</v>
      </c>
      <c r="I423" t="s">
        <v>2102</v>
      </c>
      <c r="J423" t="str">
        <f>IF(0 = IFERROR(VLOOKUP(DBL_FullList!I423, ContactsDbl!B:D, 2, FALSE), ""), "", IFERROR(VLOOKUP(DBL_FullList!I423, ContactsDbl!B:D, 2, FALSE), ""))</f>
        <v>mkatonivere@bible.org.fj</v>
      </c>
      <c r="K423" t="str">
        <f>IF(0 = IFERROR(VLOOKUP(DBL_FullList!I423,ContactsDbl!B:D, 3, FALSE), ""), "", IFERROR(VLOOKUP(DBL_FullList!I423, ContactsDbl!B:D, 3, FALSE), ""))</f>
        <v>http://www.bible.org.fj/</v>
      </c>
      <c r="L423">
        <f t="shared" si="13"/>
        <v>2</v>
      </c>
    </row>
    <row r="424" spans="1:12" x14ac:dyDescent="0.25">
      <c r="A424" t="s">
        <v>4320</v>
      </c>
      <c r="B424" t="str">
        <f>IF(ISERROR(VLOOKUP(F424,STEP!A:A, 1, FALSE)), "N", "Y")</f>
        <v>N</v>
      </c>
      <c r="C424" t="str">
        <f>IF(ISERROR(VLOOKUP(E424, BibleInEveryLanguageTexts!A:A, 1, FALSE)), "N", "Y")</f>
        <v>N</v>
      </c>
      <c r="D424" t="str">
        <f t="shared" si="12"/>
        <v>X</v>
      </c>
      <c r="E424" t="s">
        <v>4321</v>
      </c>
      <c r="F424" t="s">
        <v>4322</v>
      </c>
      <c r="G424" t="s">
        <v>4323</v>
      </c>
      <c r="H424" t="s">
        <v>4324</v>
      </c>
      <c r="I424" t="s">
        <v>2013</v>
      </c>
      <c r="J424" t="str">
        <f>IF(0 = IFERROR(VLOOKUP(DBL_FullList!I424, ContactsDbl!B:D, 2, FALSE), ""), "", IFERROR(VLOOKUP(DBL_FullList!I424, ContactsDbl!B:D, 2, FALSE), ""))</f>
        <v>fcossio@biblesocieties.org</v>
      </c>
      <c r="K424" t="str">
        <f>IF(0 = IFERROR(VLOOKUP(DBL_FullList!I424,ContactsDbl!B:D, 3, FALSE), ""), "", IFERROR(VLOOKUP(DBL_FullList!I424, ContactsDbl!B:D, 3, FALSE), ""))</f>
        <v>http://sociedadbiblicaboliviana.org</v>
      </c>
      <c r="L424">
        <f t="shared" si="13"/>
        <v>2</v>
      </c>
    </row>
    <row r="425" spans="1:12" x14ac:dyDescent="0.25">
      <c r="A425" t="s">
        <v>4325</v>
      </c>
      <c r="B425" t="str">
        <f>IF(ISERROR(VLOOKUP(F425,STEP!A:A, 1, FALSE)), "N", "Y")</f>
        <v>Y</v>
      </c>
      <c r="C425" t="str">
        <f>IF(ISERROR(VLOOKUP(E425, BibleInEveryLanguageTexts!A:A, 1, FALSE)), "N", "Y")</f>
        <v>N</v>
      </c>
      <c r="D425" t="str">
        <f t="shared" si="12"/>
        <v/>
      </c>
      <c r="E425" t="s">
        <v>4258</v>
      </c>
      <c r="F425" t="s">
        <v>4259</v>
      </c>
      <c r="G425" t="s">
        <v>27</v>
      </c>
      <c r="H425" t="s">
        <v>4326</v>
      </c>
      <c r="I425" t="s">
        <v>2252</v>
      </c>
      <c r="J425" t="str">
        <f>IF(0 = IFERROR(VLOOKUP(DBL_FullList!I425, ContactsDbl!B:D, 2, FALSE), ""), "", IFERROR(VLOOKUP(DBL_FullList!I425, ContactsDbl!B:D, 2, FALSE), ""))</f>
        <v>golygydd@beibl.net</v>
      </c>
      <c r="K425" t="str">
        <f>IF(0 = IFERROR(VLOOKUP(DBL_FullList!I425,ContactsDbl!B:D, 3, FALSE), ""), "", IFERROR(VLOOKUP(DBL_FullList!I425, ContactsDbl!B:D, 3, FALSE), ""))</f>
        <v>www.gobaith.org</v>
      </c>
      <c r="L425">
        <f t="shared" si="13"/>
        <v>2</v>
      </c>
    </row>
    <row r="426" spans="1:12" x14ac:dyDescent="0.25">
      <c r="A426" t="s">
        <v>4327</v>
      </c>
      <c r="B426" t="str">
        <f>IF(ISERROR(VLOOKUP(F426,STEP!A:A, 1, FALSE)), "N", "Y")</f>
        <v>N</v>
      </c>
      <c r="C426" t="str">
        <f>IF(ISERROR(VLOOKUP(E426, BibleInEveryLanguageTexts!A:A, 1, FALSE)), "N", "Y")</f>
        <v>Y</v>
      </c>
      <c r="D426" t="str">
        <f t="shared" si="12"/>
        <v/>
      </c>
      <c r="E426" t="s">
        <v>111</v>
      </c>
      <c r="F426" t="s">
        <v>109</v>
      </c>
      <c r="G426" t="s">
        <v>110</v>
      </c>
      <c r="H426" t="s">
        <v>4328</v>
      </c>
      <c r="I426" t="s">
        <v>2370</v>
      </c>
      <c r="J426" t="str">
        <f>IF(0 = IFERROR(VLOOKUP(DBL_FullList!I426, ContactsDbl!B:D, 2, FALSE), ""), "", IFERROR(VLOOKUP(DBL_FullList!I426, ContactsDbl!B:D, 2, FALSE), ""))</f>
        <v>anwartjen@alkitab.or.id</v>
      </c>
      <c r="K426" t="str">
        <f>IF(0 = IFERROR(VLOOKUP(DBL_FullList!I426,ContactsDbl!B:D, 3, FALSE), ""), "", IFERROR(VLOOKUP(DBL_FullList!I426, ContactsDbl!B:D, 3, FALSE), ""))</f>
        <v>http://www.alkitab.or.id/</v>
      </c>
      <c r="L426">
        <f t="shared" si="13"/>
        <v>2</v>
      </c>
    </row>
    <row r="427" spans="1:12" x14ac:dyDescent="0.25">
      <c r="A427" t="s">
        <v>4329</v>
      </c>
      <c r="B427" t="str">
        <f>IF(ISERROR(VLOOKUP(F427,STEP!A:A, 1, FALSE)), "N", "Y")</f>
        <v>N</v>
      </c>
      <c r="C427" t="str">
        <f>IF(ISERROR(VLOOKUP(E427, BibleInEveryLanguageTexts!A:A, 1, FALSE)), "N", "Y")</f>
        <v>N</v>
      </c>
      <c r="D427" t="str">
        <f t="shared" si="12"/>
        <v>X</v>
      </c>
      <c r="E427" t="s">
        <v>4330</v>
      </c>
      <c r="F427" t="s">
        <v>4331</v>
      </c>
      <c r="G427" t="s">
        <v>2903</v>
      </c>
      <c r="H427" t="s">
        <v>4332</v>
      </c>
      <c r="I427" t="s">
        <v>2576</v>
      </c>
      <c r="J427" t="str">
        <f>IF(0 = IFERROR(VLOOKUP(DBL_FullList!I427, ContactsDbl!B:D, 2, FALSE), ""), "", IFERROR(VLOOKUP(DBL_FullList!I427, ContactsDbl!B:D, 2, FALSE), ""))</f>
        <v>pierre.barassounon@sim.org</v>
      </c>
      <c r="K427" t="str">
        <f>IF(0 = IFERROR(VLOOKUP(DBL_FullList!I427,ContactsDbl!B:D, 3, FALSE), ""), "", IFERROR(VLOOKUP(DBL_FullList!I427, ContactsDbl!B:D, 3, FALSE), ""))</f>
        <v>www.sim.org</v>
      </c>
      <c r="L427">
        <f t="shared" si="13"/>
        <v>2</v>
      </c>
    </row>
    <row r="428" spans="1:12" x14ac:dyDescent="0.25">
      <c r="A428" t="s">
        <v>4333</v>
      </c>
      <c r="B428" t="str">
        <f>IF(ISERROR(VLOOKUP(F428,STEP!A:A, 1, FALSE)), "N", "Y")</f>
        <v>N</v>
      </c>
      <c r="C428" t="str">
        <f>IF(ISERROR(VLOOKUP(E428, BibleInEveryLanguageTexts!A:A, 1, FALSE)), "N", "Y")</f>
        <v>N</v>
      </c>
      <c r="D428" t="str">
        <f t="shared" si="12"/>
        <v>X</v>
      </c>
      <c r="E428" t="s">
        <v>4334</v>
      </c>
      <c r="F428" t="s">
        <v>4335</v>
      </c>
      <c r="G428" t="s">
        <v>2743</v>
      </c>
      <c r="H428" t="s">
        <v>4336</v>
      </c>
      <c r="I428" t="s">
        <v>2576</v>
      </c>
      <c r="J428" t="str">
        <f>IF(0 = IFERROR(VLOOKUP(DBL_FullList!I428, ContactsDbl!B:D, 2, FALSE), ""), "", IFERROR(VLOOKUP(DBL_FullList!I428, ContactsDbl!B:D, 2, FALSE), ""))</f>
        <v>pierre.barassounon@sim.org</v>
      </c>
      <c r="K428" t="str">
        <f>IF(0 = IFERROR(VLOOKUP(DBL_FullList!I428,ContactsDbl!B:D, 3, FALSE), ""), "", IFERROR(VLOOKUP(DBL_FullList!I428, ContactsDbl!B:D, 3, FALSE), ""))</f>
        <v>www.sim.org</v>
      </c>
      <c r="L428">
        <f t="shared" si="13"/>
        <v>2</v>
      </c>
    </row>
    <row r="429" spans="1:12" x14ac:dyDescent="0.25">
      <c r="A429" t="s">
        <v>4337</v>
      </c>
      <c r="B429" t="str">
        <f>IF(ISERROR(VLOOKUP(F429,STEP!A:A, 1, FALSE)), "N", "Y")</f>
        <v>N</v>
      </c>
      <c r="C429" t="str">
        <f>IF(ISERROR(VLOOKUP(E429, BibleInEveryLanguageTexts!A:A, 1, FALSE)), "N", "Y")</f>
        <v>Y</v>
      </c>
      <c r="D429" t="str">
        <f t="shared" si="12"/>
        <v/>
      </c>
      <c r="E429" t="s">
        <v>12</v>
      </c>
      <c r="F429" t="s">
        <v>10</v>
      </c>
      <c r="G429" t="s">
        <v>11</v>
      </c>
      <c r="H429" t="s">
        <v>4338</v>
      </c>
      <c r="I429" t="s">
        <v>1997</v>
      </c>
      <c r="J429" t="str">
        <f>IF(0 = IFERROR(VLOOKUP(DBL_FullList!I429, ContactsDbl!B:D, 2, FALSE), ""), "", IFERROR(VLOOKUP(DBL_FullList!I429, ContactsDbl!B:D, 2, FALSE), ""))</f>
        <v>Lee.Harris@biblica.com</v>
      </c>
      <c r="K429" t="str">
        <f>IF(0 = IFERROR(VLOOKUP(DBL_FullList!I429,ContactsDbl!B:D, 3, FALSE), ""), "", IFERROR(VLOOKUP(DBL_FullList!I429, ContactsDbl!B:D, 3, FALSE), ""))</f>
        <v>http://www.Biblica.com</v>
      </c>
      <c r="L429">
        <f t="shared" si="13"/>
        <v>2</v>
      </c>
    </row>
    <row r="430" spans="1:12" x14ac:dyDescent="0.25">
      <c r="A430" t="s">
        <v>4339</v>
      </c>
      <c r="B430" t="str">
        <f>IF(ISERROR(VLOOKUP(F430,STEP!A:A, 1, FALSE)), "N", "Y")</f>
        <v>N</v>
      </c>
      <c r="C430" t="str">
        <f>IF(ISERROR(VLOOKUP(E430, BibleInEveryLanguageTexts!A:A, 1, FALSE)), "N", "Y")</f>
        <v>N</v>
      </c>
      <c r="D430" t="str">
        <f t="shared" si="12"/>
        <v>X</v>
      </c>
      <c r="E430" t="s">
        <v>4340</v>
      </c>
      <c r="F430" t="s">
        <v>4341</v>
      </c>
      <c r="G430" t="s">
        <v>3663</v>
      </c>
      <c r="H430" t="s">
        <v>4342</v>
      </c>
      <c r="I430" t="s">
        <v>2122</v>
      </c>
      <c r="J430" t="str">
        <f>IF(0 = IFERROR(VLOOKUP(DBL_FullList!I430, ContactsDbl!B:D, 2, FALSE), ""), "", IFERROR(VLOOKUP(DBL_FullList!I430, ContactsDbl!B:D, 2, FALSE), ""))</f>
        <v>apostolov@biblesociety.bg</v>
      </c>
      <c r="K430" t="str">
        <f>IF(0 = IFERROR(VLOOKUP(DBL_FullList!I430,ContactsDbl!B:D, 3, FALSE), ""), "", IFERROR(VLOOKUP(DBL_FullList!I430, ContactsDbl!B:D, 3, FALSE), ""))</f>
        <v>www.biblesocety.bg</v>
      </c>
      <c r="L430">
        <f t="shared" si="13"/>
        <v>2</v>
      </c>
    </row>
    <row r="431" spans="1:12" x14ac:dyDescent="0.25">
      <c r="A431" t="s">
        <v>4343</v>
      </c>
      <c r="B431" t="str">
        <f>IF(ISERROR(VLOOKUP(F431,STEP!A:A, 1, FALSE)), "N", "Y")</f>
        <v>N</v>
      </c>
      <c r="C431" t="str">
        <f>IF(ISERROR(VLOOKUP(E431, BibleInEveryLanguageTexts!A:A, 1, FALSE)), "N", "Y")</f>
        <v>N</v>
      </c>
      <c r="D431" t="str">
        <f t="shared" si="12"/>
        <v>X</v>
      </c>
      <c r="E431" t="s">
        <v>4344</v>
      </c>
      <c r="F431" t="s">
        <v>4345</v>
      </c>
      <c r="G431" t="s">
        <v>3816</v>
      </c>
      <c r="H431" t="s">
        <v>4346</v>
      </c>
      <c r="I431" t="s">
        <v>2576</v>
      </c>
      <c r="J431" t="str">
        <f>IF(0 = IFERROR(VLOOKUP(DBL_FullList!I431, ContactsDbl!B:D, 2, FALSE), ""), "", IFERROR(VLOOKUP(DBL_FullList!I431, ContactsDbl!B:D, 2, FALSE), ""))</f>
        <v>pierre.barassounon@sim.org</v>
      </c>
      <c r="K431" t="str">
        <f>IF(0 = IFERROR(VLOOKUP(DBL_FullList!I431,ContactsDbl!B:D, 3, FALSE), ""), "", IFERROR(VLOOKUP(DBL_FullList!I431, ContactsDbl!B:D, 3, FALSE), ""))</f>
        <v>www.sim.org</v>
      </c>
      <c r="L431">
        <f t="shared" si="13"/>
        <v>2</v>
      </c>
    </row>
    <row r="432" spans="1:12" x14ac:dyDescent="0.25">
      <c r="A432" t="s">
        <v>4347</v>
      </c>
      <c r="B432" t="str">
        <f>IF(ISERROR(VLOOKUP(F432,STEP!A:A, 1, FALSE)), "N", "Y")</f>
        <v>N</v>
      </c>
      <c r="C432" t="str">
        <f>IF(ISERROR(VLOOKUP(E432, BibleInEveryLanguageTexts!A:A, 1, FALSE)), "N", "Y")</f>
        <v>N</v>
      </c>
      <c r="D432" t="str">
        <f t="shared" si="12"/>
        <v>X</v>
      </c>
      <c r="E432" t="s">
        <v>4348</v>
      </c>
      <c r="F432" t="s">
        <v>4349</v>
      </c>
      <c r="G432" t="s">
        <v>2903</v>
      </c>
      <c r="H432" t="s">
        <v>4350</v>
      </c>
      <c r="I432" t="s">
        <v>2576</v>
      </c>
      <c r="J432" t="str">
        <f>IF(0 = IFERROR(VLOOKUP(DBL_FullList!I432, ContactsDbl!B:D, 2, FALSE), ""), "", IFERROR(VLOOKUP(DBL_FullList!I432, ContactsDbl!B:D, 2, FALSE), ""))</f>
        <v>pierre.barassounon@sim.org</v>
      </c>
      <c r="K432" t="str">
        <f>IF(0 = IFERROR(VLOOKUP(DBL_FullList!I432,ContactsDbl!B:D, 3, FALSE), ""), "", IFERROR(VLOOKUP(DBL_FullList!I432, ContactsDbl!B:D, 3, FALSE), ""))</f>
        <v>www.sim.org</v>
      </c>
      <c r="L432">
        <f t="shared" si="13"/>
        <v>2</v>
      </c>
    </row>
    <row r="433" spans="1:12" x14ac:dyDescent="0.25">
      <c r="A433" t="s">
        <v>4351</v>
      </c>
      <c r="B433" t="str">
        <f>IF(ISERROR(VLOOKUP(F433,STEP!A:A, 1, FALSE)), "N", "Y")</f>
        <v>N</v>
      </c>
      <c r="C433" t="str">
        <f>IF(ISERROR(VLOOKUP(E433, BibleInEveryLanguageTexts!A:A, 1, FALSE)), "N", "Y")</f>
        <v>N</v>
      </c>
      <c r="D433" t="str">
        <f t="shared" si="12"/>
        <v>X</v>
      </c>
      <c r="E433" t="s">
        <v>4352</v>
      </c>
      <c r="F433" t="s">
        <v>4353</v>
      </c>
      <c r="G433" t="s">
        <v>3634</v>
      </c>
      <c r="H433" t="s">
        <v>4354</v>
      </c>
      <c r="I433" t="s">
        <v>2296</v>
      </c>
      <c r="J433" t="str">
        <f>IF(0 = IFERROR(VLOOKUP(DBL_FullList!I433, ContactsDbl!B:D, 2, FALSE), ""), "", IFERROR(VLOOKUP(DBL_FullList!I433, ContactsDbl!B:D, 2, FALSE), ""))</f>
        <v>gjergj@biblesocieties.org</v>
      </c>
      <c r="K433" t="str">
        <f>IF(0 = IFERROR(VLOOKUP(DBL_FullList!I433,ContactsDbl!B:D, 3, FALSE), ""), "", IFERROR(VLOOKUP(DBL_FullList!I433, ContactsDbl!B:D, 3, FALSE), ""))</f>
        <v>http://albanianbiblesociety.com</v>
      </c>
      <c r="L433">
        <f t="shared" si="13"/>
        <v>2</v>
      </c>
    </row>
    <row r="434" spans="1:12" x14ac:dyDescent="0.25">
      <c r="A434" t="s">
        <v>4355</v>
      </c>
      <c r="B434" t="str">
        <f>IF(ISERROR(VLOOKUP(F434,STEP!A:A, 1, FALSE)), "N", "Y")</f>
        <v>N</v>
      </c>
      <c r="C434" t="str">
        <f>IF(ISERROR(VLOOKUP(E434, BibleInEveryLanguageTexts!A:A, 1, FALSE)), "N", "Y")</f>
        <v>Y</v>
      </c>
      <c r="D434" t="str">
        <f t="shared" si="12"/>
        <v/>
      </c>
      <c r="E434" t="s">
        <v>1846</v>
      </c>
      <c r="F434" t="s">
        <v>4356</v>
      </c>
      <c r="G434" t="s">
        <v>2997</v>
      </c>
      <c r="H434" t="s">
        <v>4357</v>
      </c>
      <c r="I434" t="s">
        <v>2248</v>
      </c>
      <c r="J434" t="str">
        <f>IF(0 = IFERROR(VLOOKUP(DBL_FullList!I434, ContactsDbl!B:D, 2, FALSE), ""), "", IFERROR(VLOOKUP(DBL_FullList!I434, ContactsDbl!B:D, 2, FALSE), ""))</f>
        <v>dokurugu@biblesociety-ghana.org</v>
      </c>
      <c r="K434" t="str">
        <f>IF(0 = IFERROR(VLOOKUP(DBL_FullList!I434,ContactsDbl!B:D, 3, FALSE), ""), "", IFERROR(VLOOKUP(DBL_FullList!I434, ContactsDbl!B:D, 3, FALSE), ""))</f>
        <v>http://www.biblesociety-ghana.org/</v>
      </c>
      <c r="L434">
        <f t="shared" si="13"/>
        <v>2</v>
      </c>
    </row>
    <row r="435" spans="1:12" x14ac:dyDescent="0.25">
      <c r="A435" t="s">
        <v>4358</v>
      </c>
      <c r="B435" t="str">
        <f>IF(ISERROR(VLOOKUP(F435,STEP!A:A, 1, FALSE)), "N", "Y")</f>
        <v>N</v>
      </c>
      <c r="C435" t="str">
        <f>IF(ISERROR(VLOOKUP(E435, BibleInEveryLanguageTexts!A:A, 1, FALSE)), "N", "Y")</f>
        <v>N</v>
      </c>
      <c r="D435" t="str">
        <f t="shared" si="12"/>
        <v>X</v>
      </c>
      <c r="E435" t="s">
        <v>4359</v>
      </c>
      <c r="F435" t="s">
        <v>4360</v>
      </c>
      <c r="G435" t="s">
        <v>2903</v>
      </c>
      <c r="H435" t="s">
        <v>4361</v>
      </c>
      <c r="I435" t="s">
        <v>2576</v>
      </c>
      <c r="J435" t="str">
        <f>IF(0 = IFERROR(VLOOKUP(DBL_FullList!I435, ContactsDbl!B:D, 2, FALSE), ""), "", IFERROR(VLOOKUP(DBL_FullList!I435, ContactsDbl!B:D, 2, FALSE), ""))</f>
        <v>pierre.barassounon@sim.org</v>
      </c>
      <c r="K435" t="str">
        <f>IF(0 = IFERROR(VLOOKUP(DBL_FullList!I435,ContactsDbl!B:D, 3, FALSE), ""), "", IFERROR(VLOOKUP(DBL_FullList!I435, ContactsDbl!B:D, 3, FALSE), ""))</f>
        <v>www.sim.org</v>
      </c>
      <c r="L435">
        <f t="shared" si="13"/>
        <v>2</v>
      </c>
    </row>
    <row r="436" spans="1:12" x14ac:dyDescent="0.25">
      <c r="A436" t="s">
        <v>4362</v>
      </c>
      <c r="B436" t="str">
        <f>IF(ISERROR(VLOOKUP(F436,STEP!A:A, 1, FALSE)), "N", "Y")</f>
        <v>N</v>
      </c>
      <c r="C436" t="str">
        <f>IF(ISERROR(VLOOKUP(E436, BibleInEveryLanguageTexts!A:A, 1, FALSE)), "N", "Y")</f>
        <v>N</v>
      </c>
      <c r="D436" t="str">
        <f t="shared" si="12"/>
        <v>X</v>
      </c>
      <c r="E436" t="s">
        <v>4363</v>
      </c>
      <c r="F436" t="s">
        <v>4364</v>
      </c>
      <c r="G436" t="s">
        <v>4365</v>
      </c>
      <c r="H436" t="s">
        <v>4366</v>
      </c>
      <c r="I436" t="s">
        <v>2576</v>
      </c>
      <c r="J436" t="str">
        <f>IF(0 = IFERROR(VLOOKUP(DBL_FullList!I436, ContactsDbl!B:D, 2, FALSE), ""), "", IFERROR(VLOOKUP(DBL_FullList!I436, ContactsDbl!B:D, 2, FALSE), ""))</f>
        <v>pierre.barassounon@sim.org</v>
      </c>
      <c r="K436" t="str">
        <f>IF(0 = IFERROR(VLOOKUP(DBL_FullList!I436,ContactsDbl!B:D, 3, FALSE), ""), "", IFERROR(VLOOKUP(DBL_FullList!I436, ContactsDbl!B:D, 3, FALSE), ""))</f>
        <v>www.sim.org</v>
      </c>
      <c r="L436">
        <f t="shared" si="13"/>
        <v>2</v>
      </c>
    </row>
    <row r="437" spans="1:12" x14ac:dyDescent="0.25">
      <c r="A437" t="s">
        <v>4367</v>
      </c>
      <c r="B437" t="str">
        <f>IF(ISERROR(VLOOKUP(F437,STEP!A:A, 1, FALSE)), "N", "Y")</f>
        <v>N</v>
      </c>
      <c r="C437" t="str">
        <f>IF(ISERROR(VLOOKUP(E437, BibleInEveryLanguageTexts!A:A, 1, FALSE)), "N", "Y")</f>
        <v>N</v>
      </c>
      <c r="D437" t="str">
        <f t="shared" si="12"/>
        <v>X</v>
      </c>
      <c r="E437" t="s">
        <v>4368</v>
      </c>
      <c r="F437" t="s">
        <v>4369</v>
      </c>
      <c r="G437" t="s">
        <v>2903</v>
      </c>
      <c r="H437" t="s">
        <v>4370</v>
      </c>
      <c r="I437" t="s">
        <v>2576</v>
      </c>
      <c r="J437" t="str">
        <f>IF(0 = IFERROR(VLOOKUP(DBL_FullList!I437, ContactsDbl!B:D, 2, FALSE), ""), "", IFERROR(VLOOKUP(DBL_FullList!I437, ContactsDbl!B:D, 2, FALSE), ""))</f>
        <v>pierre.barassounon@sim.org</v>
      </c>
      <c r="K437" t="str">
        <f>IF(0 = IFERROR(VLOOKUP(DBL_FullList!I437,ContactsDbl!B:D, 3, FALSE), ""), "", IFERROR(VLOOKUP(DBL_FullList!I437, ContactsDbl!B:D, 3, FALSE), ""))</f>
        <v>www.sim.org</v>
      </c>
      <c r="L437">
        <f t="shared" si="13"/>
        <v>2</v>
      </c>
    </row>
    <row r="438" spans="1:12" x14ac:dyDescent="0.25">
      <c r="A438" t="s">
        <v>4371</v>
      </c>
      <c r="B438" t="str">
        <f>IF(ISERROR(VLOOKUP(F438,STEP!A:A, 1, FALSE)), "N", "Y")</f>
        <v>N</v>
      </c>
      <c r="C438" t="str">
        <f>IF(ISERROR(VLOOKUP(E438, BibleInEveryLanguageTexts!A:A, 1, FALSE)), "N", "Y")</f>
        <v>N</v>
      </c>
      <c r="D438" t="str">
        <f t="shared" si="12"/>
        <v>X</v>
      </c>
      <c r="E438" t="s">
        <v>199</v>
      </c>
      <c r="F438" t="s">
        <v>197</v>
      </c>
      <c r="G438" t="s">
        <v>2942</v>
      </c>
      <c r="H438" t="s">
        <v>4372</v>
      </c>
      <c r="I438" t="s">
        <v>183</v>
      </c>
      <c r="J438" t="str">
        <f>IF(0 = IFERROR(VLOOKUP(DBL_FullList!I438, ContactsDbl!B:D, 2, FALSE), ""), "", IFERROR(VLOOKUP(DBL_FullList!I438, ContactsDbl!B:D, 2, FALSE), ""))</f>
        <v>dbl@biblesocieties.org</v>
      </c>
      <c r="K438" t="str">
        <f>IF(0 = IFERROR(VLOOKUP(DBL_FullList!I438,ContactsDbl!B:D, 3, FALSE), ""), "", IFERROR(VLOOKUP(DBL_FullList!I438, ContactsDbl!B:D, 3, FALSE), ""))</f>
        <v>http://www.unitedbiblesocieties.org/</v>
      </c>
      <c r="L438">
        <f t="shared" si="13"/>
        <v>2</v>
      </c>
    </row>
    <row r="439" spans="1:12" x14ac:dyDescent="0.25">
      <c r="A439" t="s">
        <v>4373</v>
      </c>
      <c r="B439" t="str">
        <f>IF(ISERROR(VLOOKUP(F439,STEP!A:A, 1, FALSE)), "N", "Y")</f>
        <v>N</v>
      </c>
      <c r="C439" t="str">
        <f>IF(ISERROR(VLOOKUP(E439, BibleInEveryLanguageTexts!A:A, 1, FALSE)), "N", "Y")</f>
        <v>N</v>
      </c>
      <c r="D439" t="str">
        <f t="shared" si="12"/>
        <v>X</v>
      </c>
      <c r="E439" t="s">
        <v>4374</v>
      </c>
      <c r="F439" t="s">
        <v>4375</v>
      </c>
      <c r="G439" t="s">
        <v>4376</v>
      </c>
      <c r="H439" t="s">
        <v>4377</v>
      </c>
      <c r="I439" t="s">
        <v>3104</v>
      </c>
      <c r="J439" t="str">
        <f>IF(0 = IFERROR(VLOOKUP(DBL_FullList!I439, ContactsDbl!B:D, 2, FALSE), ""), "", IFERROR(VLOOKUP(DBL_FullList!I439, ContactsDbl!B:D, 2, FALSE), ""))</f>
        <v/>
      </c>
      <c r="K439" t="str">
        <f>IF(0 = IFERROR(VLOOKUP(DBL_FullList!I439,ContactsDbl!B:D, 3, FALSE), ""), "", IFERROR(VLOOKUP(DBL_FullList!I439, ContactsDbl!B:D, 3, FALSE), ""))</f>
        <v/>
      </c>
      <c r="L439">
        <f t="shared" si="13"/>
        <v>0</v>
      </c>
    </row>
    <row r="440" spans="1:12" x14ac:dyDescent="0.25">
      <c r="A440" t="s">
        <v>4378</v>
      </c>
      <c r="B440" t="str">
        <f>IF(ISERROR(VLOOKUP(F440,STEP!A:A, 1, FALSE)), "N", "Y")</f>
        <v>N</v>
      </c>
      <c r="C440" t="str">
        <f>IF(ISERROR(VLOOKUP(E440, BibleInEveryLanguageTexts!A:A, 1, FALSE)), "N", "Y")</f>
        <v>N</v>
      </c>
      <c r="D440" t="str">
        <f t="shared" si="12"/>
        <v>X</v>
      </c>
      <c r="E440" t="s">
        <v>4379</v>
      </c>
      <c r="F440" t="s">
        <v>4380</v>
      </c>
      <c r="G440" t="s">
        <v>383</v>
      </c>
      <c r="H440" t="s">
        <v>4381</v>
      </c>
      <c r="I440" t="s">
        <v>2661</v>
      </c>
      <c r="J440" t="str">
        <f>IF(0 = IFERROR(VLOOKUP(DBL_FullList!I440, ContactsDbl!B:D, 2, FALSE), ""), "", IFERROR(VLOOKUP(DBL_FullList!I440, ContactsDbl!B:D, 2, FALSE), ""))</f>
        <v>dbladmin_intl@sil.org</v>
      </c>
      <c r="K440" t="str">
        <f>IF(0 = IFERROR(VLOOKUP(DBL_FullList!I440,ContactsDbl!B:D, 3, FALSE), ""), "", IFERROR(VLOOKUP(DBL_FullList!I440, ContactsDbl!B:D, 3, FALSE), ""))</f>
        <v>http://www.wycliffe.org</v>
      </c>
      <c r="L440">
        <f t="shared" si="13"/>
        <v>2</v>
      </c>
    </row>
    <row r="441" spans="1:12" x14ac:dyDescent="0.25">
      <c r="A441" t="s">
        <v>4382</v>
      </c>
      <c r="B441" t="str">
        <f>IF(ISERROR(VLOOKUP(F441,STEP!A:A, 1, FALSE)), "N", "Y")</f>
        <v>N</v>
      </c>
      <c r="C441" t="str">
        <f>IF(ISERROR(VLOOKUP(E441, BibleInEveryLanguageTexts!A:A, 1, FALSE)), "N", "Y")</f>
        <v>N</v>
      </c>
      <c r="D441" t="str">
        <f t="shared" si="12"/>
        <v>X</v>
      </c>
      <c r="E441" t="s">
        <v>4383</v>
      </c>
      <c r="F441" t="s">
        <v>4384</v>
      </c>
      <c r="G441" t="s">
        <v>4385</v>
      </c>
      <c r="H441" t="s">
        <v>4386</v>
      </c>
      <c r="I441" t="s">
        <v>1997</v>
      </c>
      <c r="J441" t="str">
        <f>IF(0 = IFERROR(VLOOKUP(DBL_FullList!I441, ContactsDbl!B:D, 2, FALSE), ""), "", IFERROR(VLOOKUP(DBL_FullList!I441, ContactsDbl!B:D, 2, FALSE), ""))</f>
        <v>Lee.Harris@biblica.com</v>
      </c>
      <c r="K441" t="str">
        <f>IF(0 = IFERROR(VLOOKUP(DBL_FullList!I441,ContactsDbl!B:D, 3, FALSE), ""), "", IFERROR(VLOOKUP(DBL_FullList!I441, ContactsDbl!B:D, 3, FALSE), ""))</f>
        <v>http://www.Biblica.com</v>
      </c>
      <c r="L441">
        <f t="shared" si="13"/>
        <v>2</v>
      </c>
    </row>
    <row r="442" spans="1:12" x14ac:dyDescent="0.25">
      <c r="A442" t="s">
        <v>4387</v>
      </c>
      <c r="B442" t="str">
        <f>IF(ISERROR(VLOOKUP(F442,STEP!A:A, 1, FALSE)), "N", "Y")</f>
        <v>N</v>
      </c>
      <c r="C442" t="str">
        <f>IF(ISERROR(VLOOKUP(E442, BibleInEveryLanguageTexts!A:A, 1, FALSE)), "N", "Y")</f>
        <v>N</v>
      </c>
      <c r="D442" t="str">
        <f t="shared" si="12"/>
        <v>X</v>
      </c>
      <c r="E442" t="s">
        <v>788</v>
      </c>
      <c r="F442" t="s">
        <v>4388</v>
      </c>
      <c r="G442" t="s">
        <v>3124</v>
      </c>
      <c r="H442" t="s">
        <v>4389</v>
      </c>
      <c r="I442" t="s">
        <v>2630</v>
      </c>
      <c r="J442" t="str">
        <f>IF(0 = IFERROR(VLOOKUP(DBL_FullList!I442, ContactsDbl!B:D, 2, FALSE), ""), "", IFERROR(VLOOKUP(DBL_FullList!I442, ContactsDbl!B:D, 2, FALSE), ""))</f>
        <v/>
      </c>
      <c r="K442" t="str">
        <f>IF(0 = IFERROR(VLOOKUP(DBL_FullList!I442,ContactsDbl!B:D, 3, FALSE), ""), "", IFERROR(VLOOKUP(DBL_FullList!I442, ContactsDbl!B:D, 3, FALSE), ""))</f>
        <v>http://www.biblesociety-togo.org/</v>
      </c>
      <c r="L442">
        <f t="shared" si="13"/>
        <v>1</v>
      </c>
    </row>
    <row r="443" spans="1:12" x14ac:dyDescent="0.25">
      <c r="A443" t="s">
        <v>4390</v>
      </c>
      <c r="B443" t="str">
        <f>IF(ISERROR(VLOOKUP(F443,STEP!A:A, 1, FALSE)), "N", "Y")</f>
        <v>N</v>
      </c>
      <c r="C443" t="str">
        <f>IF(ISERROR(VLOOKUP(E443, BibleInEveryLanguageTexts!A:A, 1, FALSE)), "N", "Y")</f>
        <v>N</v>
      </c>
      <c r="D443" t="str">
        <f t="shared" si="12"/>
        <v>X</v>
      </c>
      <c r="E443" t="s">
        <v>4391</v>
      </c>
      <c r="F443" t="s">
        <v>4392</v>
      </c>
      <c r="G443" t="s">
        <v>4050</v>
      </c>
      <c r="H443" t="s">
        <v>4393</v>
      </c>
      <c r="I443" t="s">
        <v>2661</v>
      </c>
      <c r="J443" t="str">
        <f>IF(0 = IFERROR(VLOOKUP(DBL_FullList!I443, ContactsDbl!B:D, 2, FALSE), ""), "", IFERROR(VLOOKUP(DBL_FullList!I443, ContactsDbl!B:D, 2, FALSE), ""))</f>
        <v>dbladmin_intl@sil.org</v>
      </c>
      <c r="K443" t="str">
        <f>IF(0 = IFERROR(VLOOKUP(DBL_FullList!I443,ContactsDbl!B:D, 3, FALSE), ""), "", IFERROR(VLOOKUP(DBL_FullList!I443, ContactsDbl!B:D, 3, FALSE), ""))</f>
        <v>http://www.wycliffe.org</v>
      </c>
      <c r="L443">
        <f t="shared" si="13"/>
        <v>2</v>
      </c>
    </row>
    <row r="444" spans="1:12" x14ac:dyDescent="0.25">
      <c r="A444" t="s">
        <v>4394</v>
      </c>
      <c r="B444" t="str">
        <f>IF(ISERROR(VLOOKUP(F444,STEP!A:A, 1, FALSE)), "N", "Y")</f>
        <v>N</v>
      </c>
      <c r="C444" t="str">
        <f>IF(ISERROR(VLOOKUP(E444, BibleInEveryLanguageTexts!A:A, 1, FALSE)), "N", "Y")</f>
        <v>N</v>
      </c>
      <c r="D444" t="str">
        <f t="shared" si="12"/>
        <v>X</v>
      </c>
      <c r="E444" t="s">
        <v>4395</v>
      </c>
      <c r="F444" t="s">
        <v>4396</v>
      </c>
      <c r="G444" t="s">
        <v>20</v>
      </c>
      <c r="H444" t="s">
        <v>4397</v>
      </c>
      <c r="I444" t="s">
        <v>2329</v>
      </c>
      <c r="J444" t="str">
        <f>IF(0 = IFERROR(VLOOKUP(DBL_FullList!I444, ContactsDbl!B:D, 2, FALSE), ""), "", IFERROR(VLOOKUP(DBL_FullList!I444, ContactsDbl!B:D, 2, FALSE), ""))</f>
        <v/>
      </c>
      <c r="K444" t="str">
        <f>IF(0 = IFERROR(VLOOKUP(DBL_FullList!I444,ContactsDbl!B:D, 3, FALSE), ""), "", IFERROR(VLOOKUP(DBL_FullList!I444, ContactsDbl!B:D, 3, FALSE), ""))</f>
        <v>http://www.bsind.org/</v>
      </c>
      <c r="L444">
        <f t="shared" si="13"/>
        <v>1</v>
      </c>
    </row>
    <row r="445" spans="1:12" x14ac:dyDescent="0.25">
      <c r="A445" t="s">
        <v>4398</v>
      </c>
      <c r="B445" t="str">
        <f>IF(ISERROR(VLOOKUP(F445,STEP!A:A, 1, FALSE)), "N", "Y")</f>
        <v>N</v>
      </c>
      <c r="C445" t="str">
        <f>IF(ISERROR(VLOOKUP(E445, BibleInEveryLanguageTexts!A:A, 1, FALSE)), "N", "Y")</f>
        <v>N</v>
      </c>
      <c r="D445" t="str">
        <f t="shared" si="12"/>
        <v>X</v>
      </c>
      <c r="E445" t="s">
        <v>4399</v>
      </c>
      <c r="F445" t="s">
        <v>4400</v>
      </c>
      <c r="G445" t="s">
        <v>2815</v>
      </c>
      <c r="H445" t="s">
        <v>4401</v>
      </c>
      <c r="I445" t="s">
        <v>1997</v>
      </c>
      <c r="J445" t="str">
        <f>IF(0 = IFERROR(VLOOKUP(DBL_FullList!I445, ContactsDbl!B:D, 2, FALSE), ""), "", IFERROR(VLOOKUP(DBL_FullList!I445, ContactsDbl!B:D, 2, FALSE), ""))</f>
        <v>Lee.Harris@biblica.com</v>
      </c>
      <c r="K445" t="str">
        <f>IF(0 = IFERROR(VLOOKUP(DBL_FullList!I445,ContactsDbl!B:D, 3, FALSE), ""), "", IFERROR(VLOOKUP(DBL_FullList!I445, ContactsDbl!B:D, 3, FALSE), ""))</f>
        <v>http://www.Biblica.com</v>
      </c>
      <c r="L445">
        <f t="shared" si="13"/>
        <v>2</v>
      </c>
    </row>
    <row r="446" spans="1:12" x14ac:dyDescent="0.25">
      <c r="A446" t="s">
        <v>4402</v>
      </c>
      <c r="B446" t="str">
        <f>IF(ISERROR(VLOOKUP(F446,STEP!A:A, 1, FALSE)), "N", "Y")</f>
        <v>N</v>
      </c>
      <c r="C446" t="str">
        <f>IF(ISERROR(VLOOKUP(E446, BibleInEveryLanguageTexts!A:A, 1, FALSE)), "N", "Y")</f>
        <v>N</v>
      </c>
      <c r="D446" t="str">
        <f t="shared" si="12"/>
        <v>X</v>
      </c>
      <c r="E446" t="s">
        <v>4403</v>
      </c>
      <c r="F446" t="s">
        <v>4404</v>
      </c>
      <c r="G446" t="s">
        <v>171</v>
      </c>
      <c r="H446" t="s">
        <v>4405</v>
      </c>
      <c r="I446" t="s">
        <v>168</v>
      </c>
      <c r="J446" t="str">
        <f>IF(0 = IFERROR(VLOOKUP(DBL_FullList!I446, ContactsDbl!B:D, 2, FALSE), ""), "", IFERROR(VLOOKUP(DBL_FullList!I446, ContactsDbl!B:D, 2, FALSE), ""))</f>
        <v>admin@biblesociety-ethiopia.org</v>
      </c>
      <c r="K446" t="str">
        <f>IF(0 = IFERROR(VLOOKUP(DBL_FullList!I446,ContactsDbl!B:D, 3, FALSE), ""), "", IFERROR(VLOOKUP(DBL_FullList!I446, ContactsDbl!B:D, 3, FALSE), ""))</f>
        <v>http://biblesociety-ethiopia.org</v>
      </c>
      <c r="L446">
        <f t="shared" si="13"/>
        <v>2</v>
      </c>
    </row>
    <row r="447" spans="1:12" x14ac:dyDescent="0.25">
      <c r="A447" t="s">
        <v>4406</v>
      </c>
      <c r="B447" t="str">
        <f>IF(ISERROR(VLOOKUP(F447,STEP!A:A, 1, FALSE)), "N", "Y")</f>
        <v>N</v>
      </c>
      <c r="C447" t="str">
        <f>IF(ISERROR(VLOOKUP(E447, BibleInEveryLanguageTexts!A:A, 1, FALSE)), "N", "Y")</f>
        <v>N</v>
      </c>
      <c r="D447" t="str">
        <f t="shared" si="12"/>
        <v>X</v>
      </c>
      <c r="E447" t="s">
        <v>4407</v>
      </c>
      <c r="F447" t="s">
        <v>4408</v>
      </c>
      <c r="G447" t="s">
        <v>48</v>
      </c>
      <c r="H447" t="s">
        <v>4409</v>
      </c>
      <c r="I447" t="s">
        <v>2512</v>
      </c>
      <c r="J447" t="str">
        <f>IF(0 = IFERROR(VLOOKUP(DBL_FullList!I447, ContactsDbl!B:D, 2, FALSE), ""), "", IFERROR(VLOOKUP(DBL_FullList!I447, ContactsDbl!B:D, 2, FALSE), ""))</f>
        <v/>
      </c>
      <c r="K447" t="str">
        <f>IF(0 = IFERROR(VLOOKUP(DBL_FullList!I447,ContactsDbl!B:D, 3, FALSE), ""), "", IFERROR(VLOOKUP(DBL_FullList!I447, ContactsDbl!B:D, 3, FALSE), ""))</f>
        <v/>
      </c>
      <c r="L447">
        <f t="shared" si="13"/>
        <v>0</v>
      </c>
    </row>
    <row r="448" spans="1:12" x14ac:dyDescent="0.25">
      <c r="A448" t="s">
        <v>4410</v>
      </c>
      <c r="B448" t="str">
        <f>IF(ISERROR(VLOOKUP(F448,STEP!A:A, 1, FALSE)), "N", "Y")</f>
        <v>N</v>
      </c>
      <c r="C448" t="str">
        <f>IF(ISERROR(VLOOKUP(E448, BibleInEveryLanguageTexts!A:A, 1, FALSE)), "N", "Y")</f>
        <v>Y</v>
      </c>
      <c r="D448" t="str">
        <f t="shared" si="12"/>
        <v/>
      </c>
      <c r="E448" t="s">
        <v>1661</v>
      </c>
      <c r="F448" t="s">
        <v>3836</v>
      </c>
      <c r="G448" t="s">
        <v>2858</v>
      </c>
      <c r="H448" t="s">
        <v>4411</v>
      </c>
      <c r="I448" t="s">
        <v>2505</v>
      </c>
      <c r="J448" t="str">
        <f>IF(0 = IFERROR(VLOOKUP(DBL_FullList!I448, ContactsDbl!B:D, 2, FALSE), ""), "", IFERROR(VLOOKUP(DBL_FullList!I448, ContactsDbl!B:D, 2, FALSE), ""))</f>
        <v/>
      </c>
      <c r="K448" t="str">
        <f>IF(0 = IFERROR(VLOOKUP(DBL_FullList!I448,ContactsDbl!B:D, 3, FALSE), ""), "", IFERROR(VLOOKUP(DBL_FullList!I448, ContactsDbl!B:D, 3, FALSE), ""))</f>
        <v>http://www.bible.org.ph/</v>
      </c>
      <c r="L448">
        <f t="shared" si="13"/>
        <v>1</v>
      </c>
    </row>
    <row r="449" spans="1:12" x14ac:dyDescent="0.25">
      <c r="A449" t="s">
        <v>4412</v>
      </c>
      <c r="B449" t="str">
        <f>IF(ISERROR(VLOOKUP(F449,STEP!A:A, 1, FALSE)), "N", "Y")</f>
        <v>N</v>
      </c>
      <c r="C449" t="str">
        <f>IF(ISERROR(VLOOKUP(E449, BibleInEveryLanguageTexts!A:A, 1, FALSE)), "N", "Y")</f>
        <v>N</v>
      </c>
      <c r="D449" t="str">
        <f t="shared" si="12"/>
        <v>X</v>
      </c>
      <c r="E449" t="s">
        <v>4413</v>
      </c>
      <c r="F449" t="s">
        <v>4414</v>
      </c>
      <c r="G449" t="s">
        <v>25</v>
      </c>
      <c r="H449" t="s">
        <v>4415</v>
      </c>
      <c r="I449" t="s">
        <v>2661</v>
      </c>
      <c r="J449" t="str">
        <f>IF(0 = IFERROR(VLOOKUP(DBL_FullList!I449, ContactsDbl!B:D, 2, FALSE), ""), "", IFERROR(VLOOKUP(DBL_FullList!I449, ContactsDbl!B:D, 2, FALSE), ""))</f>
        <v>dbladmin_intl@sil.org</v>
      </c>
      <c r="K449" t="str">
        <f>IF(0 = IFERROR(VLOOKUP(DBL_FullList!I449,ContactsDbl!B:D, 3, FALSE), ""), "", IFERROR(VLOOKUP(DBL_FullList!I449, ContactsDbl!B:D, 3, FALSE), ""))</f>
        <v>http://www.wycliffe.org</v>
      </c>
      <c r="L449">
        <f t="shared" si="13"/>
        <v>2</v>
      </c>
    </row>
    <row r="450" spans="1:12" x14ac:dyDescent="0.25">
      <c r="A450" t="s">
        <v>4416</v>
      </c>
      <c r="B450" t="str">
        <f>IF(ISERROR(VLOOKUP(F450,STEP!A:A, 1, FALSE)), "N", "Y")</f>
        <v>N</v>
      </c>
      <c r="C450" t="str">
        <f>IF(ISERROR(VLOOKUP(E450, BibleInEveryLanguageTexts!A:A, 1, FALSE)), "N", "Y")</f>
        <v>N</v>
      </c>
      <c r="D450" t="str">
        <f t="shared" si="12"/>
        <v>X</v>
      </c>
      <c r="E450" t="s">
        <v>1923</v>
      </c>
      <c r="F450" t="s">
        <v>3918</v>
      </c>
      <c r="G450" t="s">
        <v>2997</v>
      </c>
      <c r="H450" t="s">
        <v>4417</v>
      </c>
      <c r="I450" t="s">
        <v>1997</v>
      </c>
      <c r="J450" t="str">
        <f>IF(0 = IFERROR(VLOOKUP(DBL_FullList!I450, ContactsDbl!B:D, 2, FALSE), ""), "", IFERROR(VLOOKUP(DBL_FullList!I450, ContactsDbl!B:D, 2, FALSE), ""))</f>
        <v>Lee.Harris@biblica.com</v>
      </c>
      <c r="K450" t="str">
        <f>IF(0 = IFERROR(VLOOKUP(DBL_FullList!I450,ContactsDbl!B:D, 3, FALSE), ""), "", IFERROR(VLOOKUP(DBL_FullList!I450, ContactsDbl!B:D, 3, FALSE), ""))</f>
        <v>http://www.Biblica.com</v>
      </c>
      <c r="L450">
        <f t="shared" si="13"/>
        <v>2</v>
      </c>
    </row>
    <row r="451" spans="1:12" x14ac:dyDescent="0.25">
      <c r="A451" t="s">
        <v>4418</v>
      </c>
      <c r="B451" t="str">
        <f>IF(ISERROR(VLOOKUP(F451,STEP!A:A, 1, FALSE)), "N", "Y")</f>
        <v>N</v>
      </c>
      <c r="C451" t="str">
        <f>IF(ISERROR(VLOOKUP(E451, BibleInEveryLanguageTexts!A:A, 1, FALSE)), "N", "Y")</f>
        <v>N</v>
      </c>
      <c r="D451" t="str">
        <f t="shared" ref="D451:D514" si="14">IF(AND("N" = B451, "N" = C451), "X", "")</f>
        <v>X</v>
      </c>
      <c r="E451" t="s">
        <v>4419</v>
      </c>
      <c r="F451" t="s">
        <v>2807</v>
      </c>
      <c r="G451" t="s">
        <v>2808</v>
      </c>
      <c r="H451" t="s">
        <v>4420</v>
      </c>
      <c r="I451" t="s">
        <v>2448</v>
      </c>
      <c r="J451" t="str">
        <f>IF(0 = IFERROR(VLOOKUP(DBL_FullList!I451, ContactsDbl!B:D, 2, FALSE), ""), "", IFERROR(VLOOKUP(DBL_FullList!I451, ContactsDbl!B:D, 2, FALSE), ""))</f>
        <v>mubsociety@gmail.com</v>
      </c>
      <c r="K451" t="str">
        <f>IF(0 = IFERROR(VLOOKUP(DBL_FullList!I451,ContactsDbl!B:D, 3, FALSE), ""), "", IFERROR(VLOOKUP(DBL_FullList!I451, ContactsDbl!B:D, 3, FALSE), ""))</f>
        <v>www.mongol.bible</v>
      </c>
      <c r="L451">
        <f t="shared" ref="L451:L514" si="15">IF("" &lt;&gt; J451, 2, IF("" &lt;&gt; K451, 1, 0))</f>
        <v>2</v>
      </c>
    </row>
    <row r="452" spans="1:12" x14ac:dyDescent="0.25">
      <c r="A452" t="s">
        <v>4421</v>
      </c>
      <c r="B452" t="str">
        <f>IF(ISERROR(VLOOKUP(F452,STEP!A:A, 1, FALSE)), "N", "Y")</f>
        <v>N</v>
      </c>
      <c r="C452" t="str">
        <f>IF(ISERROR(VLOOKUP(E452, BibleInEveryLanguageTexts!A:A, 1, FALSE)), "N", "Y")</f>
        <v>N</v>
      </c>
      <c r="D452" t="str">
        <f t="shared" si="14"/>
        <v>X</v>
      </c>
      <c r="E452" t="s">
        <v>4422</v>
      </c>
      <c r="F452" t="s">
        <v>4423</v>
      </c>
      <c r="G452" t="s">
        <v>3065</v>
      </c>
      <c r="H452" t="s">
        <v>4424</v>
      </c>
      <c r="I452" t="s">
        <v>2618</v>
      </c>
      <c r="J452" t="str">
        <f>IF(0 = IFERROR(VLOOKUP(DBL_FullList!I452, ContactsDbl!B:D, 2, FALSE), ""), "", IFERROR(VLOOKUP(DBL_FullList!I452, ContactsDbl!B:D, 2, FALSE), ""))</f>
        <v/>
      </c>
      <c r="K452" t="str">
        <f>IF(0 = IFERROR(VLOOKUP(DBL_FullList!I452,ContactsDbl!B:D, 3, FALSE), ""), "", IFERROR(VLOOKUP(DBL_FullList!I452, ContactsDbl!B:D, 3, FALSE), ""))</f>
        <v/>
      </c>
      <c r="L452">
        <f t="shared" si="15"/>
        <v>0</v>
      </c>
    </row>
    <row r="453" spans="1:12" x14ac:dyDescent="0.25">
      <c r="A453" t="s">
        <v>4425</v>
      </c>
      <c r="B453" t="str">
        <f>IF(ISERROR(VLOOKUP(F453,STEP!A:A, 1, FALSE)), "N", "Y")</f>
        <v>N</v>
      </c>
      <c r="C453" t="str">
        <f>IF(ISERROR(VLOOKUP(E453, BibleInEveryLanguageTexts!A:A, 1, FALSE)), "N", "Y")</f>
        <v>N</v>
      </c>
      <c r="D453" t="str">
        <f t="shared" si="14"/>
        <v>X</v>
      </c>
      <c r="E453" t="s">
        <v>4426</v>
      </c>
      <c r="F453" t="s">
        <v>4427</v>
      </c>
      <c r="G453" t="s">
        <v>2838</v>
      </c>
      <c r="H453" t="s">
        <v>4428</v>
      </c>
      <c r="I453" t="s">
        <v>2025</v>
      </c>
      <c r="J453" t="str">
        <f>IF(0 = IFERROR(VLOOKUP(DBL_FullList!I453, ContactsDbl!B:D, 2, FALSE), ""), "", IFERROR(VLOOKUP(DBL_FullList!I453, ContactsDbl!B:D, 2, FALSE), ""))</f>
        <v>abbf@biblesociety-bf.org</v>
      </c>
      <c r="K453" t="str">
        <f>IF(0 = IFERROR(VLOOKUP(DBL_FullList!I453,ContactsDbl!B:D, 3, FALSE), ""), "", IFERROR(VLOOKUP(DBL_FullList!I453, ContactsDbl!B:D, 3, FALSE), ""))</f>
        <v>http://alliancebiblique-bf.org/</v>
      </c>
      <c r="L453">
        <f t="shared" si="15"/>
        <v>2</v>
      </c>
    </row>
    <row r="454" spans="1:12" x14ac:dyDescent="0.25">
      <c r="A454" t="s">
        <v>4429</v>
      </c>
      <c r="B454" t="str">
        <f>IF(ISERROR(VLOOKUP(F454,STEP!A:A, 1, FALSE)), "N", "Y")</f>
        <v>N</v>
      </c>
      <c r="C454" t="str">
        <f>IF(ISERROR(VLOOKUP(E454, BibleInEveryLanguageTexts!A:A, 1, FALSE)), "N", "Y")</f>
        <v>N</v>
      </c>
      <c r="D454" t="str">
        <f t="shared" si="14"/>
        <v>X</v>
      </c>
      <c r="E454" t="s">
        <v>4430</v>
      </c>
      <c r="F454" t="s">
        <v>4431</v>
      </c>
      <c r="G454" t="s">
        <v>4432</v>
      </c>
      <c r="H454" t="s">
        <v>4433</v>
      </c>
      <c r="I454" t="s">
        <v>2102</v>
      </c>
      <c r="J454" t="str">
        <f>IF(0 = IFERROR(VLOOKUP(DBL_FullList!I454, ContactsDbl!B:D, 2, FALSE), ""), "", IFERROR(VLOOKUP(DBL_FullList!I454, ContactsDbl!B:D, 2, FALSE), ""))</f>
        <v>mkatonivere@bible.org.fj</v>
      </c>
      <c r="K454" t="str">
        <f>IF(0 = IFERROR(VLOOKUP(DBL_FullList!I454,ContactsDbl!B:D, 3, FALSE), ""), "", IFERROR(VLOOKUP(DBL_FullList!I454, ContactsDbl!B:D, 3, FALSE), ""))</f>
        <v>http://www.bible.org.fj/</v>
      </c>
      <c r="L454">
        <f t="shared" si="15"/>
        <v>2</v>
      </c>
    </row>
    <row r="455" spans="1:12" x14ac:dyDescent="0.25">
      <c r="A455" t="s">
        <v>4434</v>
      </c>
      <c r="B455" t="str">
        <f>IF(ISERROR(VLOOKUP(F455,STEP!A:A, 1, FALSE)), "N", "Y")</f>
        <v>N</v>
      </c>
      <c r="C455" t="str">
        <f>IF(ISERROR(VLOOKUP(E455, BibleInEveryLanguageTexts!A:A, 1, FALSE)), "N", "Y")</f>
        <v>N</v>
      </c>
      <c r="D455" t="str">
        <f t="shared" si="14"/>
        <v>X</v>
      </c>
      <c r="E455" t="s">
        <v>4435</v>
      </c>
      <c r="F455" t="s">
        <v>4436</v>
      </c>
      <c r="G455" t="s">
        <v>4120</v>
      </c>
      <c r="H455" t="s">
        <v>4437</v>
      </c>
      <c r="I455" t="s">
        <v>2182</v>
      </c>
      <c r="J455" t="str">
        <f>IF(0 = IFERROR(VLOOKUP(DBL_FullList!I455, ContactsDbl!B:D, 2, FALSE), ""), "", IFERROR(VLOOKUP(DBL_FullList!I455, ContactsDbl!B:D, 2, FALSE), ""))</f>
        <v/>
      </c>
      <c r="K455" t="str">
        <f>IF(0 = IFERROR(VLOOKUP(DBL_FullList!I455,ContactsDbl!B:D, 3, FALSE), ""), "", IFERROR(VLOOKUP(DBL_FullList!I455, ContactsDbl!B:D, 3, FALSE), ""))</f>
        <v>http://www.biblesociety-cd.org/</v>
      </c>
      <c r="L455">
        <f t="shared" si="15"/>
        <v>1</v>
      </c>
    </row>
    <row r="456" spans="1:12" x14ac:dyDescent="0.25">
      <c r="A456" t="s">
        <v>4438</v>
      </c>
      <c r="B456" t="str">
        <f>IF(ISERROR(VLOOKUP(F456,STEP!A:A, 1, FALSE)), "N", "Y")</f>
        <v>N</v>
      </c>
      <c r="C456" t="str">
        <f>IF(ISERROR(VLOOKUP(E456, BibleInEveryLanguageTexts!A:A, 1, FALSE)), "N", "Y")</f>
        <v>N</v>
      </c>
      <c r="D456" t="str">
        <f t="shared" si="14"/>
        <v>X</v>
      </c>
      <c r="E456" t="s">
        <v>4439</v>
      </c>
      <c r="F456" t="s">
        <v>4440</v>
      </c>
      <c r="G456" t="s">
        <v>3799</v>
      </c>
      <c r="H456" t="s">
        <v>4441</v>
      </c>
      <c r="I456" t="s">
        <v>3104</v>
      </c>
      <c r="J456" t="str">
        <f>IF(0 = IFERROR(VLOOKUP(DBL_FullList!I456, ContactsDbl!B:D, 2, FALSE), ""), "", IFERROR(VLOOKUP(DBL_FullList!I456, ContactsDbl!B:D, 2, FALSE), ""))</f>
        <v/>
      </c>
      <c r="K456" t="str">
        <f>IF(0 = IFERROR(VLOOKUP(DBL_FullList!I456,ContactsDbl!B:D, 3, FALSE), ""), "", IFERROR(VLOOKUP(DBL_FullList!I456, ContactsDbl!B:D, 3, FALSE), ""))</f>
        <v/>
      </c>
      <c r="L456">
        <f t="shared" si="15"/>
        <v>0</v>
      </c>
    </row>
    <row r="457" spans="1:12" x14ac:dyDescent="0.25">
      <c r="A457" t="s">
        <v>4442</v>
      </c>
      <c r="B457" t="str">
        <f>IF(ISERROR(VLOOKUP(F457,STEP!A:A, 1, FALSE)), "N", "Y")</f>
        <v>N</v>
      </c>
      <c r="C457" t="str">
        <f>IF(ISERROR(VLOOKUP(E457, BibleInEveryLanguageTexts!A:A, 1, FALSE)), "N", "Y")</f>
        <v>N</v>
      </c>
      <c r="D457" t="str">
        <f t="shared" si="14"/>
        <v>X</v>
      </c>
      <c r="E457" t="s">
        <v>1253</v>
      </c>
      <c r="F457" t="s">
        <v>3819</v>
      </c>
      <c r="G457" t="s">
        <v>3820</v>
      </c>
      <c r="H457" t="s">
        <v>4443</v>
      </c>
      <c r="I457" t="s">
        <v>3104</v>
      </c>
      <c r="J457" t="str">
        <f>IF(0 = IFERROR(VLOOKUP(DBL_FullList!I457, ContactsDbl!B:D, 2, FALSE), ""), "", IFERROR(VLOOKUP(DBL_FullList!I457, ContactsDbl!B:D, 2, FALSE), ""))</f>
        <v/>
      </c>
      <c r="K457" t="str">
        <f>IF(0 = IFERROR(VLOOKUP(DBL_FullList!I457,ContactsDbl!B:D, 3, FALSE), ""), "", IFERROR(VLOOKUP(DBL_FullList!I457, ContactsDbl!B:D, 3, FALSE), ""))</f>
        <v/>
      </c>
      <c r="L457">
        <f t="shared" si="15"/>
        <v>0</v>
      </c>
    </row>
    <row r="458" spans="1:12" x14ac:dyDescent="0.25">
      <c r="A458" t="s">
        <v>4444</v>
      </c>
      <c r="B458" t="str">
        <f>IF(ISERROR(VLOOKUP(F458,STEP!A:A, 1, FALSE)), "N", "Y")</f>
        <v>N</v>
      </c>
      <c r="C458" t="str">
        <f>IF(ISERROR(VLOOKUP(E458, BibleInEveryLanguageTexts!A:A, 1, FALSE)), "N", "Y")</f>
        <v>N</v>
      </c>
      <c r="D458" t="str">
        <f t="shared" si="14"/>
        <v>X</v>
      </c>
      <c r="E458" t="s">
        <v>4445</v>
      </c>
      <c r="F458" t="s">
        <v>4446</v>
      </c>
      <c r="G458" t="s">
        <v>171</v>
      </c>
      <c r="H458" t="s">
        <v>4447</v>
      </c>
      <c r="I458" t="s">
        <v>168</v>
      </c>
      <c r="J458" t="str">
        <f>IF(0 = IFERROR(VLOOKUP(DBL_FullList!I458, ContactsDbl!B:D, 2, FALSE), ""), "", IFERROR(VLOOKUP(DBL_FullList!I458, ContactsDbl!B:D, 2, FALSE), ""))</f>
        <v>admin@biblesociety-ethiopia.org</v>
      </c>
      <c r="K458" t="str">
        <f>IF(0 = IFERROR(VLOOKUP(DBL_FullList!I458,ContactsDbl!B:D, 3, FALSE), ""), "", IFERROR(VLOOKUP(DBL_FullList!I458, ContactsDbl!B:D, 3, FALSE), ""))</f>
        <v>http://biblesociety-ethiopia.org</v>
      </c>
      <c r="L458">
        <f t="shared" si="15"/>
        <v>2</v>
      </c>
    </row>
    <row r="459" spans="1:12" x14ac:dyDescent="0.25">
      <c r="A459" t="s">
        <v>4448</v>
      </c>
      <c r="B459" t="str">
        <f>IF(ISERROR(VLOOKUP(F459,STEP!A:A, 1, FALSE)), "N", "Y")</f>
        <v>Y</v>
      </c>
      <c r="C459" t="str">
        <f>IF(ISERROR(VLOOKUP(E459, BibleInEveryLanguageTexts!A:A, 1, FALSE)), "N", "Y")</f>
        <v>N</v>
      </c>
      <c r="D459" t="str">
        <f t="shared" si="14"/>
        <v/>
      </c>
      <c r="E459" t="s">
        <v>4449</v>
      </c>
      <c r="F459" t="s">
        <v>4450</v>
      </c>
      <c r="G459" t="s">
        <v>48</v>
      </c>
      <c r="H459" t="s">
        <v>4451</v>
      </c>
      <c r="I459" t="s">
        <v>2661</v>
      </c>
      <c r="J459" t="str">
        <f>IF(0 = IFERROR(VLOOKUP(DBL_FullList!I459, ContactsDbl!B:D, 2, FALSE), ""), "", IFERROR(VLOOKUP(DBL_FullList!I459, ContactsDbl!B:D, 2, FALSE), ""))</f>
        <v>dbladmin_intl@sil.org</v>
      </c>
      <c r="K459" t="str">
        <f>IF(0 = IFERROR(VLOOKUP(DBL_FullList!I459,ContactsDbl!B:D, 3, FALSE), ""), "", IFERROR(VLOOKUP(DBL_FullList!I459, ContactsDbl!B:D, 3, FALSE), ""))</f>
        <v>http://www.wycliffe.org</v>
      </c>
      <c r="L459">
        <f t="shared" si="15"/>
        <v>2</v>
      </c>
    </row>
    <row r="460" spans="1:12" x14ac:dyDescent="0.25">
      <c r="A460" t="s">
        <v>4452</v>
      </c>
      <c r="B460" t="str">
        <f>IF(ISERROR(VLOOKUP(F460,STEP!A:A, 1, FALSE)), "N", "Y")</f>
        <v>N</v>
      </c>
      <c r="C460" t="str">
        <f>IF(ISERROR(VLOOKUP(E460, BibleInEveryLanguageTexts!A:A, 1, FALSE)), "N", "Y")</f>
        <v>Y</v>
      </c>
      <c r="D460" t="str">
        <f t="shared" si="14"/>
        <v/>
      </c>
      <c r="E460" t="s">
        <v>1846</v>
      </c>
      <c r="F460" t="s">
        <v>4356</v>
      </c>
      <c r="G460" t="s">
        <v>2997</v>
      </c>
      <c r="H460" t="s">
        <v>4453</v>
      </c>
      <c r="I460" t="s">
        <v>1997</v>
      </c>
      <c r="J460" t="str">
        <f>IF(0 = IFERROR(VLOOKUP(DBL_FullList!I460, ContactsDbl!B:D, 2, FALSE), ""), "", IFERROR(VLOOKUP(DBL_FullList!I460, ContactsDbl!B:D, 2, FALSE), ""))</f>
        <v>Lee.Harris@biblica.com</v>
      </c>
      <c r="K460" t="str">
        <f>IF(0 = IFERROR(VLOOKUP(DBL_FullList!I460,ContactsDbl!B:D, 3, FALSE), ""), "", IFERROR(VLOOKUP(DBL_FullList!I460, ContactsDbl!B:D, 3, FALSE), ""))</f>
        <v>http://www.Biblica.com</v>
      </c>
      <c r="L460">
        <f t="shared" si="15"/>
        <v>2</v>
      </c>
    </row>
    <row r="461" spans="1:12" x14ac:dyDescent="0.25">
      <c r="A461" t="s">
        <v>4454</v>
      </c>
      <c r="B461" t="str">
        <f>IF(ISERROR(VLOOKUP(F461,STEP!A:A, 1, FALSE)), "N", "Y")</f>
        <v>N</v>
      </c>
      <c r="C461" t="str">
        <f>IF(ISERROR(VLOOKUP(E461, BibleInEveryLanguageTexts!A:A, 1, FALSE)), "N", "Y")</f>
        <v>N</v>
      </c>
      <c r="D461" t="str">
        <f t="shared" si="14"/>
        <v>X</v>
      </c>
      <c r="E461" t="s">
        <v>2726</v>
      </c>
      <c r="F461" t="s">
        <v>2727</v>
      </c>
      <c r="G461" t="s">
        <v>2728</v>
      </c>
      <c r="H461" t="s">
        <v>4455</v>
      </c>
      <c r="I461" t="s">
        <v>2084</v>
      </c>
      <c r="J461" t="str">
        <f>IF(0 = IFERROR(VLOOKUP(DBL_FullList!I461, ContactsDbl!B:D, 2, FALSE), ""), "", IFERROR(VLOOKUP(DBL_FullList!I461, ContactsDbl!B:D, 2, FALSE), ""))</f>
        <v>pzlateski@yahoo.it</v>
      </c>
      <c r="K461" t="str">
        <f>IF(0 = IFERROR(VLOOKUP(DBL_FullList!I461,ContactsDbl!B:D, 3, FALSE), ""), "", IFERROR(VLOOKUP(DBL_FullList!I461, ContactsDbl!B:D, 3, FALSE), ""))</f>
        <v/>
      </c>
      <c r="L461">
        <f t="shared" si="15"/>
        <v>2</v>
      </c>
    </row>
    <row r="462" spans="1:12" x14ac:dyDescent="0.25">
      <c r="A462" t="s">
        <v>4456</v>
      </c>
      <c r="B462" t="str">
        <f>IF(ISERROR(VLOOKUP(F462,STEP!A:A, 1, FALSE)), "N", "Y")</f>
        <v>N</v>
      </c>
      <c r="C462" t="str">
        <f>IF(ISERROR(VLOOKUP(E462, BibleInEveryLanguageTexts!A:A, 1, FALSE)), "N", "Y")</f>
        <v>N</v>
      </c>
      <c r="D462" t="str">
        <f t="shared" si="14"/>
        <v>X</v>
      </c>
      <c r="E462" t="s">
        <v>4457</v>
      </c>
      <c r="F462" t="s">
        <v>4458</v>
      </c>
      <c r="G462" t="s">
        <v>4459</v>
      </c>
      <c r="H462" t="s">
        <v>4460</v>
      </c>
      <c r="I462" t="s">
        <v>3104</v>
      </c>
      <c r="J462" t="str">
        <f>IF(0 = IFERROR(VLOOKUP(DBL_FullList!I462, ContactsDbl!B:D, 2, FALSE), ""), "", IFERROR(VLOOKUP(DBL_FullList!I462, ContactsDbl!B:D, 2, FALSE), ""))</f>
        <v/>
      </c>
      <c r="K462" t="str">
        <f>IF(0 = IFERROR(VLOOKUP(DBL_FullList!I462,ContactsDbl!B:D, 3, FALSE), ""), "", IFERROR(VLOOKUP(DBL_FullList!I462, ContactsDbl!B:D, 3, FALSE), ""))</f>
        <v/>
      </c>
      <c r="L462">
        <f t="shared" si="15"/>
        <v>0</v>
      </c>
    </row>
    <row r="463" spans="1:12" x14ac:dyDescent="0.25">
      <c r="A463" t="s">
        <v>4461</v>
      </c>
      <c r="B463" t="str">
        <f>IF(ISERROR(VLOOKUP(F463,STEP!A:A, 1, FALSE)), "N", "Y")</f>
        <v>N</v>
      </c>
      <c r="C463" t="str">
        <f>IF(ISERROR(VLOOKUP(E463, BibleInEveryLanguageTexts!A:A, 1, FALSE)), "N", "Y")</f>
        <v>N</v>
      </c>
      <c r="D463" t="str">
        <f t="shared" si="14"/>
        <v>X</v>
      </c>
      <c r="E463" t="s">
        <v>4462</v>
      </c>
      <c r="F463" t="s">
        <v>4463</v>
      </c>
      <c r="G463" t="s">
        <v>218</v>
      </c>
      <c r="H463" t="s">
        <v>4464</v>
      </c>
      <c r="I463" t="s">
        <v>3104</v>
      </c>
      <c r="J463" t="str">
        <f>IF(0 = IFERROR(VLOOKUP(DBL_FullList!I463, ContactsDbl!B:D, 2, FALSE), ""), "", IFERROR(VLOOKUP(DBL_FullList!I463, ContactsDbl!B:D, 2, FALSE), ""))</f>
        <v/>
      </c>
      <c r="K463" t="str">
        <f>IF(0 = IFERROR(VLOOKUP(DBL_FullList!I463,ContactsDbl!B:D, 3, FALSE), ""), "", IFERROR(VLOOKUP(DBL_FullList!I463, ContactsDbl!B:D, 3, FALSE), ""))</f>
        <v/>
      </c>
      <c r="L463">
        <f t="shared" si="15"/>
        <v>0</v>
      </c>
    </row>
    <row r="464" spans="1:12" x14ac:dyDescent="0.25">
      <c r="A464" t="s">
        <v>4465</v>
      </c>
      <c r="B464" t="str">
        <f>IF(ISERROR(VLOOKUP(F464,STEP!A:A, 1, FALSE)), "N", "Y")</f>
        <v>N</v>
      </c>
      <c r="C464" t="str">
        <f>IF(ISERROR(VLOOKUP(E464, BibleInEveryLanguageTexts!A:A, 1, FALSE)), "N", "Y")</f>
        <v>N</v>
      </c>
      <c r="D464" t="str">
        <f t="shared" si="14"/>
        <v>X</v>
      </c>
      <c r="E464" t="s">
        <v>4466</v>
      </c>
      <c r="F464" t="s">
        <v>4467</v>
      </c>
      <c r="G464" t="s">
        <v>48</v>
      </c>
      <c r="H464" t="s">
        <v>4468</v>
      </c>
      <c r="I464" t="s">
        <v>2661</v>
      </c>
      <c r="J464" t="str">
        <f>IF(0 = IFERROR(VLOOKUP(DBL_FullList!I464, ContactsDbl!B:D, 2, FALSE), ""), "", IFERROR(VLOOKUP(DBL_FullList!I464, ContactsDbl!B:D, 2, FALSE), ""))</f>
        <v>dbladmin_intl@sil.org</v>
      </c>
      <c r="K464" t="str">
        <f>IF(0 = IFERROR(VLOOKUP(DBL_FullList!I464,ContactsDbl!B:D, 3, FALSE), ""), "", IFERROR(VLOOKUP(DBL_FullList!I464, ContactsDbl!B:D, 3, FALSE), ""))</f>
        <v>http://www.wycliffe.org</v>
      </c>
      <c r="L464">
        <f t="shared" si="15"/>
        <v>2</v>
      </c>
    </row>
    <row r="465" spans="1:12" x14ac:dyDescent="0.25">
      <c r="A465" t="s">
        <v>4469</v>
      </c>
      <c r="B465" t="str">
        <f>IF(ISERROR(VLOOKUP(F465,STEP!A:A, 1, FALSE)), "N", "Y")</f>
        <v>N</v>
      </c>
      <c r="C465" t="str">
        <f>IF(ISERROR(VLOOKUP(E465, BibleInEveryLanguageTexts!A:A, 1, FALSE)), "N", "Y")</f>
        <v>N</v>
      </c>
      <c r="D465" t="str">
        <f t="shared" si="14"/>
        <v>X</v>
      </c>
      <c r="E465" t="s">
        <v>4470</v>
      </c>
      <c r="F465" t="s">
        <v>4471</v>
      </c>
      <c r="G465" t="s">
        <v>4305</v>
      </c>
      <c r="H465" t="s">
        <v>4472</v>
      </c>
      <c r="I465" t="s">
        <v>2114</v>
      </c>
      <c r="J465" t="str">
        <f>IF(0 = IFERROR(VLOOKUP(DBL_FullList!I465, ContactsDbl!B:D, 2, FALSE), ""), "", IFERROR(VLOOKUP(DBL_FullList!I465, ContactsDbl!B:D, 2, FALSE), ""))</f>
        <v>gensec@biblesociety-zimbabwe.org</v>
      </c>
      <c r="K465" t="str">
        <f>IF(0 = IFERROR(VLOOKUP(DBL_FullList!I465,ContactsDbl!B:D, 3, FALSE), ""), "", IFERROR(VLOOKUP(DBL_FullList!I465, ContactsDbl!B:D, 3, FALSE), ""))</f>
        <v>http://biblesociety-zimbabwe.org</v>
      </c>
      <c r="L465">
        <f t="shared" si="15"/>
        <v>2</v>
      </c>
    </row>
    <row r="466" spans="1:12" x14ac:dyDescent="0.25">
      <c r="A466" t="s">
        <v>4473</v>
      </c>
      <c r="B466" t="str">
        <f>IF(ISERROR(VLOOKUP(F466,STEP!A:A, 1, FALSE)), "N", "Y")</f>
        <v>N</v>
      </c>
      <c r="C466" t="str">
        <f>IF(ISERROR(VLOOKUP(E466, BibleInEveryLanguageTexts!A:A, 1, FALSE)), "N", "Y")</f>
        <v>N</v>
      </c>
      <c r="D466" t="str">
        <f t="shared" si="14"/>
        <v>X</v>
      </c>
      <c r="E466" t="s">
        <v>4474</v>
      </c>
      <c r="F466" t="s">
        <v>4475</v>
      </c>
      <c r="G466" t="s">
        <v>20</v>
      </c>
      <c r="H466" t="s">
        <v>4476</v>
      </c>
      <c r="I466" t="s">
        <v>2329</v>
      </c>
      <c r="J466" t="str">
        <f>IF(0 = IFERROR(VLOOKUP(DBL_FullList!I466, ContactsDbl!B:D, 2, FALSE), ""), "", IFERROR(VLOOKUP(DBL_FullList!I466, ContactsDbl!B:D, 2, FALSE), ""))</f>
        <v/>
      </c>
      <c r="K466" t="str">
        <f>IF(0 = IFERROR(VLOOKUP(DBL_FullList!I466,ContactsDbl!B:D, 3, FALSE), ""), "", IFERROR(VLOOKUP(DBL_FullList!I466, ContactsDbl!B:D, 3, FALSE), ""))</f>
        <v>http://www.bsind.org/</v>
      </c>
      <c r="L466">
        <f t="shared" si="15"/>
        <v>1</v>
      </c>
    </row>
    <row r="467" spans="1:12" x14ac:dyDescent="0.25">
      <c r="A467" t="s">
        <v>4477</v>
      </c>
      <c r="B467" t="str">
        <f>IF(ISERROR(VLOOKUP(F467,STEP!A:A, 1, FALSE)), "N", "Y")</f>
        <v>N</v>
      </c>
      <c r="C467" t="str">
        <f>IF(ISERROR(VLOOKUP(E467, BibleInEveryLanguageTexts!A:A, 1, FALSE)), "N", "Y")</f>
        <v>N</v>
      </c>
      <c r="D467" t="str">
        <f t="shared" si="14"/>
        <v>X</v>
      </c>
      <c r="E467" t="s">
        <v>1439</v>
      </c>
      <c r="F467" t="s">
        <v>4304</v>
      </c>
      <c r="G467" t="s">
        <v>4305</v>
      </c>
      <c r="H467" t="s">
        <v>4306</v>
      </c>
      <c r="I467" t="s">
        <v>2114</v>
      </c>
      <c r="J467" t="str">
        <f>IF(0 = IFERROR(VLOOKUP(DBL_FullList!I467, ContactsDbl!B:D, 2, FALSE), ""), "", IFERROR(VLOOKUP(DBL_FullList!I467, ContactsDbl!B:D, 2, FALSE), ""))</f>
        <v>gensec@biblesociety-zimbabwe.org</v>
      </c>
      <c r="K467" t="str">
        <f>IF(0 = IFERROR(VLOOKUP(DBL_FullList!I467,ContactsDbl!B:D, 3, FALSE), ""), "", IFERROR(VLOOKUP(DBL_FullList!I467, ContactsDbl!B:D, 3, FALSE), ""))</f>
        <v>http://biblesociety-zimbabwe.org</v>
      </c>
      <c r="L467">
        <f t="shared" si="15"/>
        <v>2</v>
      </c>
    </row>
    <row r="468" spans="1:12" x14ac:dyDescent="0.25">
      <c r="A468" t="s">
        <v>4478</v>
      </c>
      <c r="B468" t="str">
        <f>IF(ISERROR(VLOOKUP(F468,STEP!A:A, 1, FALSE)), "N", "Y")</f>
        <v>N</v>
      </c>
      <c r="C468" t="str">
        <f>IF(ISERROR(VLOOKUP(E468, BibleInEveryLanguageTexts!A:A, 1, FALSE)), "N", "Y")</f>
        <v>N</v>
      </c>
      <c r="D468" t="str">
        <f t="shared" si="14"/>
        <v>X</v>
      </c>
      <c r="E468" t="s">
        <v>4479</v>
      </c>
      <c r="F468" t="s">
        <v>4471</v>
      </c>
      <c r="G468" t="s">
        <v>4305</v>
      </c>
      <c r="H468" t="s">
        <v>4480</v>
      </c>
      <c r="I468" t="s">
        <v>2114</v>
      </c>
      <c r="J468" t="str">
        <f>IF(0 = IFERROR(VLOOKUP(DBL_FullList!I468, ContactsDbl!B:D, 2, FALSE), ""), "", IFERROR(VLOOKUP(DBL_FullList!I468, ContactsDbl!B:D, 2, FALSE), ""))</f>
        <v>gensec@biblesociety-zimbabwe.org</v>
      </c>
      <c r="K468" t="str">
        <f>IF(0 = IFERROR(VLOOKUP(DBL_FullList!I468,ContactsDbl!B:D, 3, FALSE), ""), "", IFERROR(VLOOKUP(DBL_FullList!I468, ContactsDbl!B:D, 3, FALSE), ""))</f>
        <v>http://biblesociety-zimbabwe.org</v>
      </c>
      <c r="L468">
        <f t="shared" si="15"/>
        <v>2</v>
      </c>
    </row>
    <row r="469" spans="1:12" x14ac:dyDescent="0.25">
      <c r="A469" t="s">
        <v>4481</v>
      </c>
      <c r="B469" t="str">
        <f>IF(ISERROR(VLOOKUP(F469,STEP!A:A, 1, FALSE)), "N", "Y")</f>
        <v>Y</v>
      </c>
      <c r="C469" t="str">
        <f>IF(ISERROR(VLOOKUP(E469, BibleInEveryLanguageTexts!A:A, 1, FALSE)), "N", "Y")</f>
        <v>N</v>
      </c>
      <c r="D469" t="str">
        <f t="shared" si="14"/>
        <v/>
      </c>
      <c r="E469" t="s">
        <v>4482</v>
      </c>
      <c r="F469" t="s">
        <v>4483</v>
      </c>
      <c r="G469" t="s">
        <v>48</v>
      </c>
      <c r="H469" t="s">
        <v>4484</v>
      </c>
      <c r="I469" t="s">
        <v>2661</v>
      </c>
      <c r="J469" t="str">
        <f>IF(0 = IFERROR(VLOOKUP(DBL_FullList!I469, ContactsDbl!B:D, 2, FALSE), ""), "", IFERROR(VLOOKUP(DBL_FullList!I469, ContactsDbl!B:D, 2, FALSE), ""))</f>
        <v>dbladmin_intl@sil.org</v>
      </c>
      <c r="K469" t="str">
        <f>IF(0 = IFERROR(VLOOKUP(DBL_FullList!I469,ContactsDbl!B:D, 3, FALSE), ""), "", IFERROR(VLOOKUP(DBL_FullList!I469, ContactsDbl!B:D, 3, FALSE), ""))</f>
        <v>http://www.wycliffe.org</v>
      </c>
      <c r="L469">
        <f t="shared" si="15"/>
        <v>2</v>
      </c>
    </row>
    <row r="470" spans="1:12" x14ac:dyDescent="0.25">
      <c r="A470" t="s">
        <v>4485</v>
      </c>
      <c r="B470" t="str">
        <f>IF(ISERROR(VLOOKUP(F470,STEP!A:A, 1, FALSE)), "N", "Y")</f>
        <v>N</v>
      </c>
      <c r="C470" t="str">
        <f>IF(ISERROR(VLOOKUP(E470, BibleInEveryLanguageTexts!A:A, 1, FALSE)), "N", "Y")</f>
        <v>N</v>
      </c>
      <c r="D470" t="str">
        <f t="shared" si="14"/>
        <v>X</v>
      </c>
      <c r="E470" t="s">
        <v>4486</v>
      </c>
      <c r="F470" t="s">
        <v>4487</v>
      </c>
      <c r="G470" t="s">
        <v>2838</v>
      </c>
      <c r="H470" t="s">
        <v>4488</v>
      </c>
      <c r="I470" t="s">
        <v>2661</v>
      </c>
      <c r="J470" t="str">
        <f>IF(0 = IFERROR(VLOOKUP(DBL_FullList!I470, ContactsDbl!B:D, 2, FALSE), ""), "", IFERROR(VLOOKUP(DBL_FullList!I470, ContactsDbl!B:D, 2, FALSE), ""))</f>
        <v>dbladmin_intl@sil.org</v>
      </c>
      <c r="K470" t="str">
        <f>IF(0 = IFERROR(VLOOKUP(DBL_FullList!I470,ContactsDbl!B:D, 3, FALSE), ""), "", IFERROR(VLOOKUP(DBL_FullList!I470, ContactsDbl!B:D, 3, FALSE), ""))</f>
        <v>http://www.wycliffe.org</v>
      </c>
      <c r="L470">
        <f t="shared" si="15"/>
        <v>2</v>
      </c>
    </row>
    <row r="471" spans="1:12" x14ac:dyDescent="0.25">
      <c r="A471" t="s">
        <v>4489</v>
      </c>
      <c r="B471" t="str">
        <f>IF(ISERROR(VLOOKUP(F471,STEP!A:A, 1, FALSE)), "N", "Y")</f>
        <v>N</v>
      </c>
      <c r="C471" t="str">
        <f>IF(ISERROR(VLOOKUP(E471, BibleInEveryLanguageTexts!A:A, 1, FALSE)), "N", "Y")</f>
        <v>N</v>
      </c>
      <c r="D471" t="str">
        <f t="shared" si="14"/>
        <v>X</v>
      </c>
      <c r="E471" t="s">
        <v>4490</v>
      </c>
      <c r="F471" t="s">
        <v>4491</v>
      </c>
      <c r="G471" t="s">
        <v>3133</v>
      </c>
      <c r="H471" t="s">
        <v>4492</v>
      </c>
      <c r="I471" t="s">
        <v>2264</v>
      </c>
      <c r="J471" t="str">
        <f>IF(0 = IFERROR(VLOOKUP(DBL_FullList!I471, ContactsDbl!B:D, 2, FALSE), ""), "", IFERROR(VLOOKUP(DBL_FullList!I471, ContactsDbl!B:D, 2, FALSE), ""))</f>
        <v/>
      </c>
      <c r="K471" t="str">
        <f>IF(0 = IFERROR(VLOOKUP(DBL_FullList!I471,ContactsDbl!B:D, 3, FALSE), ""), "", IFERROR(VLOOKUP(DBL_FullList!I471, ContactsDbl!B:D, 3, FALSE), ""))</f>
        <v>http://www.sbiblica.org</v>
      </c>
      <c r="L471">
        <f t="shared" si="15"/>
        <v>1</v>
      </c>
    </row>
    <row r="472" spans="1:12" x14ac:dyDescent="0.25">
      <c r="A472" t="s">
        <v>4493</v>
      </c>
      <c r="B472" t="str">
        <f>IF(ISERROR(VLOOKUP(F472,STEP!A:A, 1, FALSE)), "N", "Y")</f>
        <v>N</v>
      </c>
      <c r="C472" t="str">
        <f>IF(ISERROR(VLOOKUP(E472, BibleInEveryLanguageTexts!A:A, 1, FALSE)), "N", "Y")</f>
        <v>N</v>
      </c>
      <c r="D472" t="str">
        <f t="shared" si="14"/>
        <v>X</v>
      </c>
      <c r="E472" t="s">
        <v>4494</v>
      </c>
      <c r="F472" t="s">
        <v>4495</v>
      </c>
      <c r="G472" t="s">
        <v>4305</v>
      </c>
      <c r="H472" t="s">
        <v>4496</v>
      </c>
      <c r="I472" t="s">
        <v>2114</v>
      </c>
      <c r="J472" t="str">
        <f>IF(0 = IFERROR(VLOOKUP(DBL_FullList!I472, ContactsDbl!B:D, 2, FALSE), ""), "", IFERROR(VLOOKUP(DBL_FullList!I472, ContactsDbl!B:D, 2, FALSE), ""))</f>
        <v>gensec@biblesociety-zimbabwe.org</v>
      </c>
      <c r="K472" t="str">
        <f>IF(0 = IFERROR(VLOOKUP(DBL_FullList!I472,ContactsDbl!B:D, 3, FALSE), ""), "", IFERROR(VLOOKUP(DBL_FullList!I472, ContactsDbl!B:D, 3, FALSE), ""))</f>
        <v>http://biblesociety-zimbabwe.org</v>
      </c>
      <c r="L472">
        <f t="shared" si="15"/>
        <v>2</v>
      </c>
    </row>
    <row r="473" spans="1:12" x14ac:dyDescent="0.25">
      <c r="A473" t="s">
        <v>4497</v>
      </c>
      <c r="B473" t="str">
        <f>IF(ISERROR(VLOOKUP(F473,STEP!A:A, 1, FALSE)), "N", "Y")</f>
        <v>N</v>
      </c>
      <c r="C473" t="str">
        <f>IF(ISERROR(VLOOKUP(E473, BibleInEveryLanguageTexts!A:A, 1, FALSE)), "N", "Y")</f>
        <v>N</v>
      </c>
      <c r="D473" t="str">
        <f t="shared" si="14"/>
        <v>X</v>
      </c>
      <c r="E473" t="s">
        <v>4498</v>
      </c>
      <c r="F473" t="s">
        <v>4304</v>
      </c>
      <c r="G473" t="s">
        <v>4305</v>
      </c>
      <c r="H473" t="s">
        <v>4499</v>
      </c>
      <c r="I473" t="s">
        <v>2114</v>
      </c>
      <c r="J473" t="str">
        <f>IF(0 = IFERROR(VLOOKUP(DBL_FullList!I473, ContactsDbl!B:D, 2, FALSE), ""), "", IFERROR(VLOOKUP(DBL_FullList!I473, ContactsDbl!B:D, 2, FALSE), ""))</f>
        <v>gensec@biblesociety-zimbabwe.org</v>
      </c>
      <c r="K473" t="str">
        <f>IF(0 = IFERROR(VLOOKUP(DBL_FullList!I473,ContactsDbl!B:D, 3, FALSE), ""), "", IFERROR(VLOOKUP(DBL_FullList!I473, ContactsDbl!B:D, 3, FALSE), ""))</f>
        <v>http://biblesociety-zimbabwe.org</v>
      </c>
      <c r="L473">
        <f t="shared" si="15"/>
        <v>2</v>
      </c>
    </row>
    <row r="474" spans="1:12" x14ac:dyDescent="0.25">
      <c r="A474" t="s">
        <v>4500</v>
      </c>
      <c r="B474" t="str">
        <f>IF(ISERROR(VLOOKUP(F474,STEP!A:A, 1, FALSE)), "N", "Y")</f>
        <v>Y</v>
      </c>
      <c r="C474" t="str">
        <f>IF(ISERROR(VLOOKUP(E474, BibleInEveryLanguageTexts!A:A, 1, FALSE)), "N", "Y")</f>
        <v>N</v>
      </c>
      <c r="D474" t="str">
        <f t="shared" si="14"/>
        <v/>
      </c>
      <c r="E474" t="s">
        <v>4501</v>
      </c>
      <c r="F474" t="s">
        <v>4502</v>
      </c>
      <c r="G474" t="s">
        <v>48</v>
      </c>
      <c r="H474" t="s">
        <v>4503</v>
      </c>
      <c r="I474" t="s">
        <v>2661</v>
      </c>
      <c r="J474" t="str">
        <f>IF(0 = IFERROR(VLOOKUP(DBL_FullList!I474, ContactsDbl!B:D, 2, FALSE), ""), "", IFERROR(VLOOKUP(DBL_FullList!I474, ContactsDbl!B:D, 2, FALSE), ""))</f>
        <v>dbladmin_intl@sil.org</v>
      </c>
      <c r="K474" t="str">
        <f>IF(0 = IFERROR(VLOOKUP(DBL_FullList!I474,ContactsDbl!B:D, 3, FALSE), ""), "", IFERROR(VLOOKUP(DBL_FullList!I474, ContactsDbl!B:D, 3, FALSE), ""))</f>
        <v>http://www.wycliffe.org</v>
      </c>
      <c r="L474">
        <f t="shared" si="15"/>
        <v>2</v>
      </c>
    </row>
    <row r="475" spans="1:12" x14ac:dyDescent="0.25">
      <c r="A475" t="s">
        <v>4504</v>
      </c>
      <c r="B475" t="str">
        <f>IF(ISERROR(VLOOKUP(F475,STEP!A:A, 1, FALSE)), "N", "Y")</f>
        <v>N</v>
      </c>
      <c r="C475" t="str">
        <f>IF(ISERROR(VLOOKUP(E475, BibleInEveryLanguageTexts!A:A, 1, FALSE)), "N", "Y")</f>
        <v>N</v>
      </c>
      <c r="D475" t="str">
        <f t="shared" si="14"/>
        <v>X</v>
      </c>
      <c r="E475" t="s">
        <v>4505</v>
      </c>
      <c r="F475" t="s">
        <v>4384</v>
      </c>
      <c r="G475" t="s">
        <v>4385</v>
      </c>
      <c r="H475" t="s">
        <v>4506</v>
      </c>
      <c r="I475" t="s">
        <v>2587</v>
      </c>
      <c r="J475" t="str">
        <f>IF(0 = IFERROR(VLOOKUP(DBL_FullList!I475, ContactsDbl!B:D, 2, FALSE), ""), "", IFERROR(VLOOKUP(DBL_FullList!I475, ContactsDbl!B:D, 2, FALSE), ""))</f>
        <v>matjaz.crnivec@svetopismo.si</v>
      </c>
      <c r="K475" t="str">
        <f>IF(0 = IFERROR(VLOOKUP(DBL_FullList!I475,ContactsDbl!B:D, 3, FALSE), ""), "", IFERROR(VLOOKUP(DBL_FullList!I475, ContactsDbl!B:D, 3, FALSE), ""))</f>
        <v>www.svetopismo.si</v>
      </c>
      <c r="L475">
        <f t="shared" si="15"/>
        <v>2</v>
      </c>
    </row>
    <row r="476" spans="1:12" x14ac:dyDescent="0.25">
      <c r="A476" t="s">
        <v>4507</v>
      </c>
      <c r="B476" t="str">
        <f>IF(ISERROR(VLOOKUP(F476,STEP!A:A, 1, FALSE)), "N", "Y")</f>
        <v>Y</v>
      </c>
      <c r="C476" t="str">
        <f>IF(ISERROR(VLOOKUP(E476, BibleInEveryLanguageTexts!A:A, 1, FALSE)), "N", "Y")</f>
        <v>N</v>
      </c>
      <c r="D476" t="str">
        <f t="shared" si="14"/>
        <v/>
      </c>
      <c r="E476" t="s">
        <v>4508</v>
      </c>
      <c r="F476" t="s">
        <v>4509</v>
      </c>
      <c r="G476" t="s">
        <v>48</v>
      </c>
      <c r="H476" t="s">
        <v>4510</v>
      </c>
      <c r="I476" t="s">
        <v>2661</v>
      </c>
      <c r="J476" t="str">
        <f>IF(0 = IFERROR(VLOOKUP(DBL_FullList!I476, ContactsDbl!B:D, 2, FALSE), ""), "", IFERROR(VLOOKUP(DBL_FullList!I476, ContactsDbl!B:D, 2, FALSE), ""))</f>
        <v>dbladmin_intl@sil.org</v>
      </c>
      <c r="K476" t="str">
        <f>IF(0 = IFERROR(VLOOKUP(DBL_FullList!I476,ContactsDbl!B:D, 3, FALSE), ""), "", IFERROR(VLOOKUP(DBL_FullList!I476, ContactsDbl!B:D, 3, FALSE), ""))</f>
        <v>http://www.wycliffe.org</v>
      </c>
      <c r="L476">
        <f t="shared" si="15"/>
        <v>2</v>
      </c>
    </row>
    <row r="477" spans="1:12" x14ac:dyDescent="0.25">
      <c r="A477" t="s">
        <v>4511</v>
      </c>
      <c r="B477" t="str">
        <f>IF(ISERROR(VLOOKUP(F477,STEP!A:A, 1, FALSE)), "N", "Y")</f>
        <v>N</v>
      </c>
      <c r="C477" t="str">
        <f>IF(ISERROR(VLOOKUP(E477, BibleInEveryLanguageTexts!A:A, 1, FALSE)), "N", "Y")</f>
        <v>N</v>
      </c>
      <c r="D477" t="str">
        <f t="shared" si="14"/>
        <v>X</v>
      </c>
      <c r="E477" t="s">
        <v>4512</v>
      </c>
      <c r="F477" t="s">
        <v>4513</v>
      </c>
      <c r="G477" t="s">
        <v>2838</v>
      </c>
      <c r="H477" t="s">
        <v>4514</v>
      </c>
      <c r="I477" t="s">
        <v>2025</v>
      </c>
      <c r="J477" t="str">
        <f>IF(0 = IFERROR(VLOOKUP(DBL_FullList!I477, ContactsDbl!B:D, 2, FALSE), ""), "", IFERROR(VLOOKUP(DBL_FullList!I477, ContactsDbl!B:D, 2, FALSE), ""))</f>
        <v>abbf@biblesociety-bf.org</v>
      </c>
      <c r="K477" t="str">
        <f>IF(0 = IFERROR(VLOOKUP(DBL_FullList!I477,ContactsDbl!B:D, 3, FALSE), ""), "", IFERROR(VLOOKUP(DBL_FullList!I477, ContactsDbl!B:D, 3, FALSE), ""))</f>
        <v>http://alliancebiblique-bf.org/</v>
      </c>
      <c r="L477">
        <f t="shared" si="15"/>
        <v>2</v>
      </c>
    </row>
    <row r="478" spans="1:12" x14ac:dyDescent="0.25">
      <c r="A478" t="s">
        <v>4515</v>
      </c>
      <c r="B478" t="str">
        <f>IF(ISERROR(VLOOKUP(F478,STEP!A:A, 1, FALSE)), "N", "Y")</f>
        <v>N</v>
      </c>
      <c r="C478" t="str">
        <f>IF(ISERROR(VLOOKUP(E478, BibleInEveryLanguageTexts!A:A, 1, FALSE)), "N", "Y")</f>
        <v>N</v>
      </c>
      <c r="D478" t="str">
        <f t="shared" si="14"/>
        <v>X</v>
      </c>
      <c r="E478" t="s">
        <v>4516</v>
      </c>
      <c r="F478" t="s">
        <v>4517</v>
      </c>
      <c r="G478" t="s">
        <v>2723</v>
      </c>
      <c r="H478" t="s">
        <v>4518</v>
      </c>
      <c r="I478" t="s">
        <v>2661</v>
      </c>
      <c r="J478" t="str">
        <f>IF(0 = IFERROR(VLOOKUP(DBL_FullList!I478, ContactsDbl!B:D, 2, FALSE), ""), "", IFERROR(VLOOKUP(DBL_FullList!I478, ContactsDbl!B:D, 2, FALSE), ""))</f>
        <v>dbladmin_intl@sil.org</v>
      </c>
      <c r="K478" t="str">
        <f>IF(0 = IFERROR(VLOOKUP(DBL_FullList!I478,ContactsDbl!B:D, 3, FALSE), ""), "", IFERROR(VLOOKUP(DBL_FullList!I478, ContactsDbl!B:D, 3, FALSE), ""))</f>
        <v>http://www.wycliffe.org</v>
      </c>
      <c r="L478">
        <f t="shared" si="15"/>
        <v>2</v>
      </c>
    </row>
    <row r="479" spans="1:12" x14ac:dyDescent="0.25">
      <c r="A479" t="s">
        <v>4519</v>
      </c>
      <c r="B479" t="str">
        <f>IF(ISERROR(VLOOKUP(F479,STEP!A:A, 1, FALSE)), "N", "Y")</f>
        <v>N</v>
      </c>
      <c r="C479" t="str">
        <f>IF(ISERROR(VLOOKUP(E479, BibleInEveryLanguageTexts!A:A, 1, FALSE)), "N", "Y")</f>
        <v>N</v>
      </c>
      <c r="D479" t="str">
        <f t="shared" si="14"/>
        <v>X</v>
      </c>
      <c r="E479" t="s">
        <v>4520</v>
      </c>
      <c r="F479" t="s">
        <v>4521</v>
      </c>
      <c r="G479" t="s">
        <v>27</v>
      </c>
      <c r="H479" t="s">
        <v>4522</v>
      </c>
      <c r="I479" t="s">
        <v>3104</v>
      </c>
      <c r="J479" t="str">
        <f>IF(0 = IFERROR(VLOOKUP(DBL_FullList!I479, ContactsDbl!B:D, 2, FALSE), ""), "", IFERROR(VLOOKUP(DBL_FullList!I479, ContactsDbl!B:D, 2, FALSE), ""))</f>
        <v/>
      </c>
      <c r="K479" t="str">
        <f>IF(0 = IFERROR(VLOOKUP(DBL_FullList!I479,ContactsDbl!B:D, 3, FALSE), ""), "", IFERROR(VLOOKUP(DBL_FullList!I479, ContactsDbl!B:D, 3, FALSE), ""))</f>
        <v/>
      </c>
      <c r="L479">
        <f t="shared" si="15"/>
        <v>0</v>
      </c>
    </row>
    <row r="480" spans="1:12" x14ac:dyDescent="0.25">
      <c r="A480" t="s">
        <v>4523</v>
      </c>
      <c r="B480" t="str">
        <f>IF(ISERROR(VLOOKUP(F480,STEP!A:A, 1, FALSE)), "N", "Y")</f>
        <v>N</v>
      </c>
      <c r="C480" t="str">
        <f>IF(ISERROR(VLOOKUP(E480, BibleInEveryLanguageTexts!A:A, 1, FALSE)), "N", "Y")</f>
        <v>N</v>
      </c>
      <c r="D480" t="str">
        <f t="shared" si="14"/>
        <v>X</v>
      </c>
      <c r="E480" t="s">
        <v>4524</v>
      </c>
      <c r="F480" t="s">
        <v>4525</v>
      </c>
      <c r="G480" t="s">
        <v>2824</v>
      </c>
      <c r="H480" t="s">
        <v>4526</v>
      </c>
      <c r="I480" t="s">
        <v>2493</v>
      </c>
      <c r="J480" t="str">
        <f>IF(0 = IFERROR(VLOOKUP(DBL_FullList!I480, ContactsDbl!B:D, 2, FALSE), ""), "", IFERROR(VLOOKUP(DBL_FullList!I480, ContactsDbl!B:D, 2, FALSE), ""))</f>
        <v/>
      </c>
      <c r="K480" t="str">
        <f>IF(0 = IFERROR(VLOOKUP(DBL_FullList!I480,ContactsDbl!B:D, 3, FALSE), ""), "", IFERROR(VLOOKUP(DBL_FullList!I480, ContactsDbl!B:D, 3, FALSE), ""))</f>
        <v>http://sbp.org.py</v>
      </c>
      <c r="L480">
        <f t="shared" si="15"/>
        <v>1</v>
      </c>
    </row>
    <row r="481" spans="1:12" x14ac:dyDescent="0.25">
      <c r="A481" t="s">
        <v>4527</v>
      </c>
      <c r="B481" t="str">
        <f>IF(ISERROR(VLOOKUP(F481,STEP!A:A, 1, FALSE)), "N", "Y")</f>
        <v>Y</v>
      </c>
      <c r="C481" t="str">
        <f>IF(ISERROR(VLOOKUP(E481, BibleInEveryLanguageTexts!A:A, 1, FALSE)), "N", "Y")</f>
        <v>N</v>
      </c>
      <c r="D481" t="str">
        <f t="shared" si="14"/>
        <v/>
      </c>
      <c r="E481" t="s">
        <v>4528</v>
      </c>
      <c r="F481" t="s">
        <v>4529</v>
      </c>
      <c r="G481" t="s">
        <v>48</v>
      </c>
      <c r="H481" t="s">
        <v>4530</v>
      </c>
      <c r="I481" t="s">
        <v>2661</v>
      </c>
      <c r="J481" t="str">
        <f>IF(0 = IFERROR(VLOOKUP(DBL_FullList!I481, ContactsDbl!B:D, 2, FALSE), ""), "", IFERROR(VLOOKUP(DBL_FullList!I481, ContactsDbl!B:D, 2, FALSE), ""))</f>
        <v>dbladmin_intl@sil.org</v>
      </c>
      <c r="K481" t="str">
        <f>IF(0 = IFERROR(VLOOKUP(DBL_FullList!I481,ContactsDbl!B:D, 3, FALSE), ""), "", IFERROR(VLOOKUP(DBL_FullList!I481, ContactsDbl!B:D, 3, FALSE), ""))</f>
        <v>http://www.wycliffe.org</v>
      </c>
      <c r="L481">
        <f t="shared" si="15"/>
        <v>2</v>
      </c>
    </row>
    <row r="482" spans="1:12" x14ac:dyDescent="0.25">
      <c r="A482" t="s">
        <v>4531</v>
      </c>
      <c r="B482" t="str">
        <f>IF(ISERROR(VLOOKUP(F482,STEP!A:A, 1, FALSE)), "N", "Y")</f>
        <v>N</v>
      </c>
      <c r="C482" t="str">
        <f>IF(ISERROR(VLOOKUP(E482, BibleInEveryLanguageTexts!A:A, 1, FALSE)), "N", "Y")</f>
        <v>N</v>
      </c>
      <c r="D482" t="str">
        <f t="shared" si="14"/>
        <v>X</v>
      </c>
      <c r="E482" t="s">
        <v>3224</v>
      </c>
      <c r="F482" t="s">
        <v>3225</v>
      </c>
      <c r="G482" t="s">
        <v>284</v>
      </c>
      <c r="H482" t="s">
        <v>4532</v>
      </c>
      <c r="I482" t="s">
        <v>2661</v>
      </c>
      <c r="J482" t="str">
        <f>IF(0 = IFERROR(VLOOKUP(DBL_FullList!I482, ContactsDbl!B:D, 2, FALSE), ""), "", IFERROR(VLOOKUP(DBL_FullList!I482, ContactsDbl!B:D, 2, FALSE), ""))</f>
        <v>dbladmin_intl@sil.org</v>
      </c>
      <c r="K482" t="str">
        <f>IF(0 = IFERROR(VLOOKUP(DBL_FullList!I482,ContactsDbl!B:D, 3, FALSE), ""), "", IFERROR(VLOOKUP(DBL_FullList!I482, ContactsDbl!B:D, 3, FALSE), ""))</f>
        <v>http://www.wycliffe.org</v>
      </c>
      <c r="L482">
        <f t="shared" si="15"/>
        <v>2</v>
      </c>
    </row>
    <row r="483" spans="1:12" x14ac:dyDescent="0.25">
      <c r="A483" t="s">
        <v>4533</v>
      </c>
      <c r="B483" t="str">
        <f>IF(ISERROR(VLOOKUP(F483,STEP!A:A, 1, FALSE)), "N", "Y")</f>
        <v>N</v>
      </c>
      <c r="C483" t="str">
        <f>IF(ISERROR(VLOOKUP(E483, BibleInEveryLanguageTexts!A:A, 1, FALSE)), "N", "Y")</f>
        <v>N</v>
      </c>
      <c r="D483" t="str">
        <f t="shared" si="14"/>
        <v>X</v>
      </c>
      <c r="E483" t="s">
        <v>4534</v>
      </c>
      <c r="F483" t="s">
        <v>4535</v>
      </c>
      <c r="G483" t="s">
        <v>48</v>
      </c>
      <c r="H483" t="s">
        <v>4536</v>
      </c>
      <c r="I483" t="s">
        <v>2661</v>
      </c>
      <c r="J483" t="str">
        <f>IF(0 = IFERROR(VLOOKUP(DBL_FullList!I483, ContactsDbl!B:D, 2, FALSE), ""), "", IFERROR(VLOOKUP(DBL_FullList!I483, ContactsDbl!B:D, 2, FALSE), ""))</f>
        <v>dbladmin_intl@sil.org</v>
      </c>
      <c r="K483" t="str">
        <f>IF(0 = IFERROR(VLOOKUP(DBL_FullList!I483,ContactsDbl!B:D, 3, FALSE), ""), "", IFERROR(VLOOKUP(DBL_FullList!I483, ContactsDbl!B:D, 3, FALSE), ""))</f>
        <v>http://www.wycliffe.org</v>
      </c>
      <c r="L483">
        <f t="shared" si="15"/>
        <v>2</v>
      </c>
    </row>
    <row r="484" spans="1:12" x14ac:dyDescent="0.25">
      <c r="A484" t="s">
        <v>4537</v>
      </c>
      <c r="B484" t="str">
        <f>IF(ISERROR(VLOOKUP(F484,STEP!A:A, 1, FALSE)), "N", "Y")</f>
        <v>N</v>
      </c>
      <c r="C484" t="str">
        <f>IF(ISERROR(VLOOKUP(E484, BibleInEveryLanguageTexts!A:A, 1, FALSE)), "N", "Y")</f>
        <v>N</v>
      </c>
      <c r="D484" t="str">
        <f t="shared" si="14"/>
        <v>X</v>
      </c>
      <c r="E484" t="s">
        <v>3878</v>
      </c>
      <c r="F484" t="s">
        <v>3879</v>
      </c>
      <c r="G484" t="s">
        <v>121</v>
      </c>
      <c r="H484" t="s">
        <v>4538</v>
      </c>
      <c r="I484" t="s">
        <v>2241</v>
      </c>
      <c r="J484" t="str">
        <f>IF(0 = IFERROR(VLOOKUP(DBL_FullList!I484, ContactsDbl!B:D, 2, FALSE), ""), "", IFERROR(VLOOKUP(DBL_FullList!I484, ContactsDbl!B:D, 2, FALSE), ""))</f>
        <v>dbl@dbg.de</v>
      </c>
      <c r="K484" t="str">
        <f>IF(0 = IFERROR(VLOOKUP(DBL_FullList!I484,ContactsDbl!B:D, 3, FALSE), ""), "", IFERROR(VLOOKUP(DBL_FullList!I484, ContactsDbl!B:D, 3, FALSE), ""))</f>
        <v>http://www.die-bibel.de</v>
      </c>
      <c r="L484">
        <f t="shared" si="15"/>
        <v>2</v>
      </c>
    </row>
    <row r="485" spans="1:12" x14ac:dyDescent="0.25">
      <c r="A485" t="s">
        <v>4539</v>
      </c>
      <c r="B485" t="str">
        <f>IF(ISERROR(VLOOKUP(F485,STEP!A:A, 1, FALSE)), "N", "Y")</f>
        <v>Y</v>
      </c>
      <c r="C485" t="str">
        <f>IF(ISERROR(VLOOKUP(E485, BibleInEveryLanguageTexts!A:A, 1, FALSE)), "N", "Y")</f>
        <v>N</v>
      </c>
      <c r="D485" t="str">
        <f t="shared" si="14"/>
        <v/>
      </c>
      <c r="E485" t="s">
        <v>4540</v>
      </c>
      <c r="F485" t="s">
        <v>4541</v>
      </c>
      <c r="G485" t="s">
        <v>48</v>
      </c>
      <c r="H485" t="s">
        <v>4542</v>
      </c>
      <c r="I485" t="s">
        <v>2661</v>
      </c>
      <c r="J485" t="str">
        <f>IF(0 = IFERROR(VLOOKUP(DBL_FullList!I485, ContactsDbl!B:D, 2, FALSE), ""), "", IFERROR(VLOOKUP(DBL_FullList!I485, ContactsDbl!B:D, 2, FALSE), ""))</f>
        <v>dbladmin_intl@sil.org</v>
      </c>
      <c r="K485" t="str">
        <f>IF(0 = IFERROR(VLOOKUP(DBL_FullList!I485,ContactsDbl!B:D, 3, FALSE), ""), "", IFERROR(VLOOKUP(DBL_FullList!I485, ContactsDbl!B:D, 3, FALSE), ""))</f>
        <v>http://www.wycliffe.org</v>
      </c>
      <c r="L485">
        <f t="shared" si="15"/>
        <v>2</v>
      </c>
    </row>
    <row r="486" spans="1:12" x14ac:dyDescent="0.25">
      <c r="A486" t="s">
        <v>4543</v>
      </c>
      <c r="B486" t="str">
        <f>IF(ISERROR(VLOOKUP(F486,STEP!A:A, 1, FALSE)), "N", "Y")</f>
        <v>N</v>
      </c>
      <c r="C486" t="str">
        <f>IF(ISERROR(VLOOKUP(E486, BibleInEveryLanguageTexts!A:A, 1, FALSE)), "N", "Y")</f>
        <v>N</v>
      </c>
      <c r="D486" t="str">
        <f t="shared" si="14"/>
        <v>X</v>
      </c>
      <c r="E486" t="s">
        <v>4544</v>
      </c>
      <c r="F486" t="s">
        <v>4545</v>
      </c>
      <c r="G486" t="s">
        <v>20</v>
      </c>
      <c r="H486" t="s">
        <v>4546</v>
      </c>
      <c r="I486" t="s">
        <v>2329</v>
      </c>
      <c r="J486" t="str">
        <f>IF(0 = IFERROR(VLOOKUP(DBL_FullList!I486, ContactsDbl!B:D, 2, FALSE), ""), "", IFERROR(VLOOKUP(DBL_FullList!I486, ContactsDbl!B:D, 2, FALSE), ""))</f>
        <v/>
      </c>
      <c r="K486" t="str">
        <f>IF(0 = IFERROR(VLOOKUP(DBL_FullList!I486,ContactsDbl!B:D, 3, FALSE), ""), "", IFERROR(VLOOKUP(DBL_FullList!I486, ContactsDbl!B:D, 3, FALSE), ""))</f>
        <v>http://www.bsind.org/</v>
      </c>
      <c r="L486">
        <f t="shared" si="15"/>
        <v>1</v>
      </c>
    </row>
    <row r="487" spans="1:12" x14ac:dyDescent="0.25">
      <c r="A487" t="s">
        <v>4547</v>
      </c>
      <c r="B487" t="str">
        <f>IF(ISERROR(VLOOKUP(F487,STEP!A:A, 1, FALSE)), "N", "Y")</f>
        <v>Y</v>
      </c>
      <c r="C487" t="str">
        <f>IF(ISERROR(VLOOKUP(E487, BibleInEveryLanguageTexts!A:A, 1, FALSE)), "N", "Y")</f>
        <v>N</v>
      </c>
      <c r="D487" t="str">
        <f t="shared" si="14"/>
        <v/>
      </c>
      <c r="E487" t="s">
        <v>4548</v>
      </c>
      <c r="F487" t="s">
        <v>4549</v>
      </c>
      <c r="G487" t="s">
        <v>48</v>
      </c>
      <c r="H487" t="s">
        <v>4550</v>
      </c>
      <c r="I487" t="s">
        <v>2661</v>
      </c>
      <c r="J487" t="str">
        <f>IF(0 = IFERROR(VLOOKUP(DBL_FullList!I487, ContactsDbl!B:D, 2, FALSE), ""), "", IFERROR(VLOOKUP(DBL_FullList!I487, ContactsDbl!B:D, 2, FALSE), ""))</f>
        <v>dbladmin_intl@sil.org</v>
      </c>
      <c r="K487" t="str">
        <f>IF(0 = IFERROR(VLOOKUP(DBL_FullList!I487,ContactsDbl!B:D, 3, FALSE), ""), "", IFERROR(VLOOKUP(DBL_FullList!I487, ContactsDbl!B:D, 3, FALSE), ""))</f>
        <v>http://www.wycliffe.org</v>
      </c>
      <c r="L487">
        <f t="shared" si="15"/>
        <v>2</v>
      </c>
    </row>
    <row r="488" spans="1:12" x14ac:dyDescent="0.25">
      <c r="A488" t="s">
        <v>4551</v>
      </c>
      <c r="B488" t="str">
        <f>IF(ISERROR(VLOOKUP(F488,STEP!A:A, 1, FALSE)), "N", "Y")</f>
        <v>N</v>
      </c>
      <c r="C488" t="str">
        <f>IF(ISERROR(VLOOKUP(E488, BibleInEveryLanguageTexts!A:A, 1, FALSE)), "N", "Y")</f>
        <v>N</v>
      </c>
      <c r="D488" t="str">
        <f t="shared" si="14"/>
        <v>X</v>
      </c>
      <c r="E488" t="s">
        <v>4552</v>
      </c>
      <c r="F488" t="s">
        <v>4553</v>
      </c>
      <c r="G488" t="s">
        <v>25</v>
      </c>
      <c r="H488" t="s">
        <v>4554</v>
      </c>
      <c r="I488" t="s">
        <v>2661</v>
      </c>
      <c r="J488" t="str">
        <f>IF(0 = IFERROR(VLOOKUP(DBL_FullList!I488, ContactsDbl!B:D, 2, FALSE), ""), "", IFERROR(VLOOKUP(DBL_FullList!I488, ContactsDbl!B:D, 2, FALSE), ""))</f>
        <v>dbladmin_intl@sil.org</v>
      </c>
      <c r="K488" t="str">
        <f>IF(0 = IFERROR(VLOOKUP(DBL_FullList!I488,ContactsDbl!B:D, 3, FALSE), ""), "", IFERROR(VLOOKUP(DBL_FullList!I488, ContactsDbl!B:D, 3, FALSE), ""))</f>
        <v>http://www.wycliffe.org</v>
      </c>
      <c r="L488">
        <f t="shared" si="15"/>
        <v>2</v>
      </c>
    </row>
    <row r="489" spans="1:12" x14ac:dyDescent="0.25">
      <c r="A489" t="s">
        <v>4555</v>
      </c>
      <c r="B489" t="str">
        <f>IF(ISERROR(VLOOKUP(F489,STEP!A:A, 1, FALSE)), "N", "Y")</f>
        <v>N</v>
      </c>
      <c r="C489" t="str">
        <f>IF(ISERROR(VLOOKUP(E489, BibleInEveryLanguageTexts!A:A, 1, FALSE)), "N", "Y")</f>
        <v>N</v>
      </c>
      <c r="D489" t="str">
        <f t="shared" si="14"/>
        <v>X</v>
      </c>
      <c r="E489" t="s">
        <v>4556</v>
      </c>
      <c r="F489" t="s">
        <v>4557</v>
      </c>
      <c r="G489" t="s">
        <v>2903</v>
      </c>
      <c r="H489" t="s">
        <v>4558</v>
      </c>
      <c r="I489" t="s">
        <v>1982</v>
      </c>
      <c r="J489" t="str">
        <f>IF(0 = IFERROR(VLOOKUP(DBL_FullList!I489, ContactsDbl!B:D, 2, FALSE), ""), "", IFERROR(VLOOKUP(DBL_FullList!I489, ContactsDbl!B:D, 2, FALSE), ""))</f>
        <v>abbenin@intnet.bj</v>
      </c>
      <c r="K489" t="str">
        <f>IF(0 = IFERROR(VLOOKUP(DBL_FullList!I489,ContactsDbl!B:D, 3, FALSE), ""), "", IFERROR(VLOOKUP(DBL_FullList!I489, ContactsDbl!B:D, 3, FALSE), ""))</f>
        <v>http://www.biblesociety-benin.org/</v>
      </c>
      <c r="L489">
        <f t="shared" si="15"/>
        <v>2</v>
      </c>
    </row>
    <row r="490" spans="1:12" x14ac:dyDescent="0.25">
      <c r="A490" t="s">
        <v>4559</v>
      </c>
      <c r="B490" t="str">
        <f>IF(ISERROR(VLOOKUP(F490,STEP!A:A, 1, FALSE)), "N", "Y")</f>
        <v>N</v>
      </c>
      <c r="C490" t="str">
        <f>IF(ISERROR(VLOOKUP(E490, BibleInEveryLanguageTexts!A:A, 1, FALSE)), "N", "Y")</f>
        <v>N</v>
      </c>
      <c r="D490" t="str">
        <f t="shared" si="14"/>
        <v>X</v>
      </c>
      <c r="E490" t="s">
        <v>4560</v>
      </c>
      <c r="F490" t="s">
        <v>4561</v>
      </c>
      <c r="G490" t="s">
        <v>20</v>
      </c>
      <c r="H490" t="s">
        <v>4562</v>
      </c>
      <c r="I490" t="s">
        <v>2329</v>
      </c>
      <c r="J490" t="str">
        <f>IF(0 = IFERROR(VLOOKUP(DBL_FullList!I490, ContactsDbl!B:D, 2, FALSE), ""), "", IFERROR(VLOOKUP(DBL_FullList!I490, ContactsDbl!B:D, 2, FALSE), ""))</f>
        <v/>
      </c>
      <c r="K490" t="str">
        <f>IF(0 = IFERROR(VLOOKUP(DBL_FullList!I490,ContactsDbl!B:D, 3, FALSE), ""), "", IFERROR(VLOOKUP(DBL_FullList!I490, ContactsDbl!B:D, 3, FALSE), ""))</f>
        <v>http://www.bsind.org/</v>
      </c>
      <c r="L490">
        <f t="shared" si="15"/>
        <v>1</v>
      </c>
    </row>
    <row r="491" spans="1:12" x14ac:dyDescent="0.25">
      <c r="A491" t="s">
        <v>4563</v>
      </c>
      <c r="B491" t="str">
        <f>IF(ISERROR(VLOOKUP(F491,STEP!A:A, 1, FALSE)), "N", "Y")</f>
        <v>Y</v>
      </c>
      <c r="C491" t="str">
        <f>IF(ISERROR(VLOOKUP(E491, BibleInEveryLanguageTexts!A:A, 1, FALSE)), "N", "Y")</f>
        <v>N</v>
      </c>
      <c r="D491" t="str">
        <f t="shared" si="14"/>
        <v/>
      </c>
      <c r="E491" t="s">
        <v>4564</v>
      </c>
      <c r="F491" t="s">
        <v>4565</v>
      </c>
      <c r="G491" t="s">
        <v>48</v>
      </c>
      <c r="H491" t="s">
        <v>4566</v>
      </c>
      <c r="I491" t="s">
        <v>2661</v>
      </c>
      <c r="J491" t="str">
        <f>IF(0 = IFERROR(VLOOKUP(DBL_FullList!I491, ContactsDbl!B:D, 2, FALSE), ""), "", IFERROR(VLOOKUP(DBL_FullList!I491, ContactsDbl!B:D, 2, FALSE), ""))</f>
        <v>dbladmin_intl@sil.org</v>
      </c>
      <c r="K491" t="str">
        <f>IF(0 = IFERROR(VLOOKUP(DBL_FullList!I491,ContactsDbl!B:D, 3, FALSE), ""), "", IFERROR(VLOOKUP(DBL_FullList!I491, ContactsDbl!B:D, 3, FALSE), ""))</f>
        <v>http://www.wycliffe.org</v>
      </c>
      <c r="L491">
        <f t="shared" si="15"/>
        <v>2</v>
      </c>
    </row>
    <row r="492" spans="1:12" x14ac:dyDescent="0.25">
      <c r="A492" t="s">
        <v>4567</v>
      </c>
      <c r="B492" t="str">
        <f>IF(ISERROR(VLOOKUP(F492,STEP!A:A, 1, FALSE)), "N", "Y")</f>
        <v>N</v>
      </c>
      <c r="C492" t="str">
        <f>IF(ISERROR(VLOOKUP(E492, BibleInEveryLanguageTexts!A:A, 1, FALSE)), "N", "Y")</f>
        <v>N</v>
      </c>
      <c r="D492" t="str">
        <f t="shared" si="14"/>
        <v>X</v>
      </c>
      <c r="E492" t="s">
        <v>146</v>
      </c>
      <c r="F492" t="s">
        <v>144</v>
      </c>
      <c r="G492" t="s">
        <v>443</v>
      </c>
      <c r="H492" t="s">
        <v>4568</v>
      </c>
      <c r="I492" t="s">
        <v>3104</v>
      </c>
      <c r="J492" t="str">
        <f>IF(0 = IFERROR(VLOOKUP(DBL_FullList!I492, ContactsDbl!B:D, 2, FALSE), ""), "", IFERROR(VLOOKUP(DBL_FullList!I492, ContactsDbl!B:D, 2, FALSE), ""))</f>
        <v/>
      </c>
      <c r="K492" t="str">
        <f>IF(0 = IFERROR(VLOOKUP(DBL_FullList!I492,ContactsDbl!B:D, 3, FALSE), ""), "", IFERROR(VLOOKUP(DBL_FullList!I492, ContactsDbl!B:D, 3, FALSE), ""))</f>
        <v/>
      </c>
      <c r="L492">
        <f t="shared" si="15"/>
        <v>0</v>
      </c>
    </row>
    <row r="493" spans="1:12" x14ac:dyDescent="0.25">
      <c r="A493" t="s">
        <v>4569</v>
      </c>
      <c r="B493" t="str">
        <f>IF(ISERROR(VLOOKUP(F493,STEP!A:A, 1, FALSE)), "N", "Y")</f>
        <v>N</v>
      </c>
      <c r="C493" t="str">
        <f>IF(ISERROR(VLOOKUP(E493, BibleInEveryLanguageTexts!A:A, 1, FALSE)), "N", "Y")</f>
        <v>N</v>
      </c>
      <c r="D493" t="str">
        <f t="shared" si="14"/>
        <v>X</v>
      </c>
      <c r="E493" t="s">
        <v>4570</v>
      </c>
      <c r="F493" t="s">
        <v>4571</v>
      </c>
      <c r="G493" t="s">
        <v>3133</v>
      </c>
      <c r="H493" t="s">
        <v>4572</v>
      </c>
      <c r="I493" t="s">
        <v>183</v>
      </c>
      <c r="J493" t="str">
        <f>IF(0 = IFERROR(VLOOKUP(DBL_FullList!I493, ContactsDbl!B:D, 2, FALSE), ""), "", IFERROR(VLOOKUP(DBL_FullList!I493, ContactsDbl!B:D, 2, FALSE), ""))</f>
        <v>dbl@biblesocieties.org</v>
      </c>
      <c r="K493" t="str">
        <f>IF(0 = IFERROR(VLOOKUP(DBL_FullList!I493,ContactsDbl!B:D, 3, FALSE), ""), "", IFERROR(VLOOKUP(DBL_FullList!I493, ContactsDbl!B:D, 3, FALSE), ""))</f>
        <v>http://www.unitedbiblesocieties.org/</v>
      </c>
      <c r="L493">
        <f t="shared" si="15"/>
        <v>2</v>
      </c>
    </row>
    <row r="494" spans="1:12" x14ac:dyDescent="0.25">
      <c r="A494" t="s">
        <v>4573</v>
      </c>
      <c r="B494" t="str">
        <f>IF(ISERROR(VLOOKUP(F494,STEP!A:A, 1, FALSE)), "N", "Y")</f>
        <v>N</v>
      </c>
      <c r="C494" t="str">
        <f>IF(ISERROR(VLOOKUP(E494, BibleInEveryLanguageTexts!A:A, 1, FALSE)), "N", "Y")</f>
        <v>N</v>
      </c>
      <c r="D494" t="str">
        <f t="shared" si="14"/>
        <v>X</v>
      </c>
      <c r="E494" t="s">
        <v>4574</v>
      </c>
      <c r="F494" t="s">
        <v>4575</v>
      </c>
      <c r="G494" t="s">
        <v>3281</v>
      </c>
      <c r="H494" t="s">
        <v>4576</v>
      </c>
      <c r="I494" t="s">
        <v>2417</v>
      </c>
      <c r="J494" t="str">
        <f>IF(0 = IFERROR(VLOOKUP(DBL_FullList!I494, ContactsDbl!B:D, 2, FALSE), ""), "", IFERROR(VLOOKUP(DBL_FullList!I494, ContactsDbl!B:D, 2, FALSE), ""))</f>
        <v>mathewpunnoose@biblemalaysia.org</v>
      </c>
      <c r="K494" t="str">
        <f>IF(0 = IFERROR(VLOOKUP(DBL_FullList!I494,ContactsDbl!B:D, 3, FALSE), ""), "", IFERROR(VLOOKUP(DBL_FullList!I494, ContactsDbl!B:D, 3, FALSE), ""))</f>
        <v>http://www.bible.org.my/</v>
      </c>
      <c r="L494">
        <f t="shared" si="15"/>
        <v>2</v>
      </c>
    </row>
    <row r="495" spans="1:12" x14ac:dyDescent="0.25">
      <c r="A495" t="s">
        <v>4577</v>
      </c>
      <c r="B495" t="str">
        <f>IF(ISERROR(VLOOKUP(F495,STEP!A:A, 1, FALSE)), "N", "Y")</f>
        <v>Y</v>
      </c>
      <c r="C495" t="str">
        <f>IF(ISERROR(VLOOKUP(E495, BibleInEveryLanguageTexts!A:A, 1, FALSE)), "N", "Y")</f>
        <v>N</v>
      </c>
      <c r="D495" t="str">
        <f t="shared" si="14"/>
        <v/>
      </c>
      <c r="E495" t="s">
        <v>4578</v>
      </c>
      <c r="F495" t="s">
        <v>4579</v>
      </c>
      <c r="G495" t="s">
        <v>48</v>
      </c>
      <c r="H495" t="s">
        <v>4580</v>
      </c>
      <c r="I495" t="s">
        <v>2661</v>
      </c>
      <c r="J495" t="str">
        <f>IF(0 = IFERROR(VLOOKUP(DBL_FullList!I495, ContactsDbl!B:D, 2, FALSE), ""), "", IFERROR(VLOOKUP(DBL_FullList!I495, ContactsDbl!B:D, 2, FALSE), ""))</f>
        <v>dbladmin_intl@sil.org</v>
      </c>
      <c r="K495" t="str">
        <f>IF(0 = IFERROR(VLOOKUP(DBL_FullList!I495,ContactsDbl!B:D, 3, FALSE), ""), "", IFERROR(VLOOKUP(DBL_FullList!I495, ContactsDbl!B:D, 3, FALSE), ""))</f>
        <v>http://www.wycliffe.org</v>
      </c>
      <c r="L495">
        <f t="shared" si="15"/>
        <v>2</v>
      </c>
    </row>
    <row r="496" spans="1:12" x14ac:dyDescent="0.25">
      <c r="A496" t="s">
        <v>4581</v>
      </c>
      <c r="B496" t="str">
        <f>IF(ISERROR(VLOOKUP(F496,STEP!A:A, 1, FALSE)), "N", "Y")</f>
        <v>Y</v>
      </c>
      <c r="C496" t="str">
        <f>IF(ISERROR(VLOOKUP(E496, BibleInEveryLanguageTexts!A:A, 1, FALSE)), "N", "Y")</f>
        <v>N</v>
      </c>
      <c r="D496" t="str">
        <f t="shared" si="14"/>
        <v/>
      </c>
      <c r="E496" t="s">
        <v>4582</v>
      </c>
      <c r="F496" t="s">
        <v>4583</v>
      </c>
      <c r="G496" t="s">
        <v>48</v>
      </c>
      <c r="H496" t="s">
        <v>4584</v>
      </c>
      <c r="I496" t="s">
        <v>2661</v>
      </c>
      <c r="J496" t="str">
        <f>IF(0 = IFERROR(VLOOKUP(DBL_FullList!I496, ContactsDbl!B:D, 2, FALSE), ""), "", IFERROR(VLOOKUP(DBL_FullList!I496, ContactsDbl!B:D, 2, FALSE), ""))</f>
        <v>dbladmin_intl@sil.org</v>
      </c>
      <c r="K496" t="str">
        <f>IF(0 = IFERROR(VLOOKUP(DBL_FullList!I496,ContactsDbl!B:D, 3, FALSE), ""), "", IFERROR(VLOOKUP(DBL_FullList!I496, ContactsDbl!B:D, 3, FALSE), ""))</f>
        <v>http://www.wycliffe.org</v>
      </c>
      <c r="L496">
        <f t="shared" si="15"/>
        <v>2</v>
      </c>
    </row>
    <row r="497" spans="1:12" x14ac:dyDescent="0.25">
      <c r="A497" t="s">
        <v>4585</v>
      </c>
      <c r="B497" t="str">
        <f>IF(ISERROR(VLOOKUP(F497,STEP!A:A, 1, FALSE)), "N", "Y")</f>
        <v>N</v>
      </c>
      <c r="C497" t="str">
        <f>IF(ISERROR(VLOOKUP(E497, BibleInEveryLanguageTexts!A:A, 1, FALSE)), "N", "Y")</f>
        <v>N</v>
      </c>
      <c r="D497" t="str">
        <f t="shared" si="14"/>
        <v>X</v>
      </c>
      <c r="E497" t="s">
        <v>4586</v>
      </c>
      <c r="F497" t="s">
        <v>4587</v>
      </c>
      <c r="G497" t="s">
        <v>4588</v>
      </c>
      <c r="H497" t="s">
        <v>4589</v>
      </c>
      <c r="I497" t="s">
        <v>2459</v>
      </c>
      <c r="J497" t="str">
        <f>IF(0 = IFERROR(VLOOKUP(DBL_FullList!I497, ContactsDbl!B:D, 2, FALSE), ""), "", IFERROR(VLOOKUP(DBL_FullList!I497, ContactsDbl!B:D, 2, FALSE), ""))</f>
        <v>gensec@nambible.org.na</v>
      </c>
      <c r="K497" t="str">
        <f>IF(0 = IFERROR(VLOOKUP(DBL_FullList!I497,ContactsDbl!B:D, 3, FALSE), ""), "", IFERROR(VLOOKUP(DBL_FullList!I497, ContactsDbl!B:D, 3, FALSE), ""))</f>
        <v>http://www.nambible.org.na</v>
      </c>
      <c r="L497">
        <f t="shared" si="15"/>
        <v>2</v>
      </c>
    </row>
    <row r="498" spans="1:12" x14ac:dyDescent="0.25">
      <c r="A498" t="s">
        <v>4590</v>
      </c>
      <c r="B498" t="str">
        <f>IF(ISERROR(VLOOKUP(F498,STEP!A:A, 1, FALSE)), "N", "Y")</f>
        <v>N</v>
      </c>
      <c r="C498" t="str">
        <f>IF(ISERROR(VLOOKUP(E498, BibleInEveryLanguageTexts!A:A, 1, FALSE)), "N", "Y")</f>
        <v>N</v>
      </c>
      <c r="D498" t="str">
        <f t="shared" si="14"/>
        <v>X</v>
      </c>
      <c r="E498" t="s">
        <v>1439</v>
      </c>
      <c r="F498" t="s">
        <v>4304</v>
      </c>
      <c r="G498" t="s">
        <v>4305</v>
      </c>
      <c r="H498" t="s">
        <v>4591</v>
      </c>
      <c r="I498" t="s">
        <v>2114</v>
      </c>
      <c r="J498" t="str">
        <f>IF(0 = IFERROR(VLOOKUP(DBL_FullList!I498, ContactsDbl!B:D, 2, FALSE), ""), "", IFERROR(VLOOKUP(DBL_FullList!I498, ContactsDbl!B:D, 2, FALSE), ""))</f>
        <v>gensec@biblesociety-zimbabwe.org</v>
      </c>
      <c r="K498" t="str">
        <f>IF(0 = IFERROR(VLOOKUP(DBL_FullList!I498,ContactsDbl!B:D, 3, FALSE), ""), "", IFERROR(VLOOKUP(DBL_FullList!I498, ContactsDbl!B:D, 3, FALSE), ""))</f>
        <v>http://biblesociety-zimbabwe.org</v>
      </c>
      <c r="L498">
        <f t="shared" si="15"/>
        <v>2</v>
      </c>
    </row>
    <row r="499" spans="1:12" x14ac:dyDescent="0.25">
      <c r="A499" t="s">
        <v>4592</v>
      </c>
      <c r="B499" t="str">
        <f>IF(ISERROR(VLOOKUP(F499,STEP!A:A, 1, FALSE)), "N", "Y")</f>
        <v>N</v>
      </c>
      <c r="C499" t="str">
        <f>IF(ISERROR(VLOOKUP(E499, BibleInEveryLanguageTexts!A:A, 1, FALSE)), "N", "Y")</f>
        <v>N</v>
      </c>
      <c r="D499" t="str">
        <f t="shared" si="14"/>
        <v>X</v>
      </c>
      <c r="E499" t="s">
        <v>4593</v>
      </c>
      <c r="F499" t="s">
        <v>4594</v>
      </c>
      <c r="G499" t="s">
        <v>20</v>
      </c>
      <c r="H499" t="s">
        <v>4595</v>
      </c>
      <c r="I499" t="s">
        <v>2329</v>
      </c>
      <c r="J499" t="str">
        <f>IF(0 = IFERROR(VLOOKUP(DBL_FullList!I499, ContactsDbl!B:D, 2, FALSE), ""), "", IFERROR(VLOOKUP(DBL_FullList!I499, ContactsDbl!B:D, 2, FALSE), ""))</f>
        <v/>
      </c>
      <c r="K499" t="str">
        <f>IF(0 = IFERROR(VLOOKUP(DBL_FullList!I499,ContactsDbl!B:D, 3, FALSE), ""), "", IFERROR(VLOOKUP(DBL_FullList!I499, ContactsDbl!B:D, 3, FALSE), ""))</f>
        <v>http://www.bsind.org/</v>
      </c>
      <c r="L499">
        <f t="shared" si="15"/>
        <v>1</v>
      </c>
    </row>
    <row r="500" spans="1:12" x14ac:dyDescent="0.25">
      <c r="A500" t="s">
        <v>4596</v>
      </c>
      <c r="B500" t="str">
        <f>IF(ISERROR(VLOOKUP(F500,STEP!A:A, 1, FALSE)), "N", "Y")</f>
        <v>N</v>
      </c>
      <c r="C500" t="str">
        <f>IF(ISERROR(VLOOKUP(E500, BibleInEveryLanguageTexts!A:A, 1, FALSE)), "N", "Y")</f>
        <v>N</v>
      </c>
      <c r="D500" t="str">
        <f t="shared" si="14"/>
        <v>X</v>
      </c>
      <c r="E500" t="s">
        <v>4597</v>
      </c>
      <c r="F500" t="s">
        <v>4598</v>
      </c>
      <c r="G500" t="s">
        <v>3861</v>
      </c>
      <c r="H500" t="s">
        <v>4599</v>
      </c>
      <c r="I500" t="s">
        <v>2393</v>
      </c>
      <c r="J500" t="str">
        <f>IF(0 = IFERROR(VLOOKUP(DBL_FullList!I500, ContactsDbl!B:D, 2, FALSE), ""), "", IFERROR(VLOOKUP(DBL_FullList!I500, ContactsDbl!B:D, 2, FALSE), ""))</f>
        <v>pstevens@biblesocieties.org</v>
      </c>
      <c r="K500" t="str">
        <f>IF(0 = IFERROR(VLOOKUP(DBL_FullList!I500,ContactsDbl!B:D, 3, FALSE), ""), "", IFERROR(VLOOKUP(DBL_FullList!I500, ContactsDbl!B:D, 3, FALSE), ""))</f>
        <v>http://www.unitedbiblesocieties.org/society/bible-society-in-liberia/</v>
      </c>
      <c r="L500">
        <f t="shared" si="15"/>
        <v>2</v>
      </c>
    </row>
    <row r="501" spans="1:12" x14ac:dyDescent="0.25">
      <c r="A501" t="s">
        <v>4600</v>
      </c>
      <c r="B501" t="str">
        <f>IF(ISERROR(VLOOKUP(F501,STEP!A:A, 1, FALSE)), "N", "Y")</f>
        <v>N</v>
      </c>
      <c r="C501" t="str">
        <f>IF(ISERROR(VLOOKUP(E501, BibleInEveryLanguageTexts!A:A, 1, FALSE)), "N", "Y")</f>
        <v>N</v>
      </c>
      <c r="D501" t="str">
        <f t="shared" si="14"/>
        <v>X</v>
      </c>
      <c r="E501" t="s">
        <v>4601</v>
      </c>
      <c r="F501" t="s">
        <v>4602</v>
      </c>
      <c r="G501" t="s">
        <v>3861</v>
      </c>
      <c r="H501" t="s">
        <v>4603</v>
      </c>
      <c r="I501" t="s">
        <v>2393</v>
      </c>
      <c r="J501" t="str">
        <f>IF(0 = IFERROR(VLOOKUP(DBL_FullList!I501, ContactsDbl!B:D, 2, FALSE), ""), "", IFERROR(VLOOKUP(DBL_FullList!I501, ContactsDbl!B:D, 2, FALSE), ""))</f>
        <v>pstevens@biblesocieties.org</v>
      </c>
      <c r="K501" t="str">
        <f>IF(0 = IFERROR(VLOOKUP(DBL_FullList!I501,ContactsDbl!B:D, 3, FALSE), ""), "", IFERROR(VLOOKUP(DBL_FullList!I501, ContactsDbl!B:D, 3, FALSE), ""))</f>
        <v>http://www.unitedbiblesocieties.org/society/bible-society-in-liberia/</v>
      </c>
      <c r="L501">
        <f t="shared" si="15"/>
        <v>2</v>
      </c>
    </row>
    <row r="502" spans="1:12" x14ac:dyDescent="0.25">
      <c r="A502" t="s">
        <v>4604</v>
      </c>
      <c r="B502" t="str">
        <f>IF(ISERROR(VLOOKUP(F502,STEP!A:A, 1, FALSE)), "N", "Y")</f>
        <v>N</v>
      </c>
      <c r="C502" t="str">
        <f>IF(ISERROR(VLOOKUP(E502, BibleInEveryLanguageTexts!A:A, 1, FALSE)), "N", "Y")</f>
        <v>Y</v>
      </c>
      <c r="D502" t="str">
        <f t="shared" si="14"/>
        <v/>
      </c>
      <c r="E502" t="s">
        <v>1661</v>
      </c>
      <c r="F502" t="s">
        <v>3836</v>
      </c>
      <c r="G502" t="s">
        <v>2858</v>
      </c>
      <c r="H502" t="s">
        <v>4605</v>
      </c>
      <c r="I502" t="s">
        <v>2505</v>
      </c>
      <c r="J502" t="str">
        <f>IF(0 = IFERROR(VLOOKUP(DBL_FullList!I502, ContactsDbl!B:D, 2, FALSE), ""), "", IFERROR(VLOOKUP(DBL_FullList!I502, ContactsDbl!B:D, 2, FALSE), ""))</f>
        <v/>
      </c>
      <c r="K502" t="str">
        <f>IF(0 = IFERROR(VLOOKUP(DBL_FullList!I502,ContactsDbl!B:D, 3, FALSE), ""), "", IFERROR(VLOOKUP(DBL_FullList!I502, ContactsDbl!B:D, 3, FALSE), ""))</f>
        <v>http://www.bible.org.ph/</v>
      </c>
      <c r="L502">
        <f t="shared" si="15"/>
        <v>1</v>
      </c>
    </row>
    <row r="503" spans="1:12" x14ac:dyDescent="0.25">
      <c r="A503" t="s">
        <v>4606</v>
      </c>
      <c r="B503" t="str">
        <f>IF(ISERROR(VLOOKUP(F503,STEP!A:A, 1, FALSE)), "N", "Y")</f>
        <v>N</v>
      </c>
      <c r="C503" t="str">
        <f>IF(ISERROR(VLOOKUP(E503, BibleInEveryLanguageTexts!A:A, 1, FALSE)), "N", "Y")</f>
        <v>N</v>
      </c>
      <c r="D503" t="str">
        <f t="shared" si="14"/>
        <v>X</v>
      </c>
      <c r="E503" t="s">
        <v>3775</v>
      </c>
      <c r="F503" t="s">
        <v>3776</v>
      </c>
      <c r="G503" t="s">
        <v>4607</v>
      </c>
      <c r="H503" t="s">
        <v>4608</v>
      </c>
      <c r="I503" t="s">
        <v>1997</v>
      </c>
      <c r="J503" t="str">
        <f>IF(0 = IFERROR(VLOOKUP(DBL_FullList!I503, ContactsDbl!B:D, 2, FALSE), ""), "", IFERROR(VLOOKUP(DBL_FullList!I503, ContactsDbl!B:D, 2, FALSE), ""))</f>
        <v>Lee.Harris@biblica.com</v>
      </c>
      <c r="K503" t="str">
        <f>IF(0 = IFERROR(VLOOKUP(DBL_FullList!I503,ContactsDbl!B:D, 3, FALSE), ""), "", IFERROR(VLOOKUP(DBL_FullList!I503, ContactsDbl!B:D, 3, FALSE), ""))</f>
        <v>http://www.Biblica.com</v>
      </c>
      <c r="L503">
        <f t="shared" si="15"/>
        <v>2</v>
      </c>
    </row>
    <row r="504" spans="1:12" x14ac:dyDescent="0.25">
      <c r="A504" t="s">
        <v>4609</v>
      </c>
      <c r="B504" t="str">
        <f>IF(ISERROR(VLOOKUP(F504,STEP!A:A, 1, FALSE)), "N", "Y")</f>
        <v>N</v>
      </c>
      <c r="C504" t="str">
        <f>IF(ISERROR(VLOOKUP(E504, BibleInEveryLanguageTexts!A:A, 1, FALSE)), "N", "Y")</f>
        <v>N</v>
      </c>
      <c r="D504" t="str">
        <f t="shared" si="14"/>
        <v>X</v>
      </c>
      <c r="E504" t="s">
        <v>4610</v>
      </c>
      <c r="F504" t="s">
        <v>4611</v>
      </c>
      <c r="G504" t="s">
        <v>4612</v>
      </c>
      <c r="H504" t="s">
        <v>4613</v>
      </c>
      <c r="I504" t="s">
        <v>2566</v>
      </c>
      <c r="J504" t="str">
        <f>IF(0 = IFERROR(VLOOKUP(DBL_FullList!I504, ContactsDbl!B:D, 2, FALSE), ""), "", IFERROR(VLOOKUP(DBL_FullList!I504, ContactsDbl!B:D, 2, FALSE), ""))</f>
        <v>info@sociedadesbiblicas.org.ve</v>
      </c>
      <c r="K504" t="str">
        <f>IF(0 = IFERROR(VLOOKUP(DBL_FullList!I504,ContactsDbl!B:D, 3, FALSE), ""), "", IFERROR(VLOOKUP(DBL_FullList!I504, ContactsDbl!B:D, 3, FALSE), ""))</f>
        <v>www.sociedadesbiblicas.org.ve</v>
      </c>
      <c r="L504">
        <f t="shared" si="15"/>
        <v>2</v>
      </c>
    </row>
    <row r="505" spans="1:12" x14ac:dyDescent="0.25">
      <c r="A505" t="s">
        <v>4614</v>
      </c>
      <c r="B505" t="str">
        <f>IF(ISERROR(VLOOKUP(F505,STEP!A:A, 1, FALSE)), "N", "Y")</f>
        <v>N</v>
      </c>
      <c r="C505" t="str">
        <f>IF(ISERROR(VLOOKUP(E505, BibleInEveryLanguageTexts!A:A, 1, FALSE)), "N", "Y")</f>
        <v>N</v>
      </c>
      <c r="D505" t="str">
        <f t="shared" si="14"/>
        <v>X</v>
      </c>
      <c r="E505" t="s">
        <v>1082</v>
      </c>
      <c r="F505" t="s">
        <v>4615</v>
      </c>
      <c r="G505" t="s">
        <v>4616</v>
      </c>
      <c r="H505" t="s">
        <v>4617</v>
      </c>
      <c r="I505" t="s">
        <v>2274</v>
      </c>
      <c r="J505" t="str">
        <f>IF(0 = IFERROR(VLOOKUP(DBL_FullList!I505, ContactsDbl!B:D, 2, FALSE), ""), "", IFERROR(VLOOKUP(DBL_FullList!I505, ContactsDbl!B:D, 2, FALSE), ""))</f>
        <v/>
      </c>
      <c r="K505" t="str">
        <f>IF(0 = IFERROR(VLOOKUP(DBL_FullList!I505,ContactsDbl!B:D, 3, FALSE), ""), "", IFERROR(VLOOKUP(DBL_FullList!I505, ContactsDbl!B:D, 3, FALSE), ""))</f>
        <v>http://societebiblique-haiti.org/</v>
      </c>
      <c r="L505">
        <f t="shared" si="15"/>
        <v>1</v>
      </c>
    </row>
    <row r="506" spans="1:12" x14ac:dyDescent="0.25">
      <c r="A506" t="s">
        <v>4618</v>
      </c>
      <c r="B506" t="str">
        <f>IF(ISERROR(VLOOKUP(F506,STEP!A:A, 1, FALSE)), "N", "Y")</f>
        <v>N</v>
      </c>
      <c r="C506" t="str">
        <f>IF(ISERROR(VLOOKUP(E506, BibleInEveryLanguageTexts!A:A, 1, FALSE)), "N", "Y")</f>
        <v>Y</v>
      </c>
      <c r="D506" t="str">
        <f t="shared" si="14"/>
        <v/>
      </c>
      <c r="E506" t="s">
        <v>371</v>
      </c>
      <c r="F506" t="s">
        <v>370</v>
      </c>
      <c r="G506" t="s">
        <v>20</v>
      </c>
      <c r="H506" t="s">
        <v>4619</v>
      </c>
      <c r="I506" t="s">
        <v>2329</v>
      </c>
      <c r="J506" t="str">
        <f>IF(0 = IFERROR(VLOOKUP(DBL_FullList!I506, ContactsDbl!B:D, 2, FALSE), ""), "", IFERROR(VLOOKUP(DBL_FullList!I506, ContactsDbl!B:D, 2, FALSE), ""))</f>
        <v/>
      </c>
      <c r="K506" t="str">
        <f>IF(0 = IFERROR(VLOOKUP(DBL_FullList!I506,ContactsDbl!B:D, 3, FALSE), ""), "", IFERROR(VLOOKUP(DBL_FullList!I506, ContactsDbl!B:D, 3, FALSE), ""))</f>
        <v>http://www.bsind.org/</v>
      </c>
      <c r="L506">
        <f t="shared" si="15"/>
        <v>1</v>
      </c>
    </row>
    <row r="507" spans="1:12" x14ac:dyDescent="0.25">
      <c r="A507" t="s">
        <v>4620</v>
      </c>
      <c r="B507" t="str">
        <f>IF(ISERROR(VLOOKUP(F507,STEP!A:A, 1, FALSE)), "N", "Y")</f>
        <v>Y</v>
      </c>
      <c r="C507" t="str">
        <f>IF(ISERROR(VLOOKUP(E507, BibleInEveryLanguageTexts!A:A, 1, FALSE)), "N", "Y")</f>
        <v>N</v>
      </c>
      <c r="D507" t="str">
        <f t="shared" si="14"/>
        <v/>
      </c>
      <c r="E507" t="s">
        <v>4621</v>
      </c>
      <c r="F507" t="s">
        <v>4622</v>
      </c>
      <c r="G507" t="s">
        <v>2793</v>
      </c>
      <c r="H507" t="s">
        <v>4623</v>
      </c>
      <c r="I507" t="s">
        <v>2661</v>
      </c>
      <c r="J507" t="str">
        <f>IF(0 = IFERROR(VLOOKUP(DBL_FullList!I507, ContactsDbl!B:D, 2, FALSE), ""), "", IFERROR(VLOOKUP(DBL_FullList!I507, ContactsDbl!B:D, 2, FALSE), ""))</f>
        <v>dbladmin_intl@sil.org</v>
      </c>
      <c r="K507" t="str">
        <f>IF(0 = IFERROR(VLOOKUP(DBL_FullList!I507,ContactsDbl!B:D, 3, FALSE), ""), "", IFERROR(VLOOKUP(DBL_FullList!I507, ContactsDbl!B:D, 3, FALSE), ""))</f>
        <v>http://www.wycliffe.org</v>
      </c>
      <c r="L507">
        <f t="shared" si="15"/>
        <v>2</v>
      </c>
    </row>
    <row r="508" spans="1:12" x14ac:dyDescent="0.25">
      <c r="A508" t="s">
        <v>4624</v>
      </c>
      <c r="B508" t="str">
        <f>IF(ISERROR(VLOOKUP(F508,STEP!A:A, 1, FALSE)), "N", "Y")</f>
        <v>N</v>
      </c>
      <c r="C508" t="str">
        <f>IF(ISERROR(VLOOKUP(E508, BibleInEveryLanguageTexts!A:A, 1, FALSE)), "N", "Y")</f>
        <v>N</v>
      </c>
      <c r="D508" t="str">
        <f t="shared" si="14"/>
        <v>X</v>
      </c>
      <c r="E508" t="s">
        <v>4159</v>
      </c>
      <c r="F508" t="s">
        <v>4160</v>
      </c>
      <c r="G508" t="s">
        <v>20</v>
      </c>
      <c r="H508" t="s">
        <v>4625</v>
      </c>
      <c r="I508" t="s">
        <v>2329</v>
      </c>
      <c r="J508" t="str">
        <f>IF(0 = IFERROR(VLOOKUP(DBL_FullList!I508, ContactsDbl!B:D, 2, FALSE), ""), "", IFERROR(VLOOKUP(DBL_FullList!I508, ContactsDbl!B:D, 2, FALSE), ""))</f>
        <v/>
      </c>
      <c r="K508" t="str">
        <f>IF(0 = IFERROR(VLOOKUP(DBL_FullList!I508,ContactsDbl!B:D, 3, FALSE), ""), "", IFERROR(VLOOKUP(DBL_FullList!I508, ContactsDbl!B:D, 3, FALSE), ""))</f>
        <v>http://www.bsind.org/</v>
      </c>
      <c r="L508">
        <f t="shared" si="15"/>
        <v>1</v>
      </c>
    </row>
    <row r="509" spans="1:12" x14ac:dyDescent="0.25">
      <c r="A509" t="s">
        <v>4626</v>
      </c>
      <c r="B509" t="str">
        <f>IF(ISERROR(VLOOKUP(F509,STEP!A:A, 1, FALSE)), "N", "Y")</f>
        <v>Y</v>
      </c>
      <c r="C509" t="str">
        <f>IF(ISERROR(VLOOKUP(E509, BibleInEveryLanguageTexts!A:A, 1, FALSE)), "N", "Y")</f>
        <v>N</v>
      </c>
      <c r="D509" t="str">
        <f t="shared" si="14"/>
        <v/>
      </c>
      <c r="E509" t="s">
        <v>4627</v>
      </c>
      <c r="F509" t="s">
        <v>4628</v>
      </c>
      <c r="G509" t="s">
        <v>48</v>
      </c>
      <c r="H509" t="s">
        <v>4629</v>
      </c>
      <c r="I509" t="s">
        <v>2661</v>
      </c>
      <c r="J509" t="str">
        <f>IF(0 = IFERROR(VLOOKUP(DBL_FullList!I509, ContactsDbl!B:D, 2, FALSE), ""), "", IFERROR(VLOOKUP(DBL_FullList!I509, ContactsDbl!B:D, 2, FALSE), ""))</f>
        <v>dbladmin_intl@sil.org</v>
      </c>
      <c r="K509" t="str">
        <f>IF(0 = IFERROR(VLOOKUP(DBL_FullList!I509,ContactsDbl!B:D, 3, FALSE), ""), "", IFERROR(VLOOKUP(DBL_FullList!I509, ContactsDbl!B:D, 3, FALSE), ""))</f>
        <v>http://www.wycliffe.org</v>
      </c>
      <c r="L509">
        <f t="shared" si="15"/>
        <v>2</v>
      </c>
    </row>
    <row r="510" spans="1:12" x14ac:dyDescent="0.25">
      <c r="A510" t="s">
        <v>4630</v>
      </c>
      <c r="B510" t="str">
        <f>IF(ISERROR(VLOOKUP(F510,STEP!A:A, 1, FALSE)), "N", "Y")</f>
        <v>N</v>
      </c>
      <c r="C510" t="str">
        <f>IF(ISERROR(VLOOKUP(E510, BibleInEveryLanguageTexts!A:A, 1, FALSE)), "N", "Y")</f>
        <v>N</v>
      </c>
      <c r="D510" t="str">
        <f t="shared" si="14"/>
        <v>X</v>
      </c>
      <c r="E510" t="s">
        <v>4631</v>
      </c>
      <c r="F510" t="s">
        <v>4632</v>
      </c>
      <c r="G510" t="s">
        <v>2743</v>
      </c>
      <c r="H510" t="s">
        <v>4633</v>
      </c>
      <c r="I510" t="s">
        <v>2073</v>
      </c>
      <c r="J510" t="str">
        <f>IF(0 = IFERROR(VLOOKUP(DBL_FullList!I510, ContactsDbl!B:D, 2, FALSE), ""), "", IFERROR(VLOOKUP(DBL_FullList!I510, ContactsDbl!B:D, 2, FALSE), ""))</f>
        <v>ajiboye@biblesociety-nigeria.org</v>
      </c>
      <c r="K510" t="str">
        <f>IF(0 = IFERROR(VLOOKUP(DBL_FullList!I510,ContactsDbl!B:D, 3, FALSE), ""), "", IFERROR(VLOOKUP(DBL_FullList!I510, ContactsDbl!B:D, 3, FALSE), ""))</f>
        <v>http://www.biblesociety-nigeria.org/</v>
      </c>
      <c r="L510">
        <f t="shared" si="15"/>
        <v>2</v>
      </c>
    </row>
    <row r="511" spans="1:12" x14ac:dyDescent="0.25">
      <c r="A511" t="s">
        <v>4634</v>
      </c>
      <c r="B511" t="str">
        <f>IF(ISERROR(VLOOKUP(F511,STEP!A:A, 1, FALSE)), "N", "Y")</f>
        <v>N</v>
      </c>
      <c r="C511" t="str">
        <f>IF(ISERROR(VLOOKUP(E511, BibleInEveryLanguageTexts!A:A, 1, FALSE)), "N", "Y")</f>
        <v>N</v>
      </c>
      <c r="D511" t="str">
        <f t="shared" si="14"/>
        <v>X</v>
      </c>
      <c r="E511" t="s">
        <v>4635</v>
      </c>
      <c r="F511" t="s">
        <v>4636</v>
      </c>
      <c r="G511" t="s">
        <v>3065</v>
      </c>
      <c r="H511" t="s">
        <v>4637</v>
      </c>
      <c r="I511" t="s">
        <v>2661</v>
      </c>
      <c r="J511" t="str">
        <f>IF(0 = IFERROR(VLOOKUP(DBL_FullList!I511, ContactsDbl!B:D, 2, FALSE), ""), "", IFERROR(VLOOKUP(DBL_FullList!I511, ContactsDbl!B:D, 2, FALSE), ""))</f>
        <v>dbladmin_intl@sil.org</v>
      </c>
      <c r="K511" t="str">
        <f>IF(0 = IFERROR(VLOOKUP(DBL_FullList!I511,ContactsDbl!B:D, 3, FALSE), ""), "", IFERROR(VLOOKUP(DBL_FullList!I511, ContactsDbl!B:D, 3, FALSE), ""))</f>
        <v>http://www.wycliffe.org</v>
      </c>
      <c r="L511">
        <f t="shared" si="15"/>
        <v>2</v>
      </c>
    </row>
    <row r="512" spans="1:12" x14ac:dyDescent="0.25">
      <c r="A512" t="s">
        <v>4638</v>
      </c>
      <c r="B512" t="str">
        <f>IF(ISERROR(VLOOKUP(F512,STEP!A:A, 1, FALSE)), "N", "Y")</f>
        <v>N</v>
      </c>
      <c r="C512" t="str">
        <f>IF(ISERROR(VLOOKUP(E512, BibleInEveryLanguageTexts!A:A, 1, FALSE)), "N", "Y")</f>
        <v>N</v>
      </c>
      <c r="D512" t="str">
        <f t="shared" si="14"/>
        <v>X</v>
      </c>
      <c r="E512" t="s">
        <v>4639</v>
      </c>
      <c r="F512" t="s">
        <v>4640</v>
      </c>
      <c r="G512" t="s">
        <v>2997</v>
      </c>
      <c r="H512" t="s">
        <v>4641</v>
      </c>
      <c r="I512" t="s">
        <v>2661</v>
      </c>
      <c r="J512" t="str">
        <f>IF(0 = IFERROR(VLOOKUP(DBL_FullList!I512, ContactsDbl!B:D, 2, FALSE), ""), "", IFERROR(VLOOKUP(DBL_FullList!I512, ContactsDbl!B:D, 2, FALSE), ""))</f>
        <v>dbladmin_intl@sil.org</v>
      </c>
      <c r="K512" t="str">
        <f>IF(0 = IFERROR(VLOOKUP(DBL_FullList!I512,ContactsDbl!B:D, 3, FALSE), ""), "", IFERROR(VLOOKUP(DBL_FullList!I512, ContactsDbl!B:D, 3, FALSE), ""))</f>
        <v>http://www.wycliffe.org</v>
      </c>
      <c r="L512">
        <f t="shared" si="15"/>
        <v>2</v>
      </c>
    </row>
    <row r="513" spans="1:12" x14ac:dyDescent="0.25">
      <c r="A513" t="s">
        <v>4642</v>
      </c>
      <c r="B513" t="str">
        <f>IF(ISERROR(VLOOKUP(F513,STEP!A:A, 1, FALSE)), "N", "Y")</f>
        <v>Y</v>
      </c>
      <c r="C513" t="str">
        <f>IF(ISERROR(VLOOKUP(E513, BibleInEveryLanguageTexts!A:A, 1, FALSE)), "N", "Y")</f>
        <v>N</v>
      </c>
      <c r="D513" t="str">
        <f t="shared" si="14"/>
        <v/>
      </c>
      <c r="E513" t="s">
        <v>4643</v>
      </c>
      <c r="F513" t="s">
        <v>4644</v>
      </c>
      <c r="G513" t="s">
        <v>48</v>
      </c>
      <c r="H513" t="s">
        <v>4645</v>
      </c>
      <c r="I513" t="s">
        <v>2661</v>
      </c>
      <c r="J513" t="str">
        <f>IF(0 = IFERROR(VLOOKUP(DBL_FullList!I513, ContactsDbl!B:D, 2, FALSE), ""), "", IFERROR(VLOOKUP(DBL_FullList!I513, ContactsDbl!B:D, 2, FALSE), ""))</f>
        <v>dbladmin_intl@sil.org</v>
      </c>
      <c r="K513" t="str">
        <f>IF(0 = IFERROR(VLOOKUP(DBL_FullList!I513,ContactsDbl!B:D, 3, FALSE), ""), "", IFERROR(VLOOKUP(DBL_FullList!I513, ContactsDbl!B:D, 3, FALSE), ""))</f>
        <v>http://www.wycliffe.org</v>
      </c>
      <c r="L513">
        <f t="shared" si="15"/>
        <v>2</v>
      </c>
    </row>
    <row r="514" spans="1:12" x14ac:dyDescent="0.25">
      <c r="A514" t="s">
        <v>4646</v>
      </c>
      <c r="B514" t="str">
        <f>IF(ISERROR(VLOOKUP(F514,STEP!A:A, 1, FALSE)), "N", "Y")</f>
        <v>N</v>
      </c>
      <c r="C514" t="str">
        <f>IF(ISERROR(VLOOKUP(E514, BibleInEveryLanguageTexts!A:A, 1, FALSE)), "N", "Y")</f>
        <v>Y</v>
      </c>
      <c r="D514" t="str">
        <f t="shared" si="14"/>
        <v/>
      </c>
      <c r="E514" t="s">
        <v>12</v>
      </c>
      <c r="F514" t="s">
        <v>10</v>
      </c>
      <c r="H514" t="s">
        <v>4647</v>
      </c>
      <c r="I514" t="s">
        <v>2661</v>
      </c>
      <c r="J514" t="str">
        <f>IF(0 = IFERROR(VLOOKUP(DBL_FullList!I514, ContactsDbl!B:D, 2, FALSE), ""), "", IFERROR(VLOOKUP(DBL_FullList!I514, ContactsDbl!B:D, 2, FALSE), ""))</f>
        <v>dbladmin_intl@sil.org</v>
      </c>
      <c r="K514" t="str">
        <f>IF(0 = IFERROR(VLOOKUP(DBL_FullList!I514,ContactsDbl!B:D, 3, FALSE), ""), "", IFERROR(VLOOKUP(DBL_FullList!I514, ContactsDbl!B:D, 3, FALSE), ""))</f>
        <v>http://www.wycliffe.org</v>
      </c>
      <c r="L514">
        <f t="shared" si="15"/>
        <v>2</v>
      </c>
    </row>
    <row r="515" spans="1:12" x14ac:dyDescent="0.25">
      <c r="A515" t="s">
        <v>4648</v>
      </c>
      <c r="B515" t="str">
        <f>IF(ISERROR(VLOOKUP(F515,STEP!A:A, 1, FALSE)), "N", "Y")</f>
        <v>Y</v>
      </c>
      <c r="C515" t="str">
        <f>IF(ISERROR(VLOOKUP(E515, BibleInEveryLanguageTexts!A:A, 1, FALSE)), "N", "Y")</f>
        <v>N</v>
      </c>
      <c r="D515" t="str">
        <f t="shared" ref="D515:D578" si="16">IF(AND("N" = B515, "N" = C515), "X", "")</f>
        <v/>
      </c>
      <c r="E515" t="s">
        <v>4649</v>
      </c>
      <c r="F515" t="s">
        <v>4650</v>
      </c>
      <c r="G515" t="s">
        <v>48</v>
      </c>
      <c r="H515" t="s">
        <v>4651</v>
      </c>
      <c r="I515" t="s">
        <v>2661</v>
      </c>
      <c r="J515" t="str">
        <f>IF(0 = IFERROR(VLOOKUP(DBL_FullList!I515, ContactsDbl!B:D, 2, FALSE), ""), "", IFERROR(VLOOKUP(DBL_FullList!I515, ContactsDbl!B:D, 2, FALSE), ""))</f>
        <v>dbladmin_intl@sil.org</v>
      </c>
      <c r="K515" t="str">
        <f>IF(0 = IFERROR(VLOOKUP(DBL_FullList!I515,ContactsDbl!B:D, 3, FALSE), ""), "", IFERROR(VLOOKUP(DBL_FullList!I515, ContactsDbl!B:D, 3, FALSE), ""))</f>
        <v>http://www.wycliffe.org</v>
      </c>
      <c r="L515">
        <f t="shared" ref="L515:L578" si="17">IF("" &lt;&gt; J515, 2, IF("" &lt;&gt; K515, 1, 0))</f>
        <v>2</v>
      </c>
    </row>
    <row r="516" spans="1:12" x14ac:dyDescent="0.25">
      <c r="A516" t="s">
        <v>4652</v>
      </c>
      <c r="B516" t="str">
        <f>IF(ISERROR(VLOOKUP(F516,STEP!A:A, 1, FALSE)), "N", "Y")</f>
        <v>N</v>
      </c>
      <c r="C516" t="str">
        <f>IF(ISERROR(VLOOKUP(E516, BibleInEveryLanguageTexts!A:A, 1, FALSE)), "N", "Y")</f>
        <v>N</v>
      </c>
      <c r="D516" t="str">
        <f t="shared" si="16"/>
        <v>X</v>
      </c>
      <c r="E516" t="s">
        <v>4653</v>
      </c>
      <c r="F516" t="s">
        <v>4654</v>
      </c>
      <c r="G516" t="s">
        <v>2733</v>
      </c>
      <c r="H516" t="s">
        <v>3364</v>
      </c>
      <c r="I516" t="s">
        <v>2013</v>
      </c>
      <c r="J516" t="str">
        <f>IF(0 = IFERROR(VLOOKUP(DBL_FullList!I516, ContactsDbl!B:D, 2, FALSE), ""), "", IFERROR(VLOOKUP(DBL_FullList!I516, ContactsDbl!B:D, 2, FALSE), ""))</f>
        <v>fcossio@biblesocieties.org</v>
      </c>
      <c r="K516" t="str">
        <f>IF(0 = IFERROR(VLOOKUP(DBL_FullList!I516,ContactsDbl!B:D, 3, FALSE), ""), "", IFERROR(VLOOKUP(DBL_FullList!I516, ContactsDbl!B:D, 3, FALSE), ""))</f>
        <v>http://sociedadbiblicaboliviana.org</v>
      </c>
      <c r="L516">
        <f t="shared" si="17"/>
        <v>2</v>
      </c>
    </row>
    <row r="517" spans="1:12" x14ac:dyDescent="0.25">
      <c r="A517" t="s">
        <v>4655</v>
      </c>
      <c r="B517" t="str">
        <f>IF(ISERROR(VLOOKUP(F517,STEP!A:A, 1, FALSE)), "N", "Y")</f>
        <v>N</v>
      </c>
      <c r="C517" t="str">
        <f>IF(ISERROR(VLOOKUP(E517, BibleInEveryLanguageTexts!A:A, 1, FALSE)), "N", "Y")</f>
        <v>Y</v>
      </c>
      <c r="D517" t="str">
        <f t="shared" si="16"/>
        <v/>
      </c>
      <c r="E517" t="s">
        <v>12</v>
      </c>
      <c r="F517" t="s">
        <v>10</v>
      </c>
      <c r="H517" t="s">
        <v>4656</v>
      </c>
      <c r="I517" t="s">
        <v>2052</v>
      </c>
      <c r="J517" t="str">
        <f>IF(0 = IFERROR(VLOOKUP(DBL_FullList!I517, ContactsDbl!B:D, 2, FALSE), ""), "", IFERROR(VLOOKUP(DBL_FullList!I517, ContactsDbl!B:D, 2, FALSE), ""))</f>
        <v/>
      </c>
      <c r="K517" t="str">
        <f>IF(0 = IFERROR(VLOOKUP(DBL_FullList!I517,ContactsDbl!B:D, 3, FALSE), ""), "", IFERROR(VLOOKUP(DBL_FullList!I517, ContactsDbl!B:D, 3, FALSE), ""))</f>
        <v>http://bible.org</v>
      </c>
      <c r="L517">
        <f t="shared" si="17"/>
        <v>1</v>
      </c>
    </row>
    <row r="518" spans="1:12" x14ac:dyDescent="0.25">
      <c r="A518" t="s">
        <v>4657</v>
      </c>
      <c r="B518" t="str">
        <f>IF(ISERROR(VLOOKUP(F518,STEP!A:A, 1, FALSE)), "N", "Y")</f>
        <v>N</v>
      </c>
      <c r="C518" t="str">
        <f>IF(ISERROR(VLOOKUP(E518, BibleInEveryLanguageTexts!A:A, 1, FALSE)), "N", "Y")</f>
        <v>Y</v>
      </c>
      <c r="D518" t="str">
        <f t="shared" si="16"/>
        <v/>
      </c>
      <c r="E518" t="s">
        <v>12</v>
      </c>
      <c r="F518" t="s">
        <v>10</v>
      </c>
      <c r="H518" t="s">
        <v>4658</v>
      </c>
      <c r="I518" t="s">
        <v>2661</v>
      </c>
      <c r="J518" t="str">
        <f>IF(0 = IFERROR(VLOOKUP(DBL_FullList!I518, ContactsDbl!B:D, 2, FALSE), ""), "", IFERROR(VLOOKUP(DBL_FullList!I518, ContactsDbl!B:D, 2, FALSE), ""))</f>
        <v>dbladmin_intl@sil.org</v>
      </c>
      <c r="K518" t="str">
        <f>IF(0 = IFERROR(VLOOKUP(DBL_FullList!I518,ContactsDbl!B:D, 3, FALSE), ""), "", IFERROR(VLOOKUP(DBL_FullList!I518, ContactsDbl!B:D, 3, FALSE), ""))</f>
        <v>http://www.wycliffe.org</v>
      </c>
      <c r="L518">
        <f t="shared" si="17"/>
        <v>2</v>
      </c>
    </row>
    <row r="519" spans="1:12" x14ac:dyDescent="0.25">
      <c r="A519" t="s">
        <v>4659</v>
      </c>
      <c r="B519" t="str">
        <f>IF(ISERROR(VLOOKUP(F519,STEP!A:A, 1, FALSE)), "N", "Y")</f>
        <v>N</v>
      </c>
      <c r="C519" t="str">
        <f>IF(ISERROR(VLOOKUP(E519, BibleInEveryLanguageTexts!A:A, 1, FALSE)), "N", "Y")</f>
        <v>N</v>
      </c>
      <c r="D519" t="str">
        <f t="shared" si="16"/>
        <v>X</v>
      </c>
      <c r="E519" t="s">
        <v>1439</v>
      </c>
      <c r="F519" t="s">
        <v>4304</v>
      </c>
      <c r="G519" t="s">
        <v>4305</v>
      </c>
      <c r="H519" t="s">
        <v>4660</v>
      </c>
      <c r="I519" t="s">
        <v>3104</v>
      </c>
      <c r="J519" t="str">
        <f>IF(0 = IFERROR(VLOOKUP(DBL_FullList!I519, ContactsDbl!B:D, 2, FALSE), ""), "", IFERROR(VLOOKUP(DBL_FullList!I519, ContactsDbl!B:D, 2, FALSE), ""))</f>
        <v/>
      </c>
      <c r="K519" t="str">
        <f>IF(0 = IFERROR(VLOOKUP(DBL_FullList!I519,ContactsDbl!B:D, 3, FALSE), ""), "", IFERROR(VLOOKUP(DBL_FullList!I519, ContactsDbl!B:D, 3, FALSE), ""))</f>
        <v/>
      </c>
      <c r="L519">
        <f t="shared" si="17"/>
        <v>0</v>
      </c>
    </row>
    <row r="520" spans="1:12" x14ac:dyDescent="0.25">
      <c r="A520" t="s">
        <v>4661</v>
      </c>
      <c r="B520" t="str">
        <f>IF(ISERROR(VLOOKUP(F520,STEP!A:A, 1, FALSE)), "N", "Y")</f>
        <v>N</v>
      </c>
      <c r="C520" t="str">
        <f>IF(ISERROR(VLOOKUP(E520, BibleInEveryLanguageTexts!A:A, 1, FALSE)), "N", "Y")</f>
        <v>N</v>
      </c>
      <c r="D520" t="str">
        <f t="shared" si="16"/>
        <v>X</v>
      </c>
      <c r="E520" t="s">
        <v>4662</v>
      </c>
      <c r="F520" t="s">
        <v>4663</v>
      </c>
      <c r="G520" t="s">
        <v>2723</v>
      </c>
      <c r="H520" t="s">
        <v>4664</v>
      </c>
      <c r="I520" t="s">
        <v>2661</v>
      </c>
      <c r="J520" t="str">
        <f>IF(0 = IFERROR(VLOOKUP(DBL_FullList!I520, ContactsDbl!B:D, 2, FALSE), ""), "", IFERROR(VLOOKUP(DBL_FullList!I520, ContactsDbl!B:D, 2, FALSE), ""))</f>
        <v>dbladmin_intl@sil.org</v>
      </c>
      <c r="K520" t="str">
        <f>IF(0 = IFERROR(VLOOKUP(DBL_FullList!I520,ContactsDbl!B:D, 3, FALSE), ""), "", IFERROR(VLOOKUP(DBL_FullList!I520, ContactsDbl!B:D, 3, FALSE), ""))</f>
        <v>http://www.wycliffe.org</v>
      </c>
      <c r="L520">
        <f t="shared" si="17"/>
        <v>2</v>
      </c>
    </row>
    <row r="521" spans="1:12" x14ac:dyDescent="0.25">
      <c r="A521" t="s">
        <v>4665</v>
      </c>
      <c r="B521" t="str">
        <f>IF(ISERROR(VLOOKUP(F521,STEP!A:A, 1, FALSE)), "N", "Y")</f>
        <v>N</v>
      </c>
      <c r="C521" t="str">
        <f>IF(ISERROR(VLOOKUP(E521, BibleInEveryLanguageTexts!A:A, 1, FALSE)), "N", "Y")</f>
        <v>N</v>
      </c>
      <c r="D521" t="str">
        <f t="shared" si="16"/>
        <v>X</v>
      </c>
      <c r="E521" t="s">
        <v>1303</v>
      </c>
      <c r="F521" t="s">
        <v>4666</v>
      </c>
      <c r="G521" t="s">
        <v>4305</v>
      </c>
      <c r="H521" t="s">
        <v>4667</v>
      </c>
      <c r="I521" t="s">
        <v>1997</v>
      </c>
      <c r="J521" t="str">
        <f>IF(0 = IFERROR(VLOOKUP(DBL_FullList!I521, ContactsDbl!B:D, 2, FALSE), ""), "", IFERROR(VLOOKUP(DBL_FullList!I521, ContactsDbl!B:D, 2, FALSE), ""))</f>
        <v>Lee.Harris@biblica.com</v>
      </c>
      <c r="K521" t="str">
        <f>IF(0 = IFERROR(VLOOKUP(DBL_FullList!I521,ContactsDbl!B:D, 3, FALSE), ""), "", IFERROR(VLOOKUP(DBL_FullList!I521, ContactsDbl!B:D, 3, FALSE), ""))</f>
        <v>http://www.Biblica.com</v>
      </c>
      <c r="L521">
        <f t="shared" si="17"/>
        <v>2</v>
      </c>
    </row>
    <row r="522" spans="1:12" x14ac:dyDescent="0.25">
      <c r="A522" t="s">
        <v>4668</v>
      </c>
      <c r="B522" t="str">
        <f>IF(ISERROR(VLOOKUP(F522,STEP!A:A, 1, FALSE)), "N", "Y")</f>
        <v>N</v>
      </c>
      <c r="C522" t="str">
        <f>IF(ISERROR(VLOOKUP(E522, BibleInEveryLanguageTexts!A:A, 1, FALSE)), "N", "Y")</f>
        <v>Y</v>
      </c>
      <c r="D522" t="str">
        <f t="shared" si="16"/>
        <v/>
      </c>
      <c r="E522" t="s">
        <v>1515</v>
      </c>
      <c r="F522" t="s">
        <v>4076</v>
      </c>
      <c r="G522" t="s">
        <v>2858</v>
      </c>
      <c r="H522" t="s">
        <v>4669</v>
      </c>
      <c r="I522" t="s">
        <v>2505</v>
      </c>
      <c r="J522" t="str">
        <f>IF(0 = IFERROR(VLOOKUP(DBL_FullList!I522, ContactsDbl!B:D, 2, FALSE), ""), "", IFERROR(VLOOKUP(DBL_FullList!I522, ContactsDbl!B:D, 2, FALSE), ""))</f>
        <v/>
      </c>
      <c r="K522" t="str">
        <f>IF(0 = IFERROR(VLOOKUP(DBL_FullList!I522,ContactsDbl!B:D, 3, FALSE), ""), "", IFERROR(VLOOKUP(DBL_FullList!I522, ContactsDbl!B:D, 3, FALSE), ""))</f>
        <v>http://www.bible.org.ph/</v>
      </c>
      <c r="L522">
        <f t="shared" si="17"/>
        <v>1</v>
      </c>
    </row>
    <row r="523" spans="1:12" x14ac:dyDescent="0.25">
      <c r="A523" t="s">
        <v>4670</v>
      </c>
      <c r="B523" t="str">
        <f>IF(ISERROR(VLOOKUP(F523,STEP!A:A, 1, FALSE)), "N", "Y")</f>
        <v>N</v>
      </c>
      <c r="C523" t="str">
        <f>IF(ISERROR(VLOOKUP(E523, BibleInEveryLanguageTexts!A:A, 1, FALSE)), "N", "Y")</f>
        <v>N</v>
      </c>
      <c r="D523" t="str">
        <f t="shared" si="16"/>
        <v>X</v>
      </c>
      <c r="E523" t="s">
        <v>4671</v>
      </c>
      <c r="F523" t="s">
        <v>4672</v>
      </c>
      <c r="G523" t="s">
        <v>110</v>
      </c>
      <c r="H523" t="s">
        <v>4673</v>
      </c>
      <c r="I523" t="s">
        <v>2370</v>
      </c>
      <c r="J523" t="str">
        <f>IF(0 = IFERROR(VLOOKUP(DBL_FullList!I523, ContactsDbl!B:D, 2, FALSE), ""), "", IFERROR(VLOOKUP(DBL_FullList!I523, ContactsDbl!B:D, 2, FALSE), ""))</f>
        <v>anwartjen@alkitab.or.id</v>
      </c>
      <c r="K523" t="str">
        <f>IF(0 = IFERROR(VLOOKUP(DBL_FullList!I523,ContactsDbl!B:D, 3, FALSE), ""), "", IFERROR(VLOOKUP(DBL_FullList!I523, ContactsDbl!B:D, 3, FALSE), ""))</f>
        <v>http://www.alkitab.or.id/</v>
      </c>
      <c r="L523">
        <f t="shared" si="17"/>
        <v>2</v>
      </c>
    </row>
    <row r="524" spans="1:12" x14ac:dyDescent="0.25">
      <c r="A524" t="s">
        <v>4674</v>
      </c>
      <c r="B524" t="str">
        <f>IF(ISERROR(VLOOKUP(F524,STEP!A:A, 1, FALSE)), "N", "Y")</f>
        <v>N</v>
      </c>
      <c r="C524" t="str">
        <f>IF(ISERROR(VLOOKUP(E524, BibleInEveryLanguageTexts!A:A, 1, FALSE)), "N", "Y")</f>
        <v>N</v>
      </c>
      <c r="D524" t="str">
        <f t="shared" si="16"/>
        <v>X</v>
      </c>
      <c r="E524" t="s">
        <v>187</v>
      </c>
      <c r="F524" t="s">
        <v>185</v>
      </c>
      <c r="G524" t="s">
        <v>186</v>
      </c>
      <c r="H524" t="s">
        <v>4675</v>
      </c>
      <c r="I524" t="s">
        <v>1997</v>
      </c>
      <c r="J524" t="str">
        <f>IF(0 = IFERROR(VLOOKUP(DBL_FullList!I524, ContactsDbl!B:D, 2, FALSE), ""), "", IFERROR(VLOOKUP(DBL_FullList!I524, ContactsDbl!B:D, 2, FALSE), ""))</f>
        <v>Lee.Harris@biblica.com</v>
      </c>
      <c r="K524" t="str">
        <f>IF(0 = IFERROR(VLOOKUP(DBL_FullList!I524,ContactsDbl!B:D, 3, FALSE), ""), "", IFERROR(VLOOKUP(DBL_FullList!I524, ContactsDbl!B:D, 3, FALSE), ""))</f>
        <v>http://www.Biblica.com</v>
      </c>
      <c r="L524">
        <f t="shared" si="17"/>
        <v>2</v>
      </c>
    </row>
    <row r="525" spans="1:12" x14ac:dyDescent="0.25">
      <c r="A525" t="s">
        <v>4676</v>
      </c>
      <c r="B525" t="str">
        <f>IF(ISERROR(VLOOKUP(F525,STEP!A:A, 1, FALSE)), "N", "Y")</f>
        <v>N</v>
      </c>
      <c r="C525" t="str">
        <f>IF(ISERROR(VLOOKUP(E525, BibleInEveryLanguageTexts!A:A, 1, FALSE)), "N", "Y")</f>
        <v>N</v>
      </c>
      <c r="D525" t="str">
        <f t="shared" si="16"/>
        <v>X</v>
      </c>
      <c r="E525" t="s">
        <v>4677</v>
      </c>
      <c r="F525" t="s">
        <v>4678</v>
      </c>
      <c r="G525" t="s">
        <v>2756</v>
      </c>
      <c r="H525" t="s">
        <v>4679</v>
      </c>
      <c r="I525" t="s">
        <v>2126</v>
      </c>
      <c r="J525" t="str">
        <f>IF(0 = IFERROR(VLOOKUP(DBL_FullList!I525, ContactsDbl!B:D, 2, FALSE), ""), "", IFERROR(VLOOKUP(DBL_FullList!I525, ContactsDbl!B:D, 2, FALSE), ""))</f>
        <v>gluke@biblesocieties.org</v>
      </c>
      <c r="K525" t="str">
        <f>IF(0 = IFERROR(VLOOKUP(DBL_FullList!I525,ContactsDbl!B:D, 3, FALSE), ""), "", IFERROR(VLOOKUP(DBL_FullList!I525, ContactsDbl!B:D, 3, FALSE), ""))</f>
        <v>http://www.biblesociety-cameroon.org/</v>
      </c>
      <c r="L525">
        <f t="shared" si="17"/>
        <v>2</v>
      </c>
    </row>
    <row r="526" spans="1:12" x14ac:dyDescent="0.25">
      <c r="A526" t="s">
        <v>4680</v>
      </c>
      <c r="B526" t="str">
        <f>IF(ISERROR(VLOOKUP(F526,STEP!A:A, 1, FALSE)), "N", "Y")</f>
        <v>N</v>
      </c>
      <c r="C526" t="str">
        <f>IF(ISERROR(VLOOKUP(E526, BibleInEveryLanguageTexts!A:A, 1, FALSE)), "N", "Y")</f>
        <v>N</v>
      </c>
      <c r="D526" t="str">
        <f t="shared" si="16"/>
        <v>X</v>
      </c>
      <c r="E526" t="s">
        <v>3775</v>
      </c>
      <c r="F526" t="s">
        <v>3776</v>
      </c>
      <c r="G526" t="s">
        <v>3852</v>
      </c>
      <c r="H526" t="s">
        <v>4681</v>
      </c>
      <c r="I526" t="s">
        <v>2280</v>
      </c>
      <c r="J526" t="str">
        <f>IF(0 = IFERROR(VLOOKUP(DBL_FullList!I526, ContactsDbl!B:D, 2, FALSE), ""), "", IFERROR(VLOOKUP(DBL_FullList!I526, ContactsDbl!B:D, 2, FALSE), ""))</f>
        <v>ignatius@hkbs.org.hk</v>
      </c>
      <c r="K526" t="str">
        <f>IF(0 = IFERROR(VLOOKUP(DBL_FullList!I526,ContactsDbl!B:D, 3, FALSE), ""), "", IFERROR(VLOOKUP(DBL_FullList!I526, ContactsDbl!B:D, 3, FALSE), ""))</f>
        <v>www.hkbs.org.hk</v>
      </c>
      <c r="L526">
        <f t="shared" si="17"/>
        <v>2</v>
      </c>
    </row>
    <row r="527" spans="1:12" x14ac:dyDescent="0.25">
      <c r="A527" t="s">
        <v>4682</v>
      </c>
      <c r="B527" t="str">
        <f>IF(ISERROR(VLOOKUP(F527,STEP!A:A, 1, FALSE)), "N", "Y")</f>
        <v>N</v>
      </c>
      <c r="C527" t="str">
        <f>IF(ISERROR(VLOOKUP(E527, BibleInEveryLanguageTexts!A:A, 1, FALSE)), "N", "Y")</f>
        <v>N</v>
      </c>
      <c r="D527" t="str">
        <f t="shared" si="16"/>
        <v>X</v>
      </c>
      <c r="E527" t="s">
        <v>4683</v>
      </c>
      <c r="F527" t="s">
        <v>4684</v>
      </c>
      <c r="G527" t="s">
        <v>20</v>
      </c>
      <c r="H527" t="s">
        <v>4685</v>
      </c>
      <c r="I527" t="s">
        <v>2329</v>
      </c>
      <c r="J527" t="str">
        <f>IF(0 = IFERROR(VLOOKUP(DBL_FullList!I527, ContactsDbl!B:D, 2, FALSE), ""), "", IFERROR(VLOOKUP(DBL_FullList!I527, ContactsDbl!B:D, 2, FALSE), ""))</f>
        <v/>
      </c>
      <c r="K527" t="str">
        <f>IF(0 = IFERROR(VLOOKUP(DBL_FullList!I527,ContactsDbl!B:D, 3, FALSE), ""), "", IFERROR(VLOOKUP(DBL_FullList!I527, ContactsDbl!B:D, 3, FALSE), ""))</f>
        <v>http://www.bsind.org/</v>
      </c>
      <c r="L527">
        <f t="shared" si="17"/>
        <v>1</v>
      </c>
    </row>
    <row r="528" spans="1:12" x14ac:dyDescent="0.25">
      <c r="A528" t="s">
        <v>4686</v>
      </c>
      <c r="B528" t="str">
        <f>IF(ISERROR(VLOOKUP(F528,STEP!A:A, 1, FALSE)), "N", "Y")</f>
        <v>N</v>
      </c>
      <c r="C528" t="str">
        <f>IF(ISERROR(VLOOKUP(E528, BibleInEveryLanguageTexts!A:A, 1, FALSE)), "N", "Y")</f>
        <v>N</v>
      </c>
      <c r="D528" t="str">
        <f t="shared" si="16"/>
        <v>X</v>
      </c>
      <c r="E528" t="s">
        <v>4687</v>
      </c>
      <c r="F528" t="s">
        <v>4688</v>
      </c>
      <c r="G528" t="s">
        <v>3699</v>
      </c>
      <c r="H528" t="s">
        <v>4689</v>
      </c>
      <c r="I528" t="s">
        <v>2483</v>
      </c>
      <c r="J528" t="str">
        <f>IF(0 = IFERROR(VLOOKUP(DBL_FullList!I528, ContactsDbl!B:D, 2, FALSE), ""), "", IFERROR(VLOOKUP(DBL_FullList!I528, ContactsDbl!B:D, 2, FALSE), ""))</f>
        <v>freddy.fonseca@sbnic.org</v>
      </c>
      <c r="K528" t="str">
        <f>IF(0 = IFERROR(VLOOKUP(DBL_FullList!I528,ContactsDbl!B:D, 3, FALSE), ""), "", IFERROR(VLOOKUP(DBL_FullList!I528, ContactsDbl!B:D, 3, FALSE), ""))</f>
        <v>http://www.sociedadbiblica.org.ni/</v>
      </c>
      <c r="L528">
        <f t="shared" si="17"/>
        <v>2</v>
      </c>
    </row>
    <row r="529" spans="1:12" x14ac:dyDescent="0.25">
      <c r="A529" t="s">
        <v>4690</v>
      </c>
      <c r="B529" t="str">
        <f>IF(ISERROR(VLOOKUP(F529,STEP!A:A, 1, FALSE)), "N", "Y")</f>
        <v>N</v>
      </c>
      <c r="C529" t="str">
        <f>IF(ISERROR(VLOOKUP(E529, BibleInEveryLanguageTexts!A:A, 1, FALSE)), "N", "Y")</f>
        <v>N</v>
      </c>
      <c r="D529" t="str">
        <f t="shared" si="16"/>
        <v>X</v>
      </c>
      <c r="E529" t="s">
        <v>4691</v>
      </c>
      <c r="F529" t="s">
        <v>4692</v>
      </c>
      <c r="G529" t="s">
        <v>3133</v>
      </c>
      <c r="H529" t="s">
        <v>4693</v>
      </c>
      <c r="I529" t="s">
        <v>2661</v>
      </c>
      <c r="J529" t="str">
        <f>IF(0 = IFERROR(VLOOKUP(DBL_FullList!I529, ContactsDbl!B:D, 2, FALSE), ""), "", IFERROR(VLOOKUP(DBL_FullList!I529, ContactsDbl!B:D, 2, FALSE), ""))</f>
        <v>dbladmin_intl@sil.org</v>
      </c>
      <c r="K529" t="str">
        <f>IF(0 = IFERROR(VLOOKUP(DBL_FullList!I529,ContactsDbl!B:D, 3, FALSE), ""), "", IFERROR(VLOOKUP(DBL_FullList!I529, ContactsDbl!B:D, 3, FALSE), ""))</f>
        <v>http://www.wycliffe.org</v>
      </c>
      <c r="L529">
        <f t="shared" si="17"/>
        <v>2</v>
      </c>
    </row>
    <row r="530" spans="1:12" x14ac:dyDescent="0.25">
      <c r="A530" t="s">
        <v>4694</v>
      </c>
      <c r="B530" t="str">
        <f>IF(ISERROR(VLOOKUP(F530,STEP!A:A, 1, FALSE)), "N", "Y")</f>
        <v>Y</v>
      </c>
      <c r="C530" t="str">
        <f>IF(ISERROR(VLOOKUP(E530, BibleInEveryLanguageTexts!A:A, 1, FALSE)), "N", "Y")</f>
        <v>N</v>
      </c>
      <c r="D530" t="str">
        <f t="shared" si="16"/>
        <v/>
      </c>
      <c r="E530" t="s">
        <v>4695</v>
      </c>
      <c r="F530" t="s">
        <v>4696</v>
      </c>
      <c r="G530" t="s">
        <v>48</v>
      </c>
      <c r="H530" t="s">
        <v>4697</v>
      </c>
      <c r="I530" t="s">
        <v>2661</v>
      </c>
      <c r="J530" t="str">
        <f>IF(0 = IFERROR(VLOOKUP(DBL_FullList!I530, ContactsDbl!B:D, 2, FALSE), ""), "", IFERROR(VLOOKUP(DBL_FullList!I530, ContactsDbl!B:D, 2, FALSE), ""))</f>
        <v>dbladmin_intl@sil.org</v>
      </c>
      <c r="K530" t="str">
        <f>IF(0 = IFERROR(VLOOKUP(DBL_FullList!I530,ContactsDbl!B:D, 3, FALSE), ""), "", IFERROR(VLOOKUP(DBL_FullList!I530, ContactsDbl!B:D, 3, FALSE), ""))</f>
        <v>http://www.wycliffe.org</v>
      </c>
      <c r="L530">
        <f t="shared" si="17"/>
        <v>2</v>
      </c>
    </row>
    <row r="531" spans="1:12" x14ac:dyDescent="0.25">
      <c r="A531" t="s">
        <v>4698</v>
      </c>
      <c r="B531" t="str">
        <f>IF(ISERROR(VLOOKUP(F531,STEP!A:A, 1, FALSE)), "N", "Y")</f>
        <v>N</v>
      </c>
      <c r="C531" t="str">
        <f>IF(ISERROR(VLOOKUP(E531, BibleInEveryLanguageTexts!A:A, 1, FALSE)), "N", "Y")</f>
        <v>N</v>
      </c>
      <c r="D531" t="str">
        <f t="shared" si="16"/>
        <v>X</v>
      </c>
      <c r="E531" t="s">
        <v>4699</v>
      </c>
      <c r="F531" t="s">
        <v>4700</v>
      </c>
      <c r="G531" t="s">
        <v>2838</v>
      </c>
      <c r="H531" t="s">
        <v>4701</v>
      </c>
      <c r="I531" t="s">
        <v>2661</v>
      </c>
      <c r="J531" t="str">
        <f>IF(0 = IFERROR(VLOOKUP(DBL_FullList!I531, ContactsDbl!B:D, 2, FALSE), ""), "", IFERROR(VLOOKUP(DBL_FullList!I531, ContactsDbl!B:D, 2, FALSE), ""))</f>
        <v>dbladmin_intl@sil.org</v>
      </c>
      <c r="K531" t="str">
        <f>IF(0 = IFERROR(VLOOKUP(DBL_FullList!I531,ContactsDbl!B:D, 3, FALSE), ""), "", IFERROR(VLOOKUP(DBL_FullList!I531, ContactsDbl!B:D, 3, FALSE), ""))</f>
        <v>http://www.wycliffe.org</v>
      </c>
      <c r="L531">
        <f t="shared" si="17"/>
        <v>2</v>
      </c>
    </row>
    <row r="532" spans="1:12" x14ac:dyDescent="0.25">
      <c r="A532" t="s">
        <v>4702</v>
      </c>
      <c r="B532" t="str">
        <f>IF(ISERROR(VLOOKUP(F532,STEP!A:A, 1, FALSE)), "N", "Y")</f>
        <v>N</v>
      </c>
      <c r="C532" t="str">
        <f>IF(ISERROR(VLOOKUP(E532, BibleInEveryLanguageTexts!A:A, 1, FALSE)), "N", "Y")</f>
        <v>N</v>
      </c>
      <c r="D532" t="str">
        <f t="shared" si="16"/>
        <v>X</v>
      </c>
      <c r="E532" t="s">
        <v>4703</v>
      </c>
      <c r="F532" t="s">
        <v>4704</v>
      </c>
      <c r="G532" t="s">
        <v>110</v>
      </c>
      <c r="H532" t="s">
        <v>4705</v>
      </c>
      <c r="I532" t="s">
        <v>2671</v>
      </c>
      <c r="J532" t="str">
        <f>IF(0 = IFERROR(VLOOKUP(DBL_FullList!I532, ContactsDbl!B:D, 2, FALSE), ""), "", IFERROR(VLOOKUP(DBL_FullList!I532, ContactsDbl!B:D, 2, FALSE), ""))</f>
        <v/>
      </c>
      <c r="K532" t="str">
        <f>IF(0 = IFERROR(VLOOKUP(DBL_FullList!I532,ContactsDbl!B:D, 3, FALSE), ""), "", IFERROR(VLOOKUP(DBL_FullList!I532, ContactsDbl!B:D, 3, FALSE), ""))</f>
        <v/>
      </c>
      <c r="L532">
        <f t="shared" si="17"/>
        <v>0</v>
      </c>
    </row>
    <row r="533" spans="1:12" x14ac:dyDescent="0.25">
      <c r="A533" t="s">
        <v>4706</v>
      </c>
      <c r="B533" t="str">
        <f>IF(ISERROR(VLOOKUP(F533,STEP!A:A, 1, FALSE)), "N", "Y")</f>
        <v>N</v>
      </c>
      <c r="C533" t="str">
        <f>IF(ISERROR(VLOOKUP(E533, BibleInEveryLanguageTexts!A:A, 1, FALSE)), "N", "Y")</f>
        <v>N</v>
      </c>
      <c r="D533" t="str">
        <f t="shared" si="16"/>
        <v>X</v>
      </c>
      <c r="E533" t="s">
        <v>4707</v>
      </c>
      <c r="F533" t="s">
        <v>4708</v>
      </c>
      <c r="G533" t="s">
        <v>11</v>
      </c>
      <c r="H533" t="s">
        <v>4709</v>
      </c>
      <c r="I533" t="s">
        <v>1964</v>
      </c>
      <c r="J533" t="str">
        <f>IF(0 = IFERROR(VLOOKUP(DBL_FullList!I533, ContactsDbl!B:D, 2, FALSE), ""), "", IFERROR(VLOOKUP(DBL_FullList!I533, ContactsDbl!B:D, 2, FALSE), ""))</f>
        <v/>
      </c>
      <c r="K533" t="str">
        <f>IF(0 = IFERROR(VLOOKUP(DBL_FullList!I533,ContactsDbl!B:D, 3, FALSE), ""), "", IFERROR(VLOOKUP(DBL_FullList!I533, ContactsDbl!B:D, 3, FALSE), ""))</f>
        <v>http://www.americanbible.org/</v>
      </c>
      <c r="L533">
        <f t="shared" si="17"/>
        <v>1</v>
      </c>
    </row>
    <row r="534" spans="1:12" x14ac:dyDescent="0.25">
      <c r="A534" t="s">
        <v>4710</v>
      </c>
      <c r="B534" t="str">
        <f>IF(ISERROR(VLOOKUP(F534,STEP!A:A, 1, FALSE)), "N", "Y")</f>
        <v>N</v>
      </c>
      <c r="C534" t="str">
        <f>IF(ISERROR(VLOOKUP(E534, BibleInEveryLanguageTexts!A:A, 1, FALSE)), "N", "Y")</f>
        <v>N</v>
      </c>
      <c r="D534" t="str">
        <f t="shared" si="16"/>
        <v>X</v>
      </c>
      <c r="E534" t="s">
        <v>4203</v>
      </c>
      <c r="F534" t="s">
        <v>4204</v>
      </c>
      <c r="G534" t="s">
        <v>48</v>
      </c>
      <c r="H534" t="s">
        <v>4711</v>
      </c>
      <c r="I534" t="s">
        <v>2661</v>
      </c>
      <c r="J534" t="str">
        <f>IF(0 = IFERROR(VLOOKUP(DBL_FullList!I534, ContactsDbl!B:D, 2, FALSE), ""), "", IFERROR(VLOOKUP(DBL_FullList!I534, ContactsDbl!B:D, 2, FALSE), ""))</f>
        <v>dbladmin_intl@sil.org</v>
      </c>
      <c r="K534" t="str">
        <f>IF(0 = IFERROR(VLOOKUP(DBL_FullList!I534,ContactsDbl!B:D, 3, FALSE), ""), "", IFERROR(VLOOKUP(DBL_FullList!I534, ContactsDbl!B:D, 3, FALSE), ""))</f>
        <v>http://www.wycliffe.org</v>
      </c>
      <c r="L534">
        <f t="shared" si="17"/>
        <v>2</v>
      </c>
    </row>
    <row r="535" spans="1:12" x14ac:dyDescent="0.25">
      <c r="A535" t="s">
        <v>4712</v>
      </c>
      <c r="B535" t="str">
        <f>IF(ISERROR(VLOOKUP(F535,STEP!A:A, 1, FALSE)), "N", "Y")</f>
        <v>Y</v>
      </c>
      <c r="C535" t="str">
        <f>IF(ISERROR(VLOOKUP(E535, BibleInEveryLanguageTexts!A:A, 1, FALSE)), "N", "Y")</f>
        <v>N</v>
      </c>
      <c r="D535" t="str">
        <f t="shared" si="16"/>
        <v/>
      </c>
      <c r="E535" t="s">
        <v>4713</v>
      </c>
      <c r="F535" t="s">
        <v>4714</v>
      </c>
      <c r="G535" t="s">
        <v>48</v>
      </c>
      <c r="H535" t="s">
        <v>4715</v>
      </c>
      <c r="I535" t="s">
        <v>2661</v>
      </c>
      <c r="J535" t="str">
        <f>IF(0 = IFERROR(VLOOKUP(DBL_FullList!I535, ContactsDbl!B:D, 2, FALSE), ""), "", IFERROR(VLOOKUP(DBL_FullList!I535, ContactsDbl!B:D, 2, FALSE), ""))</f>
        <v>dbladmin_intl@sil.org</v>
      </c>
      <c r="K535" t="str">
        <f>IF(0 = IFERROR(VLOOKUP(DBL_FullList!I535,ContactsDbl!B:D, 3, FALSE), ""), "", IFERROR(VLOOKUP(DBL_FullList!I535, ContactsDbl!B:D, 3, FALSE), ""))</f>
        <v>http://www.wycliffe.org</v>
      </c>
      <c r="L535">
        <f t="shared" si="17"/>
        <v>2</v>
      </c>
    </row>
    <row r="536" spans="1:12" x14ac:dyDescent="0.25">
      <c r="A536" t="s">
        <v>4716</v>
      </c>
      <c r="B536" t="str">
        <f>IF(ISERROR(VLOOKUP(F536,STEP!A:A, 1, FALSE)), "N", "Y")</f>
        <v>Y</v>
      </c>
      <c r="C536" t="str">
        <f>IF(ISERROR(VLOOKUP(E536, BibleInEveryLanguageTexts!A:A, 1, FALSE)), "N", "Y")</f>
        <v>N</v>
      </c>
      <c r="D536" t="str">
        <f t="shared" si="16"/>
        <v/>
      </c>
      <c r="E536" t="s">
        <v>4717</v>
      </c>
      <c r="F536" t="s">
        <v>4718</v>
      </c>
      <c r="G536" t="s">
        <v>48</v>
      </c>
      <c r="H536" t="s">
        <v>4719</v>
      </c>
      <c r="I536" t="s">
        <v>2661</v>
      </c>
      <c r="J536" t="str">
        <f>IF(0 = IFERROR(VLOOKUP(DBL_FullList!I536, ContactsDbl!B:D, 2, FALSE), ""), "", IFERROR(VLOOKUP(DBL_FullList!I536, ContactsDbl!B:D, 2, FALSE), ""))</f>
        <v>dbladmin_intl@sil.org</v>
      </c>
      <c r="K536" t="str">
        <f>IF(0 = IFERROR(VLOOKUP(DBL_FullList!I536,ContactsDbl!B:D, 3, FALSE), ""), "", IFERROR(VLOOKUP(DBL_FullList!I536, ContactsDbl!B:D, 3, FALSE), ""))</f>
        <v>http://www.wycliffe.org</v>
      </c>
      <c r="L536">
        <f t="shared" si="17"/>
        <v>2</v>
      </c>
    </row>
    <row r="537" spans="1:12" x14ac:dyDescent="0.25">
      <c r="A537" t="s">
        <v>4720</v>
      </c>
      <c r="B537" t="str">
        <f>IF(ISERROR(VLOOKUP(F537,STEP!A:A, 1, FALSE)), "N", "Y")</f>
        <v>N</v>
      </c>
      <c r="C537" t="str">
        <f>IF(ISERROR(VLOOKUP(E537, BibleInEveryLanguageTexts!A:A, 1, FALSE)), "N", "Y")</f>
        <v>N</v>
      </c>
      <c r="D537" t="str">
        <f t="shared" si="16"/>
        <v>X</v>
      </c>
      <c r="E537" t="s">
        <v>517</v>
      </c>
      <c r="F537" t="s">
        <v>515</v>
      </c>
      <c r="G537" t="s">
        <v>516</v>
      </c>
      <c r="H537" t="s">
        <v>4721</v>
      </c>
      <c r="I537" t="s">
        <v>2519</v>
      </c>
      <c r="J537" t="str">
        <f>IF(0 = IFERROR(VLOOKUP(DBL_FullList!I537, ContactsDbl!B:D, 2, FALSE), ""), "", IFERROR(VLOOKUP(DBL_FullList!I537, ContactsDbl!B:D, 2, FALSE), ""))</f>
        <v>gjjkarsten@jongbloed.com</v>
      </c>
      <c r="K537" t="str">
        <f>IF(0 = IFERROR(VLOOKUP(DBL_FullList!I537,ContactsDbl!B:D, 3, FALSE), ""), "", IFERROR(VLOOKUP(DBL_FullList!I537, ContactsDbl!B:D, 3, FALSE), ""))</f>
        <v>http://www.royaljongbloed.com/</v>
      </c>
      <c r="L537">
        <f t="shared" si="17"/>
        <v>2</v>
      </c>
    </row>
    <row r="538" spans="1:12" x14ac:dyDescent="0.25">
      <c r="A538" t="s">
        <v>4722</v>
      </c>
      <c r="B538" t="str">
        <f>IF(ISERROR(VLOOKUP(F538,STEP!A:A, 1, FALSE)), "N", "Y")</f>
        <v>N</v>
      </c>
      <c r="C538" t="str">
        <f>IF(ISERROR(VLOOKUP(E538, BibleInEveryLanguageTexts!A:A, 1, FALSE)), "N", "Y")</f>
        <v>N</v>
      </c>
      <c r="D538" t="str">
        <f t="shared" si="16"/>
        <v>X</v>
      </c>
      <c r="E538" t="s">
        <v>4723</v>
      </c>
      <c r="F538" t="s">
        <v>4724</v>
      </c>
      <c r="G538" t="s">
        <v>2984</v>
      </c>
      <c r="H538" t="s">
        <v>4725</v>
      </c>
      <c r="I538" t="s">
        <v>2661</v>
      </c>
      <c r="J538" t="str">
        <f>IF(0 = IFERROR(VLOOKUP(DBL_FullList!I538, ContactsDbl!B:D, 2, FALSE), ""), "", IFERROR(VLOOKUP(DBL_FullList!I538, ContactsDbl!B:D, 2, FALSE), ""))</f>
        <v>dbladmin_intl@sil.org</v>
      </c>
      <c r="K538" t="str">
        <f>IF(0 = IFERROR(VLOOKUP(DBL_FullList!I538,ContactsDbl!B:D, 3, FALSE), ""), "", IFERROR(VLOOKUP(DBL_FullList!I538, ContactsDbl!B:D, 3, FALSE), ""))</f>
        <v>http://www.wycliffe.org</v>
      </c>
      <c r="L538">
        <f t="shared" si="17"/>
        <v>2</v>
      </c>
    </row>
    <row r="539" spans="1:12" x14ac:dyDescent="0.25">
      <c r="A539" t="s">
        <v>4726</v>
      </c>
      <c r="B539" t="str">
        <f>IF(ISERROR(VLOOKUP(F539,STEP!A:A, 1, FALSE)), "N", "Y")</f>
        <v>N</v>
      </c>
      <c r="C539" t="str">
        <f>IF(ISERROR(VLOOKUP(E539, BibleInEveryLanguageTexts!A:A, 1, FALSE)), "N", "Y")</f>
        <v>N</v>
      </c>
      <c r="D539" t="str">
        <f t="shared" si="16"/>
        <v>X</v>
      </c>
      <c r="E539" t="s">
        <v>4727</v>
      </c>
      <c r="F539" t="s">
        <v>4728</v>
      </c>
      <c r="G539" t="s">
        <v>110</v>
      </c>
      <c r="H539" t="s">
        <v>4729</v>
      </c>
      <c r="I539" t="s">
        <v>2370</v>
      </c>
      <c r="J539" t="str">
        <f>IF(0 = IFERROR(VLOOKUP(DBL_FullList!I539, ContactsDbl!B:D, 2, FALSE), ""), "", IFERROR(VLOOKUP(DBL_FullList!I539, ContactsDbl!B:D, 2, FALSE), ""))</f>
        <v>anwartjen@alkitab.or.id</v>
      </c>
      <c r="K539" t="str">
        <f>IF(0 = IFERROR(VLOOKUP(DBL_FullList!I539,ContactsDbl!B:D, 3, FALSE), ""), "", IFERROR(VLOOKUP(DBL_FullList!I539, ContactsDbl!B:D, 3, FALSE), ""))</f>
        <v>http://www.alkitab.or.id/</v>
      </c>
      <c r="L539">
        <f t="shared" si="17"/>
        <v>2</v>
      </c>
    </row>
    <row r="540" spans="1:12" x14ac:dyDescent="0.25">
      <c r="A540" t="s">
        <v>4730</v>
      </c>
      <c r="B540" t="str">
        <f>IF(ISERROR(VLOOKUP(F540,STEP!A:A, 1, FALSE)), "N", "Y")</f>
        <v>N</v>
      </c>
      <c r="C540" t="str">
        <f>IF(ISERROR(VLOOKUP(E540, BibleInEveryLanguageTexts!A:A, 1, FALSE)), "N", "Y")</f>
        <v>N</v>
      </c>
      <c r="D540" t="str">
        <f t="shared" si="16"/>
        <v>X</v>
      </c>
      <c r="E540" t="s">
        <v>219</v>
      </c>
      <c r="F540" t="s">
        <v>217</v>
      </c>
      <c r="G540" t="s">
        <v>218</v>
      </c>
      <c r="H540" t="s">
        <v>4731</v>
      </c>
      <c r="I540" t="s">
        <v>2241</v>
      </c>
      <c r="J540" t="str">
        <f>IF(0 = IFERROR(VLOOKUP(DBL_FullList!I540, ContactsDbl!B:D, 2, FALSE), ""), "", IFERROR(VLOOKUP(DBL_FullList!I540, ContactsDbl!B:D, 2, FALSE), ""))</f>
        <v>dbl@dbg.de</v>
      </c>
      <c r="K540" t="str">
        <f>IF(0 = IFERROR(VLOOKUP(DBL_FullList!I540,ContactsDbl!B:D, 3, FALSE), ""), "", IFERROR(VLOOKUP(DBL_FullList!I540, ContactsDbl!B:D, 3, FALSE), ""))</f>
        <v>http://www.die-bibel.de</v>
      </c>
      <c r="L540">
        <f t="shared" si="17"/>
        <v>2</v>
      </c>
    </row>
    <row r="541" spans="1:12" x14ac:dyDescent="0.25">
      <c r="A541" t="s">
        <v>4732</v>
      </c>
      <c r="B541" t="str">
        <f>IF(ISERROR(VLOOKUP(F541,STEP!A:A, 1, FALSE)), "N", "Y")</f>
        <v>N</v>
      </c>
      <c r="C541" t="str">
        <f>IF(ISERROR(VLOOKUP(E541, BibleInEveryLanguageTexts!A:A, 1, FALSE)), "N", "Y")</f>
        <v>N</v>
      </c>
      <c r="D541" t="str">
        <f t="shared" si="16"/>
        <v>X</v>
      </c>
      <c r="E541" t="s">
        <v>4733</v>
      </c>
      <c r="F541" t="s">
        <v>4734</v>
      </c>
      <c r="G541" t="s">
        <v>383</v>
      </c>
      <c r="H541" t="s">
        <v>4735</v>
      </c>
      <c r="I541" t="s">
        <v>3104</v>
      </c>
      <c r="J541" t="str">
        <f>IF(0 = IFERROR(VLOOKUP(DBL_FullList!I541, ContactsDbl!B:D, 2, FALSE), ""), "", IFERROR(VLOOKUP(DBL_FullList!I541, ContactsDbl!B:D, 2, FALSE), ""))</f>
        <v/>
      </c>
      <c r="K541" t="str">
        <f>IF(0 = IFERROR(VLOOKUP(DBL_FullList!I541,ContactsDbl!B:D, 3, FALSE), ""), "", IFERROR(VLOOKUP(DBL_FullList!I541, ContactsDbl!B:D, 3, FALSE), ""))</f>
        <v/>
      </c>
      <c r="L541">
        <f t="shared" si="17"/>
        <v>0</v>
      </c>
    </row>
    <row r="542" spans="1:12" x14ac:dyDescent="0.25">
      <c r="A542" t="s">
        <v>4736</v>
      </c>
      <c r="B542" t="str">
        <f>IF(ISERROR(VLOOKUP(F542,STEP!A:A, 1, FALSE)), "N", "Y")</f>
        <v>N</v>
      </c>
      <c r="C542" t="str">
        <f>IF(ISERROR(VLOOKUP(E542, BibleInEveryLanguageTexts!A:A, 1, FALSE)), "N", "Y")</f>
        <v>N</v>
      </c>
      <c r="D542" t="str">
        <f t="shared" si="16"/>
        <v>X</v>
      </c>
      <c r="E542" t="s">
        <v>4737</v>
      </c>
      <c r="F542" t="s">
        <v>4738</v>
      </c>
      <c r="G542" t="s">
        <v>4739</v>
      </c>
      <c r="H542" t="s">
        <v>4740</v>
      </c>
      <c r="I542" t="s">
        <v>2198</v>
      </c>
      <c r="J542" t="str">
        <f>IF(0 = IFERROR(VLOOKUP(DBL_FullList!I542, ContactsDbl!B:D, 2, FALSE), ""), "", IFERROR(VLOOKUP(DBL_FullList!I542, ContactsDbl!B:D, 2, FALSE), ""))</f>
        <v>admin@bsoe.org</v>
      </c>
      <c r="K542" t="str">
        <f>IF(0 = IFERROR(VLOOKUP(DBL_FullList!I542,ContactsDbl!B:D, 3, FALSE), ""), "", IFERROR(VLOOKUP(DBL_FullList!I542, ContactsDbl!B:D, 3, FALSE), ""))</f>
        <v>http://www.bsoe.org/</v>
      </c>
      <c r="L542">
        <f t="shared" si="17"/>
        <v>2</v>
      </c>
    </row>
    <row r="543" spans="1:12" x14ac:dyDescent="0.25">
      <c r="A543" t="s">
        <v>4741</v>
      </c>
      <c r="B543" t="str">
        <f>IF(ISERROR(VLOOKUP(F543,STEP!A:A, 1, FALSE)), "N", "Y")</f>
        <v>N</v>
      </c>
      <c r="C543" t="str">
        <f>IF(ISERROR(VLOOKUP(E543, BibleInEveryLanguageTexts!A:A, 1, FALSE)), "N", "Y")</f>
        <v>N</v>
      </c>
      <c r="D543" t="str">
        <f t="shared" si="16"/>
        <v>X</v>
      </c>
      <c r="E543" t="s">
        <v>3775</v>
      </c>
      <c r="F543" t="s">
        <v>3776</v>
      </c>
      <c r="G543" t="s">
        <v>4</v>
      </c>
      <c r="H543" t="s">
        <v>4742</v>
      </c>
      <c r="I543" t="s">
        <v>1997</v>
      </c>
      <c r="J543" t="str">
        <f>IF(0 = IFERROR(VLOOKUP(DBL_FullList!I543, ContactsDbl!B:D, 2, FALSE), ""), "", IFERROR(VLOOKUP(DBL_FullList!I543, ContactsDbl!B:D, 2, FALSE), ""))</f>
        <v>Lee.Harris@biblica.com</v>
      </c>
      <c r="K543" t="str">
        <f>IF(0 = IFERROR(VLOOKUP(DBL_FullList!I543,ContactsDbl!B:D, 3, FALSE), ""), "", IFERROR(VLOOKUP(DBL_FullList!I543, ContactsDbl!B:D, 3, FALSE), ""))</f>
        <v>http://www.Biblica.com</v>
      </c>
      <c r="L543">
        <f t="shared" si="17"/>
        <v>2</v>
      </c>
    </row>
    <row r="544" spans="1:12" x14ac:dyDescent="0.25">
      <c r="A544" t="s">
        <v>4743</v>
      </c>
      <c r="B544" t="str">
        <f>IF(ISERROR(VLOOKUP(F544,STEP!A:A, 1, FALSE)), "N", "Y")</f>
        <v>N</v>
      </c>
      <c r="C544" t="str">
        <f>IF(ISERROR(VLOOKUP(E544, BibleInEveryLanguageTexts!A:A, 1, FALSE)), "N", "Y")</f>
        <v>N</v>
      </c>
      <c r="D544" t="str">
        <f t="shared" si="16"/>
        <v>X</v>
      </c>
      <c r="E544" t="s">
        <v>4744</v>
      </c>
      <c r="F544" t="s">
        <v>4745</v>
      </c>
      <c r="G544" t="s">
        <v>48</v>
      </c>
      <c r="H544" t="s">
        <v>4746</v>
      </c>
      <c r="I544" t="s">
        <v>2661</v>
      </c>
      <c r="J544" t="str">
        <f>IF(0 = IFERROR(VLOOKUP(DBL_FullList!I544, ContactsDbl!B:D, 2, FALSE), ""), "", IFERROR(VLOOKUP(DBL_FullList!I544, ContactsDbl!B:D, 2, FALSE), ""))</f>
        <v>dbladmin_intl@sil.org</v>
      </c>
      <c r="K544" t="str">
        <f>IF(0 = IFERROR(VLOOKUP(DBL_FullList!I544,ContactsDbl!B:D, 3, FALSE), ""), "", IFERROR(VLOOKUP(DBL_FullList!I544, ContactsDbl!B:D, 3, FALSE), ""))</f>
        <v>http://www.wycliffe.org</v>
      </c>
      <c r="L544">
        <f t="shared" si="17"/>
        <v>2</v>
      </c>
    </row>
    <row r="545" spans="1:12" x14ac:dyDescent="0.25">
      <c r="A545" t="s">
        <v>4747</v>
      </c>
      <c r="B545" t="str">
        <f>IF(ISERROR(VLOOKUP(F545,STEP!A:A, 1, FALSE)), "N", "Y")</f>
        <v>N</v>
      </c>
      <c r="C545" t="str">
        <f>IF(ISERROR(VLOOKUP(E545, BibleInEveryLanguageTexts!A:A, 1, FALSE)), "N", "Y")</f>
        <v>N</v>
      </c>
      <c r="D545" t="str">
        <f t="shared" si="16"/>
        <v>X</v>
      </c>
      <c r="E545" t="s">
        <v>4748</v>
      </c>
      <c r="F545" t="s">
        <v>4749</v>
      </c>
      <c r="G545" t="s">
        <v>20</v>
      </c>
      <c r="H545" t="s">
        <v>4750</v>
      </c>
      <c r="I545" t="s">
        <v>2329</v>
      </c>
      <c r="J545" t="str">
        <f>IF(0 = IFERROR(VLOOKUP(DBL_FullList!I545, ContactsDbl!B:D, 2, FALSE), ""), "", IFERROR(VLOOKUP(DBL_FullList!I545, ContactsDbl!B:D, 2, FALSE), ""))</f>
        <v/>
      </c>
      <c r="K545" t="str">
        <f>IF(0 = IFERROR(VLOOKUP(DBL_FullList!I545,ContactsDbl!B:D, 3, FALSE), ""), "", IFERROR(VLOOKUP(DBL_FullList!I545, ContactsDbl!B:D, 3, FALSE), ""))</f>
        <v>http://www.bsind.org/</v>
      </c>
      <c r="L545">
        <f t="shared" si="17"/>
        <v>1</v>
      </c>
    </row>
    <row r="546" spans="1:12" x14ac:dyDescent="0.25">
      <c r="A546" t="s">
        <v>4751</v>
      </c>
      <c r="B546" t="str">
        <f>IF(ISERROR(VLOOKUP(F546,STEP!A:A, 1, FALSE)), "N", "Y")</f>
        <v>N</v>
      </c>
      <c r="C546" t="str">
        <f>IF(ISERROR(VLOOKUP(E546, BibleInEveryLanguageTexts!A:A, 1, FALSE)), "N", "Y")</f>
        <v>N</v>
      </c>
      <c r="D546" t="str">
        <f t="shared" si="16"/>
        <v>X</v>
      </c>
      <c r="E546" t="s">
        <v>4752</v>
      </c>
      <c r="F546" t="s">
        <v>4475</v>
      </c>
      <c r="G546" t="s">
        <v>2984</v>
      </c>
      <c r="H546" t="s">
        <v>4753</v>
      </c>
      <c r="I546" t="s">
        <v>2456</v>
      </c>
      <c r="J546" t="str">
        <f>IF(0 = IFERROR(VLOOKUP(DBL_FullList!I546, ContactsDbl!B:D, 2, FALSE), ""), "", IFERROR(VLOOKUP(DBL_FullList!I546, ContactsDbl!B:D, 2, FALSE), ""))</f>
        <v/>
      </c>
      <c r="K546" t="str">
        <f>IF(0 = IFERROR(VLOOKUP(DBL_FullList!I546,ContactsDbl!B:D, 3, FALSE), ""), "", IFERROR(VLOOKUP(DBL_FullList!I546, ContactsDbl!B:D, 3, FALSE), ""))</f>
        <v>http://www.myanmarbible.com/</v>
      </c>
      <c r="L546">
        <f t="shared" si="17"/>
        <v>1</v>
      </c>
    </row>
    <row r="547" spans="1:12" x14ac:dyDescent="0.25">
      <c r="A547" t="s">
        <v>4754</v>
      </c>
      <c r="B547" t="str">
        <f>IF(ISERROR(VLOOKUP(F547,STEP!A:A, 1, FALSE)), "N", "Y")</f>
        <v>N</v>
      </c>
      <c r="C547" t="str">
        <f>IF(ISERROR(VLOOKUP(E547, BibleInEveryLanguageTexts!A:A, 1, FALSE)), "N", "Y")</f>
        <v>N</v>
      </c>
      <c r="D547" t="str">
        <f t="shared" si="16"/>
        <v>X</v>
      </c>
      <c r="E547" t="s">
        <v>4755</v>
      </c>
      <c r="F547" t="s">
        <v>4756</v>
      </c>
      <c r="G547" t="s">
        <v>20</v>
      </c>
      <c r="H547" t="s">
        <v>4757</v>
      </c>
      <c r="I547" t="s">
        <v>2329</v>
      </c>
      <c r="J547" t="str">
        <f>IF(0 = IFERROR(VLOOKUP(DBL_FullList!I547, ContactsDbl!B:D, 2, FALSE), ""), "", IFERROR(VLOOKUP(DBL_FullList!I547, ContactsDbl!B:D, 2, FALSE), ""))</f>
        <v/>
      </c>
      <c r="K547" t="str">
        <f>IF(0 = IFERROR(VLOOKUP(DBL_FullList!I547,ContactsDbl!B:D, 3, FALSE), ""), "", IFERROR(VLOOKUP(DBL_FullList!I547, ContactsDbl!B:D, 3, FALSE), ""))</f>
        <v>http://www.bsind.org/</v>
      </c>
      <c r="L547">
        <f t="shared" si="17"/>
        <v>1</v>
      </c>
    </row>
    <row r="548" spans="1:12" x14ac:dyDescent="0.25">
      <c r="A548" t="s">
        <v>4758</v>
      </c>
      <c r="B548" t="str">
        <f>IF(ISERROR(VLOOKUP(F548,STEP!A:A, 1, FALSE)), "N", "Y")</f>
        <v>N</v>
      </c>
      <c r="C548" t="str">
        <f>IF(ISERROR(VLOOKUP(E548, BibleInEveryLanguageTexts!A:A, 1, FALSE)), "N", "Y")</f>
        <v>N</v>
      </c>
      <c r="D548" t="str">
        <f t="shared" si="16"/>
        <v>X</v>
      </c>
      <c r="E548" t="s">
        <v>4759</v>
      </c>
      <c r="F548" t="s">
        <v>4760</v>
      </c>
      <c r="G548" t="s">
        <v>20</v>
      </c>
      <c r="H548" t="s">
        <v>4761</v>
      </c>
      <c r="I548" t="s">
        <v>2329</v>
      </c>
      <c r="J548" t="str">
        <f>IF(0 = IFERROR(VLOOKUP(DBL_FullList!I548, ContactsDbl!B:D, 2, FALSE), ""), "", IFERROR(VLOOKUP(DBL_FullList!I548, ContactsDbl!B:D, 2, FALSE), ""))</f>
        <v/>
      </c>
      <c r="K548" t="str">
        <f>IF(0 = IFERROR(VLOOKUP(DBL_FullList!I548,ContactsDbl!B:D, 3, FALSE), ""), "", IFERROR(VLOOKUP(DBL_FullList!I548, ContactsDbl!B:D, 3, FALSE), ""))</f>
        <v>http://www.bsind.org/</v>
      </c>
      <c r="L548">
        <f t="shared" si="17"/>
        <v>1</v>
      </c>
    </row>
    <row r="549" spans="1:12" x14ac:dyDescent="0.25">
      <c r="A549" t="s">
        <v>4762</v>
      </c>
      <c r="B549" t="str">
        <f>IF(ISERROR(VLOOKUP(F549,STEP!A:A, 1, FALSE)), "N", "Y")</f>
        <v>N</v>
      </c>
      <c r="C549" t="str">
        <f>IF(ISERROR(VLOOKUP(E549, BibleInEveryLanguageTexts!A:A, 1, FALSE)), "N", "Y")</f>
        <v>N</v>
      </c>
      <c r="D549" t="str">
        <f t="shared" si="16"/>
        <v>X</v>
      </c>
      <c r="E549" t="s">
        <v>4763</v>
      </c>
      <c r="F549" t="s">
        <v>4764</v>
      </c>
      <c r="G549" t="s">
        <v>2743</v>
      </c>
      <c r="H549" t="s">
        <v>4765</v>
      </c>
      <c r="I549" t="s">
        <v>2073</v>
      </c>
      <c r="J549" t="str">
        <f>IF(0 = IFERROR(VLOOKUP(DBL_FullList!I549, ContactsDbl!B:D, 2, FALSE), ""), "", IFERROR(VLOOKUP(DBL_FullList!I549, ContactsDbl!B:D, 2, FALSE), ""))</f>
        <v>ajiboye@biblesociety-nigeria.org</v>
      </c>
      <c r="K549" t="str">
        <f>IF(0 = IFERROR(VLOOKUP(DBL_FullList!I549,ContactsDbl!B:D, 3, FALSE), ""), "", IFERROR(VLOOKUP(DBL_FullList!I549, ContactsDbl!B:D, 3, FALSE), ""))</f>
        <v>http://www.biblesociety-nigeria.org/</v>
      </c>
      <c r="L549">
        <f t="shared" si="17"/>
        <v>2</v>
      </c>
    </row>
    <row r="550" spans="1:12" x14ac:dyDescent="0.25">
      <c r="A550" t="s">
        <v>4766</v>
      </c>
      <c r="B550" t="str">
        <f>IF(ISERROR(VLOOKUP(F550,STEP!A:A, 1, FALSE)), "N", "Y")</f>
        <v>Y</v>
      </c>
      <c r="C550" t="str">
        <f>IF(ISERROR(VLOOKUP(E550, BibleInEveryLanguageTexts!A:A, 1, FALSE)), "N", "Y")</f>
        <v>N</v>
      </c>
      <c r="D550" t="str">
        <f t="shared" si="16"/>
        <v/>
      </c>
      <c r="E550" t="s">
        <v>4767</v>
      </c>
      <c r="F550" t="s">
        <v>4768</v>
      </c>
      <c r="G550" t="s">
        <v>48</v>
      </c>
      <c r="H550" t="s">
        <v>4769</v>
      </c>
      <c r="I550" t="s">
        <v>2661</v>
      </c>
      <c r="J550" t="str">
        <f>IF(0 = IFERROR(VLOOKUP(DBL_FullList!I550, ContactsDbl!B:D, 2, FALSE), ""), "", IFERROR(VLOOKUP(DBL_FullList!I550, ContactsDbl!B:D, 2, FALSE), ""))</f>
        <v>dbladmin_intl@sil.org</v>
      </c>
      <c r="K550" t="str">
        <f>IF(0 = IFERROR(VLOOKUP(DBL_FullList!I550,ContactsDbl!B:D, 3, FALSE), ""), "", IFERROR(VLOOKUP(DBL_FullList!I550, ContactsDbl!B:D, 3, FALSE), ""))</f>
        <v>http://www.wycliffe.org</v>
      </c>
      <c r="L550">
        <f t="shared" si="17"/>
        <v>2</v>
      </c>
    </row>
    <row r="551" spans="1:12" x14ac:dyDescent="0.25">
      <c r="A551" t="s">
        <v>4770</v>
      </c>
      <c r="B551" t="str">
        <f>IF(ISERROR(VLOOKUP(F551,STEP!A:A, 1, FALSE)), "N", "Y")</f>
        <v>N</v>
      </c>
      <c r="C551" t="str">
        <f>IF(ISERROR(VLOOKUP(E551, BibleInEveryLanguageTexts!A:A, 1, FALSE)), "N", "Y")</f>
        <v>N</v>
      </c>
      <c r="D551" t="str">
        <f t="shared" si="16"/>
        <v>X</v>
      </c>
      <c r="E551" t="s">
        <v>4771</v>
      </c>
      <c r="F551" t="s">
        <v>4772</v>
      </c>
      <c r="G551" t="s">
        <v>2824</v>
      </c>
      <c r="H551" t="s">
        <v>4773</v>
      </c>
      <c r="I551" t="s">
        <v>183</v>
      </c>
      <c r="J551" t="str">
        <f>IF(0 = IFERROR(VLOOKUP(DBL_FullList!I551, ContactsDbl!B:D, 2, FALSE), ""), "", IFERROR(VLOOKUP(DBL_FullList!I551, ContactsDbl!B:D, 2, FALSE), ""))</f>
        <v>dbl@biblesocieties.org</v>
      </c>
      <c r="K551" t="str">
        <f>IF(0 = IFERROR(VLOOKUP(DBL_FullList!I551,ContactsDbl!B:D, 3, FALSE), ""), "", IFERROR(VLOOKUP(DBL_FullList!I551, ContactsDbl!B:D, 3, FALSE), ""))</f>
        <v>http://www.unitedbiblesocieties.org/</v>
      </c>
      <c r="L551">
        <f t="shared" si="17"/>
        <v>2</v>
      </c>
    </row>
    <row r="552" spans="1:12" x14ac:dyDescent="0.25">
      <c r="A552" t="s">
        <v>4774</v>
      </c>
      <c r="B552" t="str">
        <f>IF(ISERROR(VLOOKUP(F552,STEP!A:A, 1, FALSE)), "N", "Y")</f>
        <v>N</v>
      </c>
      <c r="C552" t="str">
        <f>IF(ISERROR(VLOOKUP(E552, BibleInEveryLanguageTexts!A:A, 1, FALSE)), "N", "Y")</f>
        <v>N</v>
      </c>
      <c r="D552" t="str">
        <f t="shared" si="16"/>
        <v>X</v>
      </c>
      <c r="E552" t="s">
        <v>3421</v>
      </c>
      <c r="F552" t="s">
        <v>3422</v>
      </c>
      <c r="G552" t="s">
        <v>2838</v>
      </c>
      <c r="H552" t="s">
        <v>4775</v>
      </c>
      <c r="I552" t="s">
        <v>2025</v>
      </c>
      <c r="J552" t="str">
        <f>IF(0 = IFERROR(VLOOKUP(DBL_FullList!I552, ContactsDbl!B:D, 2, FALSE), ""), "", IFERROR(VLOOKUP(DBL_FullList!I552, ContactsDbl!B:D, 2, FALSE), ""))</f>
        <v>abbf@biblesociety-bf.org</v>
      </c>
      <c r="K552" t="str">
        <f>IF(0 = IFERROR(VLOOKUP(DBL_FullList!I552,ContactsDbl!B:D, 3, FALSE), ""), "", IFERROR(VLOOKUP(DBL_FullList!I552, ContactsDbl!B:D, 3, FALSE), ""))</f>
        <v>http://alliancebiblique-bf.org/</v>
      </c>
      <c r="L552">
        <f t="shared" si="17"/>
        <v>2</v>
      </c>
    </row>
    <row r="553" spans="1:12" x14ac:dyDescent="0.25">
      <c r="A553" s="1" t="s">
        <v>4776</v>
      </c>
      <c r="B553" t="str">
        <f>IF(ISERROR(VLOOKUP(F553,STEP!A:A, 1, FALSE)), "N", "Y")</f>
        <v>N</v>
      </c>
      <c r="C553" t="str">
        <f>IF(ISERROR(VLOOKUP(E553, BibleInEveryLanguageTexts!A:A, 1, FALSE)), "N", "Y")</f>
        <v>N</v>
      </c>
      <c r="D553" t="str">
        <f t="shared" si="16"/>
        <v>X</v>
      </c>
      <c r="E553" t="s">
        <v>4777</v>
      </c>
      <c r="F553" t="s">
        <v>4778</v>
      </c>
      <c r="G553" t="s">
        <v>2997</v>
      </c>
      <c r="H553" t="s">
        <v>4779</v>
      </c>
      <c r="I553" t="s">
        <v>2661</v>
      </c>
      <c r="J553" t="str">
        <f>IF(0 = IFERROR(VLOOKUP(DBL_FullList!I553, ContactsDbl!B:D, 2, FALSE), ""), "", IFERROR(VLOOKUP(DBL_FullList!I553, ContactsDbl!B:D, 2, FALSE), ""))</f>
        <v>dbladmin_intl@sil.org</v>
      </c>
      <c r="K553" t="str">
        <f>IF(0 = IFERROR(VLOOKUP(DBL_FullList!I553,ContactsDbl!B:D, 3, FALSE), ""), "", IFERROR(VLOOKUP(DBL_FullList!I553, ContactsDbl!B:D, 3, FALSE), ""))</f>
        <v>http://www.wycliffe.org</v>
      </c>
      <c r="L553">
        <f t="shared" si="17"/>
        <v>2</v>
      </c>
    </row>
    <row r="554" spans="1:12" x14ac:dyDescent="0.25">
      <c r="A554" t="s">
        <v>4780</v>
      </c>
      <c r="B554" t="str">
        <f>IF(ISERROR(VLOOKUP(F554,STEP!A:A, 1, FALSE)), "N", "Y")</f>
        <v>N</v>
      </c>
      <c r="C554" t="str">
        <f>IF(ISERROR(VLOOKUP(E554, BibleInEveryLanguageTexts!A:A, 1, FALSE)), "N", "Y")</f>
        <v>N</v>
      </c>
      <c r="D554" t="str">
        <f t="shared" si="16"/>
        <v>X</v>
      </c>
      <c r="E554" t="s">
        <v>199</v>
      </c>
      <c r="F554" t="s">
        <v>197</v>
      </c>
      <c r="G554" t="s">
        <v>11</v>
      </c>
      <c r="H554" t="s">
        <v>4781</v>
      </c>
      <c r="I554" t="s">
        <v>183</v>
      </c>
      <c r="J554" t="str">
        <f>IF(0 = IFERROR(VLOOKUP(DBL_FullList!I554, ContactsDbl!B:D, 2, FALSE), ""), "", IFERROR(VLOOKUP(DBL_FullList!I554, ContactsDbl!B:D, 2, FALSE), ""))</f>
        <v>dbl@biblesocieties.org</v>
      </c>
      <c r="K554" t="str">
        <f>IF(0 = IFERROR(VLOOKUP(DBL_FullList!I554,ContactsDbl!B:D, 3, FALSE), ""), "", IFERROR(VLOOKUP(DBL_FullList!I554, ContactsDbl!B:D, 3, FALSE), ""))</f>
        <v>http://www.unitedbiblesocieties.org/</v>
      </c>
      <c r="L554">
        <f t="shared" si="17"/>
        <v>2</v>
      </c>
    </row>
    <row r="555" spans="1:12" x14ac:dyDescent="0.25">
      <c r="A555" t="s">
        <v>4782</v>
      </c>
      <c r="B555" t="str">
        <f>IF(ISERROR(VLOOKUP(F555,STEP!A:A, 1, FALSE)), "N", "Y")</f>
        <v>N</v>
      </c>
      <c r="C555" t="str">
        <f>IF(ISERROR(VLOOKUP(E555, BibleInEveryLanguageTexts!A:A, 1, FALSE)), "N", "Y")</f>
        <v>N</v>
      </c>
      <c r="D555" t="str">
        <f t="shared" si="16"/>
        <v>X</v>
      </c>
      <c r="E555" t="s">
        <v>4783</v>
      </c>
      <c r="F555" t="s">
        <v>4784</v>
      </c>
      <c r="G555" t="s">
        <v>3065</v>
      </c>
      <c r="H555" t="s">
        <v>4785</v>
      </c>
      <c r="I555" t="s">
        <v>2661</v>
      </c>
      <c r="J555" t="str">
        <f>IF(0 = IFERROR(VLOOKUP(DBL_FullList!I555, ContactsDbl!B:D, 2, FALSE), ""), "", IFERROR(VLOOKUP(DBL_FullList!I555, ContactsDbl!B:D, 2, FALSE), ""))</f>
        <v>dbladmin_intl@sil.org</v>
      </c>
      <c r="K555" t="str">
        <f>IF(0 = IFERROR(VLOOKUP(DBL_FullList!I555,ContactsDbl!B:D, 3, FALSE), ""), "", IFERROR(VLOOKUP(DBL_FullList!I555, ContactsDbl!B:D, 3, FALSE), ""))</f>
        <v>http://www.wycliffe.org</v>
      </c>
      <c r="L555">
        <f t="shared" si="17"/>
        <v>2</v>
      </c>
    </row>
    <row r="556" spans="1:12" x14ac:dyDescent="0.25">
      <c r="A556" t="s">
        <v>4786</v>
      </c>
      <c r="B556" t="str">
        <f>IF(ISERROR(VLOOKUP(F556,STEP!A:A, 1, FALSE)), "N", "Y")</f>
        <v>N</v>
      </c>
      <c r="C556" t="str">
        <f>IF(ISERROR(VLOOKUP(E556, BibleInEveryLanguageTexts!A:A, 1, FALSE)), "N", "Y")</f>
        <v>N</v>
      </c>
      <c r="D556" t="str">
        <f t="shared" si="16"/>
        <v>X</v>
      </c>
      <c r="E556" t="s">
        <v>4787</v>
      </c>
      <c r="F556" t="s">
        <v>4788</v>
      </c>
      <c r="G556" t="s">
        <v>2984</v>
      </c>
      <c r="H556" t="s">
        <v>4789</v>
      </c>
      <c r="I556" t="s">
        <v>2456</v>
      </c>
      <c r="J556" t="str">
        <f>IF(0 = IFERROR(VLOOKUP(DBL_FullList!I556, ContactsDbl!B:D, 2, FALSE), ""), "", IFERROR(VLOOKUP(DBL_FullList!I556, ContactsDbl!B:D, 2, FALSE), ""))</f>
        <v/>
      </c>
      <c r="K556" t="str">
        <f>IF(0 = IFERROR(VLOOKUP(DBL_FullList!I556,ContactsDbl!B:D, 3, FALSE), ""), "", IFERROR(VLOOKUP(DBL_FullList!I556, ContactsDbl!B:D, 3, FALSE), ""))</f>
        <v>http://www.myanmarbible.com/</v>
      </c>
      <c r="L556">
        <f t="shared" si="17"/>
        <v>1</v>
      </c>
    </row>
    <row r="557" spans="1:12" x14ac:dyDescent="0.25">
      <c r="A557" t="s">
        <v>4790</v>
      </c>
      <c r="B557" t="str">
        <f>IF(ISERROR(VLOOKUP(F557,STEP!A:A, 1, FALSE)), "N", "Y")</f>
        <v>N</v>
      </c>
      <c r="C557" t="str">
        <f>IF(ISERROR(VLOOKUP(E557, BibleInEveryLanguageTexts!A:A, 1, FALSE)), "N", "Y")</f>
        <v>Y</v>
      </c>
      <c r="D557" t="str">
        <f t="shared" si="16"/>
        <v/>
      </c>
      <c r="E557" t="s">
        <v>2684</v>
      </c>
      <c r="F557" t="s">
        <v>4791</v>
      </c>
      <c r="G557" t="s">
        <v>2743</v>
      </c>
      <c r="H557" t="s">
        <v>4792</v>
      </c>
      <c r="I557" t="s">
        <v>2073</v>
      </c>
      <c r="J557" t="str">
        <f>IF(0 = IFERROR(VLOOKUP(DBL_FullList!I557, ContactsDbl!B:D, 2, FALSE), ""), "", IFERROR(VLOOKUP(DBL_FullList!I557, ContactsDbl!B:D, 2, FALSE), ""))</f>
        <v>ajiboye@biblesociety-nigeria.org</v>
      </c>
      <c r="K557" t="str">
        <f>IF(0 = IFERROR(VLOOKUP(DBL_FullList!I557,ContactsDbl!B:D, 3, FALSE), ""), "", IFERROR(VLOOKUP(DBL_FullList!I557, ContactsDbl!B:D, 3, FALSE), ""))</f>
        <v>http://www.biblesociety-nigeria.org/</v>
      </c>
      <c r="L557">
        <f t="shared" si="17"/>
        <v>2</v>
      </c>
    </row>
    <row r="558" spans="1:12" x14ac:dyDescent="0.25">
      <c r="A558" t="s">
        <v>4793</v>
      </c>
      <c r="B558" t="str">
        <f>IF(ISERROR(VLOOKUP(F558,STEP!A:A, 1, FALSE)), "N", "Y")</f>
        <v>Y</v>
      </c>
      <c r="C558" t="str">
        <f>IF(ISERROR(VLOOKUP(E558, BibleInEveryLanguageTexts!A:A, 1, FALSE)), "N", "Y")</f>
        <v>N</v>
      </c>
      <c r="D558" t="str">
        <f t="shared" si="16"/>
        <v/>
      </c>
      <c r="E558" t="s">
        <v>4794</v>
      </c>
      <c r="F558" t="s">
        <v>4795</v>
      </c>
      <c r="G558" t="s">
        <v>48</v>
      </c>
      <c r="H558" t="s">
        <v>4796</v>
      </c>
      <c r="I558" t="s">
        <v>2661</v>
      </c>
      <c r="J558" t="str">
        <f>IF(0 = IFERROR(VLOOKUP(DBL_FullList!I558, ContactsDbl!B:D, 2, FALSE), ""), "", IFERROR(VLOOKUP(DBL_FullList!I558, ContactsDbl!B:D, 2, FALSE), ""))</f>
        <v>dbladmin_intl@sil.org</v>
      </c>
      <c r="K558" t="str">
        <f>IF(0 = IFERROR(VLOOKUP(DBL_FullList!I558,ContactsDbl!B:D, 3, FALSE), ""), "", IFERROR(VLOOKUP(DBL_FullList!I558, ContactsDbl!B:D, 3, FALSE), ""))</f>
        <v>http://www.wycliffe.org</v>
      </c>
      <c r="L558">
        <f t="shared" si="17"/>
        <v>2</v>
      </c>
    </row>
    <row r="559" spans="1:12" x14ac:dyDescent="0.25">
      <c r="A559" t="s">
        <v>4797</v>
      </c>
      <c r="B559" t="str">
        <f>IF(ISERROR(VLOOKUP(F559,STEP!A:A, 1, FALSE)), "N", "Y")</f>
        <v>N</v>
      </c>
      <c r="C559" t="str">
        <f>IF(ISERROR(VLOOKUP(E559, BibleInEveryLanguageTexts!A:A, 1, FALSE)), "N", "Y")</f>
        <v>N</v>
      </c>
      <c r="D559" t="str">
        <f t="shared" si="16"/>
        <v>X</v>
      </c>
      <c r="E559" t="s">
        <v>4798</v>
      </c>
      <c r="F559" t="s">
        <v>4799</v>
      </c>
      <c r="G559" t="s">
        <v>2833</v>
      </c>
      <c r="H559" t="s">
        <v>4800</v>
      </c>
      <c r="I559" t="s">
        <v>2647</v>
      </c>
      <c r="J559" t="str">
        <f>IF(0 = IFERROR(VLOOKUP(DBL_FullList!I559, ContactsDbl!B:D, 2, FALSE), ""), "", IFERROR(VLOOKUP(DBL_FullList!I559, ContactsDbl!B:D, 2, FALSE), ""))</f>
        <v>info@biblesociety-uganda.org</v>
      </c>
      <c r="K559" t="str">
        <f>IF(0 = IFERROR(VLOOKUP(DBL_FullList!I559,ContactsDbl!B:D, 3, FALSE), ""), "", IFERROR(VLOOKUP(DBL_FullList!I559, ContactsDbl!B:D, 3, FALSE), ""))</f>
        <v>http://www.biblesociety-uganda.org/</v>
      </c>
      <c r="L559">
        <f t="shared" si="17"/>
        <v>2</v>
      </c>
    </row>
    <row r="560" spans="1:12" x14ac:dyDescent="0.25">
      <c r="A560" t="s">
        <v>4801</v>
      </c>
      <c r="B560" t="str">
        <f>IF(ISERROR(VLOOKUP(F560,STEP!A:A, 1, FALSE)), "N", "Y")</f>
        <v>N</v>
      </c>
      <c r="C560" t="str">
        <f>IF(ISERROR(VLOOKUP(E560, BibleInEveryLanguageTexts!A:A, 1, FALSE)), "N", "Y")</f>
        <v>N</v>
      </c>
      <c r="D560" t="str">
        <f t="shared" si="16"/>
        <v>X</v>
      </c>
      <c r="E560" t="s">
        <v>3775</v>
      </c>
      <c r="F560" t="s">
        <v>3776</v>
      </c>
      <c r="G560" t="s">
        <v>3852</v>
      </c>
      <c r="H560" t="s">
        <v>4802</v>
      </c>
      <c r="I560" t="s">
        <v>2280</v>
      </c>
      <c r="J560" t="str">
        <f>IF(0 = IFERROR(VLOOKUP(DBL_FullList!I560, ContactsDbl!B:D, 2, FALSE), ""), "", IFERROR(VLOOKUP(DBL_FullList!I560, ContactsDbl!B:D, 2, FALSE), ""))</f>
        <v>ignatius@hkbs.org.hk</v>
      </c>
      <c r="K560" t="str">
        <f>IF(0 = IFERROR(VLOOKUP(DBL_FullList!I560,ContactsDbl!B:D, 3, FALSE), ""), "", IFERROR(VLOOKUP(DBL_FullList!I560, ContactsDbl!B:D, 3, FALSE), ""))</f>
        <v>www.hkbs.org.hk</v>
      </c>
      <c r="L560">
        <f t="shared" si="17"/>
        <v>2</v>
      </c>
    </row>
    <row r="561" spans="1:12" x14ac:dyDescent="0.25">
      <c r="A561" t="s">
        <v>4803</v>
      </c>
      <c r="B561" t="str">
        <f>IF(ISERROR(VLOOKUP(F561,STEP!A:A, 1, FALSE)), "N", "Y")</f>
        <v>N</v>
      </c>
      <c r="C561" t="str">
        <f>IF(ISERROR(VLOOKUP(E561, BibleInEveryLanguageTexts!A:A, 1, FALSE)), "N", "Y")</f>
        <v>N</v>
      </c>
      <c r="D561" t="str">
        <f t="shared" si="16"/>
        <v>X</v>
      </c>
      <c r="E561" t="s">
        <v>4804</v>
      </c>
      <c r="F561" t="s">
        <v>4805</v>
      </c>
      <c r="G561" t="s">
        <v>3074</v>
      </c>
      <c r="H561" t="s">
        <v>4806</v>
      </c>
      <c r="I561" t="s">
        <v>2673</v>
      </c>
      <c r="J561" t="str">
        <f>IF(0 = IFERROR(VLOOKUP(DBL_FullList!I561, ContactsDbl!B:D, 2, FALSE), ""), "", IFERROR(VLOOKUP(DBL_FullList!I561, ContactsDbl!B:D, 2, FALSE), ""))</f>
        <v>gnyirenda@biblesociety-zambia.org</v>
      </c>
      <c r="K561" t="str">
        <f>IF(0 = IFERROR(VLOOKUP(DBL_FullList!I561,ContactsDbl!B:D, 3, FALSE), ""), "", IFERROR(VLOOKUP(DBL_FullList!I561, ContactsDbl!B:D, 3, FALSE), ""))</f>
        <v>www.biblesociety-zambia.org</v>
      </c>
      <c r="L561">
        <f t="shared" si="17"/>
        <v>2</v>
      </c>
    </row>
    <row r="562" spans="1:12" x14ac:dyDescent="0.25">
      <c r="A562" t="s">
        <v>4807</v>
      </c>
      <c r="B562" t="str">
        <f>IF(ISERROR(VLOOKUP(F562,STEP!A:A, 1, FALSE)), "N", "Y")</f>
        <v>N</v>
      </c>
      <c r="C562" t="str">
        <f>IF(ISERROR(VLOOKUP(E562, BibleInEveryLanguageTexts!A:A, 1, FALSE)), "N", "Y")</f>
        <v>N</v>
      </c>
      <c r="D562" t="str">
        <f t="shared" si="16"/>
        <v>X</v>
      </c>
      <c r="E562" t="s">
        <v>4808</v>
      </c>
      <c r="F562" t="s">
        <v>4809</v>
      </c>
      <c r="G562" t="s">
        <v>110</v>
      </c>
      <c r="H562" t="s">
        <v>4810</v>
      </c>
      <c r="I562" t="s">
        <v>2370</v>
      </c>
      <c r="J562" t="str">
        <f>IF(0 = IFERROR(VLOOKUP(DBL_FullList!I562, ContactsDbl!B:D, 2, FALSE), ""), "", IFERROR(VLOOKUP(DBL_FullList!I562, ContactsDbl!B:D, 2, FALSE), ""))</f>
        <v>anwartjen@alkitab.or.id</v>
      </c>
      <c r="K562" t="str">
        <f>IF(0 = IFERROR(VLOOKUP(DBL_FullList!I562,ContactsDbl!B:D, 3, FALSE), ""), "", IFERROR(VLOOKUP(DBL_FullList!I562, ContactsDbl!B:D, 3, FALSE), ""))</f>
        <v>http://www.alkitab.or.id/</v>
      </c>
      <c r="L562">
        <f t="shared" si="17"/>
        <v>2</v>
      </c>
    </row>
    <row r="563" spans="1:12" x14ac:dyDescent="0.25">
      <c r="A563" t="s">
        <v>4811</v>
      </c>
      <c r="B563" t="str">
        <f>IF(ISERROR(VLOOKUP(F563,STEP!A:A, 1, FALSE)), "N", "Y")</f>
        <v>Y</v>
      </c>
      <c r="C563" t="str">
        <f>IF(ISERROR(VLOOKUP(E563, BibleInEveryLanguageTexts!A:A, 1, FALSE)), "N", "Y")</f>
        <v>N</v>
      </c>
      <c r="D563" t="str">
        <f t="shared" si="16"/>
        <v/>
      </c>
      <c r="E563" t="s">
        <v>4053</v>
      </c>
      <c r="F563" t="s">
        <v>4054</v>
      </c>
      <c r="G563" t="s">
        <v>48</v>
      </c>
      <c r="H563" t="s">
        <v>4812</v>
      </c>
      <c r="I563" t="s">
        <v>2661</v>
      </c>
      <c r="J563" t="str">
        <f>IF(0 = IFERROR(VLOOKUP(DBL_FullList!I563, ContactsDbl!B:D, 2, FALSE), ""), "", IFERROR(VLOOKUP(DBL_FullList!I563, ContactsDbl!B:D, 2, FALSE), ""))</f>
        <v>dbladmin_intl@sil.org</v>
      </c>
      <c r="K563" t="str">
        <f>IF(0 = IFERROR(VLOOKUP(DBL_FullList!I563,ContactsDbl!B:D, 3, FALSE), ""), "", IFERROR(VLOOKUP(DBL_FullList!I563, ContactsDbl!B:D, 3, FALSE), ""))</f>
        <v>http://www.wycliffe.org</v>
      </c>
      <c r="L563">
        <f t="shared" si="17"/>
        <v>2</v>
      </c>
    </row>
    <row r="564" spans="1:12" x14ac:dyDescent="0.25">
      <c r="A564" t="s">
        <v>4813</v>
      </c>
      <c r="B564" t="str">
        <f>IF(ISERROR(VLOOKUP(F564,STEP!A:A, 1, FALSE)), "N", "Y")</f>
        <v>N</v>
      </c>
      <c r="C564" t="str">
        <f>IF(ISERROR(VLOOKUP(E564, BibleInEveryLanguageTexts!A:A, 1, FALSE)), "N", "Y")</f>
        <v>N</v>
      </c>
      <c r="D564" t="str">
        <f t="shared" si="16"/>
        <v>X</v>
      </c>
      <c r="E564" t="s">
        <v>4814</v>
      </c>
      <c r="F564" t="s">
        <v>4815</v>
      </c>
      <c r="G564" t="s">
        <v>333</v>
      </c>
      <c r="H564" t="s">
        <v>4816</v>
      </c>
      <c r="I564" t="s">
        <v>2661</v>
      </c>
      <c r="J564" t="str">
        <f>IF(0 = IFERROR(VLOOKUP(DBL_FullList!I564, ContactsDbl!B:D, 2, FALSE), ""), "", IFERROR(VLOOKUP(DBL_FullList!I564, ContactsDbl!B:D, 2, FALSE), ""))</f>
        <v>dbladmin_intl@sil.org</v>
      </c>
      <c r="K564" t="str">
        <f>IF(0 = IFERROR(VLOOKUP(DBL_FullList!I564,ContactsDbl!B:D, 3, FALSE), ""), "", IFERROR(VLOOKUP(DBL_FullList!I564, ContactsDbl!B:D, 3, FALSE), ""))</f>
        <v>http://www.wycliffe.org</v>
      </c>
      <c r="L564">
        <f t="shared" si="17"/>
        <v>2</v>
      </c>
    </row>
    <row r="565" spans="1:12" x14ac:dyDescent="0.25">
      <c r="A565" t="s">
        <v>4817</v>
      </c>
      <c r="B565" t="str">
        <f>IF(ISERROR(VLOOKUP(F565,STEP!A:A, 1, FALSE)), "N", "Y")</f>
        <v>N</v>
      </c>
      <c r="C565" t="str">
        <f>IF(ISERROR(VLOOKUP(E565, BibleInEveryLanguageTexts!A:A, 1, FALSE)), "N", "Y")</f>
        <v>N</v>
      </c>
      <c r="D565" t="str">
        <f t="shared" si="16"/>
        <v>X</v>
      </c>
      <c r="E565" t="s">
        <v>4771</v>
      </c>
      <c r="F565" t="s">
        <v>4772</v>
      </c>
      <c r="G565" t="s">
        <v>2824</v>
      </c>
      <c r="H565" t="s">
        <v>4818</v>
      </c>
      <c r="I565" t="s">
        <v>183</v>
      </c>
      <c r="J565" t="str">
        <f>IF(0 = IFERROR(VLOOKUP(DBL_FullList!I565, ContactsDbl!B:D, 2, FALSE), ""), "", IFERROR(VLOOKUP(DBL_FullList!I565, ContactsDbl!B:D, 2, FALSE), ""))</f>
        <v>dbl@biblesocieties.org</v>
      </c>
      <c r="K565" t="str">
        <f>IF(0 = IFERROR(VLOOKUP(DBL_FullList!I565,ContactsDbl!B:D, 3, FALSE), ""), "", IFERROR(VLOOKUP(DBL_FullList!I565, ContactsDbl!B:D, 3, FALSE), ""))</f>
        <v>http://www.unitedbiblesocieties.org/</v>
      </c>
      <c r="L565">
        <f t="shared" si="17"/>
        <v>2</v>
      </c>
    </row>
    <row r="566" spans="1:12" x14ac:dyDescent="0.25">
      <c r="A566" t="s">
        <v>4819</v>
      </c>
      <c r="B566" t="str">
        <f>IF(ISERROR(VLOOKUP(F566,STEP!A:A, 1, FALSE)), "N", "Y")</f>
        <v>N</v>
      </c>
      <c r="C566" t="str">
        <f>IF(ISERROR(VLOOKUP(E566, BibleInEveryLanguageTexts!A:A, 1, FALSE)), "N", "Y")</f>
        <v>N</v>
      </c>
      <c r="D566" t="str">
        <f t="shared" si="16"/>
        <v>X</v>
      </c>
      <c r="E566" t="s">
        <v>193</v>
      </c>
      <c r="F566" t="s">
        <v>494</v>
      </c>
      <c r="G566" t="s">
        <v>20</v>
      </c>
      <c r="H566" t="s">
        <v>4820</v>
      </c>
      <c r="I566" t="s">
        <v>2131</v>
      </c>
      <c r="J566" t="str">
        <f>IF(0 = IFERROR(VLOOKUP(DBL_FullList!I566, ContactsDbl!B:D, 2, FALSE), ""), "", IFERROR(VLOOKUP(DBL_FullList!I566, ContactsDbl!B:D, 2, FALSE), ""))</f>
        <v>dbl@biblesociety.ca</v>
      </c>
      <c r="K566" t="str">
        <f>IF(0 = IFERROR(VLOOKUP(DBL_FullList!I566,ContactsDbl!B:D, 3, FALSE), ""), "", IFERROR(VLOOKUP(DBL_FullList!I566, ContactsDbl!B:D, 3, FALSE), ""))</f>
        <v>http://www.biblesociety.ca</v>
      </c>
      <c r="L566">
        <f t="shared" si="17"/>
        <v>2</v>
      </c>
    </row>
    <row r="567" spans="1:12" x14ac:dyDescent="0.25">
      <c r="A567" t="s">
        <v>4821</v>
      </c>
      <c r="B567" t="str">
        <f>IF(ISERROR(VLOOKUP(F567,STEP!A:A, 1, FALSE)), "N", "Y")</f>
        <v>N</v>
      </c>
      <c r="C567" t="str">
        <f>IF(ISERROR(VLOOKUP(E567, BibleInEveryLanguageTexts!A:A, 1, FALSE)), "N", "Y")</f>
        <v>N</v>
      </c>
      <c r="D567" t="str">
        <f t="shared" si="16"/>
        <v>X</v>
      </c>
      <c r="E567" t="s">
        <v>1758</v>
      </c>
      <c r="F567" t="s">
        <v>4822</v>
      </c>
      <c r="G567" t="s">
        <v>3984</v>
      </c>
      <c r="H567" t="s">
        <v>4823</v>
      </c>
      <c r="I567" t="s">
        <v>1997</v>
      </c>
      <c r="J567" t="str">
        <f>IF(0 = IFERROR(VLOOKUP(DBL_FullList!I567, ContactsDbl!B:D, 2, FALSE), ""), "", IFERROR(VLOOKUP(DBL_FullList!I567, ContactsDbl!B:D, 2, FALSE), ""))</f>
        <v>Lee.Harris@biblica.com</v>
      </c>
      <c r="K567" t="str">
        <f>IF(0 = IFERROR(VLOOKUP(DBL_FullList!I567,ContactsDbl!B:D, 3, FALSE), ""), "", IFERROR(VLOOKUP(DBL_FullList!I567, ContactsDbl!B:D, 3, FALSE), ""))</f>
        <v>http://www.Biblica.com</v>
      </c>
      <c r="L567">
        <f t="shared" si="17"/>
        <v>2</v>
      </c>
    </row>
    <row r="568" spans="1:12" x14ac:dyDescent="0.25">
      <c r="A568" t="s">
        <v>4824</v>
      </c>
      <c r="B568" t="str">
        <f>IF(ISERROR(VLOOKUP(F568,STEP!A:A, 1, FALSE)), "N", "Y")</f>
        <v>N</v>
      </c>
      <c r="C568" t="str">
        <f>IF(ISERROR(VLOOKUP(E568, BibleInEveryLanguageTexts!A:A, 1, FALSE)), "N", "Y")</f>
        <v>N</v>
      </c>
      <c r="D568" t="str">
        <f t="shared" si="16"/>
        <v>X</v>
      </c>
      <c r="E568" t="s">
        <v>4430</v>
      </c>
      <c r="F568" t="s">
        <v>4431</v>
      </c>
      <c r="G568" t="s">
        <v>4825</v>
      </c>
      <c r="H568" t="s">
        <v>4826</v>
      </c>
      <c r="I568" t="s">
        <v>2102</v>
      </c>
      <c r="J568" t="str">
        <f>IF(0 = IFERROR(VLOOKUP(DBL_FullList!I568, ContactsDbl!B:D, 2, FALSE), ""), "", IFERROR(VLOOKUP(DBL_FullList!I568, ContactsDbl!B:D, 2, FALSE), ""))</f>
        <v>mkatonivere@bible.org.fj</v>
      </c>
      <c r="K568" t="str">
        <f>IF(0 = IFERROR(VLOOKUP(DBL_FullList!I568,ContactsDbl!B:D, 3, FALSE), ""), "", IFERROR(VLOOKUP(DBL_FullList!I568, ContactsDbl!B:D, 3, FALSE), ""))</f>
        <v>http://www.bible.org.fj/</v>
      </c>
      <c r="L568">
        <f t="shared" si="17"/>
        <v>2</v>
      </c>
    </row>
    <row r="569" spans="1:12" x14ac:dyDescent="0.25">
      <c r="A569" t="s">
        <v>4827</v>
      </c>
      <c r="B569" t="str">
        <f>IF(ISERROR(VLOOKUP(F569,STEP!A:A, 1, FALSE)), "N", "Y")</f>
        <v>N</v>
      </c>
      <c r="C569" t="str">
        <f>IF(ISERROR(VLOOKUP(E569, BibleInEveryLanguageTexts!A:A, 1, FALSE)), "N", "Y")</f>
        <v>N</v>
      </c>
      <c r="D569" t="str">
        <f t="shared" si="16"/>
        <v>X</v>
      </c>
      <c r="E569" t="s">
        <v>4828</v>
      </c>
      <c r="F569" t="s">
        <v>4829</v>
      </c>
      <c r="G569" t="s">
        <v>4830</v>
      </c>
      <c r="H569" t="s">
        <v>4831</v>
      </c>
      <c r="I569" t="s">
        <v>2035</v>
      </c>
      <c r="J569" t="str">
        <f>IF(0 = IFERROR(VLOOKUP(DBL_FullList!I569, ContactsDbl!B:D, 2, FALSE), ""), "", IFERROR(VLOOKUP(DBL_FullList!I569, ContactsDbl!B:D, 2, FALSE), ""))</f>
        <v>sociedadebiblica@netcabo.co.ao</v>
      </c>
      <c r="K569" t="str">
        <f>IF(0 = IFERROR(VLOOKUP(DBL_FullList!I569,ContactsDbl!B:D, 3, FALSE), ""), "", IFERROR(VLOOKUP(DBL_FullList!I569, ContactsDbl!B:D, 3, FALSE), ""))</f>
        <v>www.biblesociety-angola.org</v>
      </c>
      <c r="L569">
        <f t="shared" si="17"/>
        <v>2</v>
      </c>
    </row>
    <row r="570" spans="1:12" x14ac:dyDescent="0.25">
      <c r="A570" t="s">
        <v>4832</v>
      </c>
      <c r="B570" t="str">
        <f>IF(ISERROR(VLOOKUP(F570,STEP!A:A, 1, FALSE)), "N", "Y")</f>
        <v>Y</v>
      </c>
      <c r="C570" t="str">
        <f>IF(ISERROR(VLOOKUP(E570, BibleInEveryLanguageTexts!A:A, 1, FALSE)), "N", "Y")</f>
        <v>N</v>
      </c>
      <c r="D570" t="str">
        <f t="shared" si="16"/>
        <v/>
      </c>
      <c r="E570" t="s">
        <v>4833</v>
      </c>
      <c r="F570" t="s">
        <v>4834</v>
      </c>
      <c r="G570" t="s">
        <v>48</v>
      </c>
      <c r="H570" t="s">
        <v>4835</v>
      </c>
      <c r="I570" t="s">
        <v>2661</v>
      </c>
      <c r="J570" t="str">
        <f>IF(0 = IFERROR(VLOOKUP(DBL_FullList!I570, ContactsDbl!B:D, 2, FALSE), ""), "", IFERROR(VLOOKUP(DBL_FullList!I570, ContactsDbl!B:D, 2, FALSE), ""))</f>
        <v>dbladmin_intl@sil.org</v>
      </c>
      <c r="K570" t="str">
        <f>IF(0 = IFERROR(VLOOKUP(DBL_FullList!I570,ContactsDbl!B:D, 3, FALSE), ""), "", IFERROR(VLOOKUP(DBL_FullList!I570, ContactsDbl!B:D, 3, FALSE), ""))</f>
        <v>http://www.wycliffe.org</v>
      </c>
      <c r="L570">
        <f t="shared" si="17"/>
        <v>2</v>
      </c>
    </row>
    <row r="571" spans="1:12" x14ac:dyDescent="0.25">
      <c r="A571" t="s">
        <v>4836</v>
      </c>
      <c r="B571" t="str">
        <f>IF(ISERROR(VLOOKUP(F571,STEP!A:A, 1, FALSE)), "N", "Y")</f>
        <v>N</v>
      </c>
      <c r="C571" t="str">
        <f>IF(ISERROR(VLOOKUP(E571, BibleInEveryLanguageTexts!A:A, 1, FALSE)), "N", "Y")</f>
        <v>N</v>
      </c>
      <c r="D571" t="str">
        <f t="shared" si="16"/>
        <v>X</v>
      </c>
      <c r="E571" t="s">
        <v>4837</v>
      </c>
      <c r="F571" t="s">
        <v>4838</v>
      </c>
      <c r="G571" t="s">
        <v>35</v>
      </c>
      <c r="H571" t="s">
        <v>4839</v>
      </c>
      <c r="I571" t="s">
        <v>3104</v>
      </c>
      <c r="J571" t="str">
        <f>IF(0 = IFERROR(VLOOKUP(DBL_FullList!I571, ContactsDbl!B:D, 2, FALSE), ""), "", IFERROR(VLOOKUP(DBL_FullList!I571, ContactsDbl!B:D, 2, FALSE), ""))</f>
        <v/>
      </c>
      <c r="K571" t="str">
        <f>IF(0 = IFERROR(VLOOKUP(DBL_FullList!I571,ContactsDbl!B:D, 3, FALSE), ""), "", IFERROR(VLOOKUP(DBL_FullList!I571, ContactsDbl!B:D, 3, FALSE), ""))</f>
        <v/>
      </c>
      <c r="L571">
        <f t="shared" si="17"/>
        <v>0</v>
      </c>
    </row>
    <row r="572" spans="1:12" x14ac:dyDescent="0.25">
      <c r="A572" t="s">
        <v>4840</v>
      </c>
      <c r="B572" t="str">
        <f>IF(ISERROR(VLOOKUP(F572,STEP!A:A, 1, FALSE)), "N", "Y")</f>
        <v>N</v>
      </c>
      <c r="C572" t="str">
        <f>IF(ISERROR(VLOOKUP(E572, BibleInEveryLanguageTexts!A:A, 1, FALSE)), "N", "Y")</f>
        <v>N</v>
      </c>
      <c r="D572" t="str">
        <f t="shared" si="16"/>
        <v>X</v>
      </c>
      <c r="E572" t="s">
        <v>4841</v>
      </c>
      <c r="F572" t="s">
        <v>3297</v>
      </c>
      <c r="G572" t="s">
        <v>2756</v>
      </c>
      <c r="H572" t="s">
        <v>4842</v>
      </c>
      <c r="I572" t="s">
        <v>2126</v>
      </c>
      <c r="J572" t="str">
        <f>IF(0 = IFERROR(VLOOKUP(DBL_FullList!I572, ContactsDbl!B:D, 2, FALSE), ""), "", IFERROR(VLOOKUP(DBL_FullList!I572, ContactsDbl!B:D, 2, FALSE), ""))</f>
        <v>gluke@biblesocieties.org</v>
      </c>
      <c r="K572" t="str">
        <f>IF(0 = IFERROR(VLOOKUP(DBL_FullList!I572,ContactsDbl!B:D, 3, FALSE), ""), "", IFERROR(VLOOKUP(DBL_FullList!I572, ContactsDbl!B:D, 3, FALSE), ""))</f>
        <v>http://www.biblesociety-cameroon.org/</v>
      </c>
      <c r="L572">
        <f t="shared" si="17"/>
        <v>2</v>
      </c>
    </row>
    <row r="573" spans="1:12" x14ac:dyDescent="0.25">
      <c r="A573" t="s">
        <v>4843</v>
      </c>
      <c r="B573" t="str">
        <f>IF(ISERROR(VLOOKUP(F573,STEP!A:A, 1, FALSE)), "N", "Y")</f>
        <v>N</v>
      </c>
      <c r="C573" t="str">
        <f>IF(ISERROR(VLOOKUP(E573, BibleInEveryLanguageTexts!A:A, 1, FALSE)), "N", "Y")</f>
        <v>N</v>
      </c>
      <c r="D573" t="str">
        <f t="shared" si="16"/>
        <v>X</v>
      </c>
      <c r="E573" t="s">
        <v>4844</v>
      </c>
      <c r="F573" t="s">
        <v>4845</v>
      </c>
      <c r="G573" t="s">
        <v>110</v>
      </c>
      <c r="H573" t="s">
        <v>4846</v>
      </c>
      <c r="I573" t="s">
        <v>2661</v>
      </c>
      <c r="J573" t="str">
        <f>IF(0 = IFERROR(VLOOKUP(DBL_FullList!I573, ContactsDbl!B:D, 2, FALSE), ""), "", IFERROR(VLOOKUP(DBL_FullList!I573, ContactsDbl!B:D, 2, FALSE), ""))</f>
        <v>dbladmin_intl@sil.org</v>
      </c>
      <c r="K573" t="str">
        <f>IF(0 = IFERROR(VLOOKUP(DBL_FullList!I573,ContactsDbl!B:D, 3, FALSE), ""), "", IFERROR(VLOOKUP(DBL_FullList!I573, ContactsDbl!B:D, 3, FALSE), ""))</f>
        <v>http://www.wycliffe.org</v>
      </c>
      <c r="L573">
        <f t="shared" si="17"/>
        <v>2</v>
      </c>
    </row>
    <row r="574" spans="1:12" x14ac:dyDescent="0.25">
      <c r="A574" t="s">
        <v>156</v>
      </c>
      <c r="B574" t="str">
        <f>IF(ISERROR(VLOOKUP(F574,STEP!A:A, 1, FALSE)), "N", "Y")</f>
        <v>N</v>
      </c>
      <c r="C574" t="str">
        <f>IF(ISERROR(VLOOKUP(E574, BibleInEveryLanguageTexts!A:A, 1, FALSE)), "N", "Y")</f>
        <v>Y</v>
      </c>
      <c r="D574" t="str">
        <f t="shared" si="16"/>
        <v/>
      </c>
      <c r="E574" t="s">
        <v>155</v>
      </c>
      <c r="F574" t="s">
        <v>154</v>
      </c>
      <c r="G574" t="s">
        <v>20</v>
      </c>
      <c r="H574" t="s">
        <v>152</v>
      </c>
      <c r="I574" t="s">
        <v>24</v>
      </c>
      <c r="J574" t="str">
        <f>IF(0 = IFERROR(VLOOKUP(DBL_FullList!I574, ContactsDbl!B:D, 2, FALSE), ""), "", IFERROR(VLOOKUP(DBL_FullList!I574, ContactsDbl!B:D, 2, FALSE), ""))</f>
        <v>Michael@eBible.org</v>
      </c>
      <c r="K574" t="str">
        <f>IF(0 = IFERROR(VLOOKUP(DBL_FullList!I574,ContactsDbl!B:D, 3, FALSE), ""), "", IFERROR(VLOOKUP(DBL_FullList!I574, ContactsDbl!B:D, 3, FALSE), ""))</f>
        <v>http://eBible.org</v>
      </c>
      <c r="L574">
        <f t="shared" si="17"/>
        <v>2</v>
      </c>
    </row>
    <row r="575" spans="1:12" x14ac:dyDescent="0.25">
      <c r="A575" t="s">
        <v>4847</v>
      </c>
      <c r="B575" t="str">
        <f>IF(ISERROR(VLOOKUP(F575,STEP!A:A, 1, FALSE)), "N", "Y")</f>
        <v>N</v>
      </c>
      <c r="C575" t="str">
        <f>IF(ISERROR(VLOOKUP(E575, BibleInEveryLanguageTexts!A:A, 1, FALSE)), "N", "Y")</f>
        <v>Y</v>
      </c>
      <c r="D575" t="str">
        <f t="shared" si="16"/>
        <v/>
      </c>
      <c r="E575" t="s">
        <v>12</v>
      </c>
      <c r="F575" t="s">
        <v>10</v>
      </c>
      <c r="G575" t="s">
        <v>11</v>
      </c>
      <c r="H575" t="s">
        <v>4848</v>
      </c>
      <c r="I575" t="s">
        <v>1997</v>
      </c>
      <c r="J575" t="str">
        <f>IF(0 = IFERROR(VLOOKUP(DBL_FullList!I575, ContactsDbl!B:D, 2, FALSE), ""), "", IFERROR(VLOOKUP(DBL_FullList!I575, ContactsDbl!B:D, 2, FALSE), ""))</f>
        <v>Lee.Harris@biblica.com</v>
      </c>
      <c r="K575" t="str">
        <f>IF(0 = IFERROR(VLOOKUP(DBL_FullList!I575,ContactsDbl!B:D, 3, FALSE), ""), "", IFERROR(VLOOKUP(DBL_FullList!I575, ContactsDbl!B:D, 3, FALSE), ""))</f>
        <v>http://www.Biblica.com</v>
      </c>
      <c r="L575">
        <f t="shared" si="17"/>
        <v>2</v>
      </c>
    </row>
    <row r="576" spans="1:12" x14ac:dyDescent="0.25">
      <c r="A576" t="s">
        <v>4849</v>
      </c>
      <c r="B576" t="str">
        <f>IF(ISERROR(VLOOKUP(F576,STEP!A:A, 1, FALSE)), "N", "Y")</f>
        <v>N</v>
      </c>
      <c r="C576" t="str">
        <f>IF(ISERROR(VLOOKUP(E576, BibleInEveryLanguageTexts!A:A, 1, FALSE)), "N", "Y")</f>
        <v>N</v>
      </c>
      <c r="D576" t="str">
        <f t="shared" si="16"/>
        <v>X</v>
      </c>
      <c r="E576" t="s">
        <v>4850</v>
      </c>
      <c r="F576" t="s">
        <v>4851</v>
      </c>
      <c r="G576" t="s">
        <v>422</v>
      </c>
      <c r="H576" t="s">
        <v>4852</v>
      </c>
      <c r="I576" t="s">
        <v>2260</v>
      </c>
      <c r="J576" t="str">
        <f>IF(0 = IFERROR(VLOOKUP(DBL_FullList!I576, ContactsDbl!B:D, 2, FALSE), ""), "", IFERROR(VLOOKUP(DBL_FullList!I576, ContactsDbl!B:D, 2, FALSE), ""))</f>
        <v>info@greekbibles.org</v>
      </c>
      <c r="K576" t="str">
        <f>IF(0 = IFERROR(VLOOKUP(DBL_FullList!I576,ContactsDbl!B:D, 3, FALSE), ""), "", IFERROR(VLOOKUP(DBL_FullList!I576, ContactsDbl!B:D, 3, FALSE), ""))</f>
        <v>http://greek.bible</v>
      </c>
      <c r="L576">
        <f t="shared" si="17"/>
        <v>2</v>
      </c>
    </row>
    <row r="577" spans="1:12" x14ac:dyDescent="0.25">
      <c r="A577" t="s">
        <v>4853</v>
      </c>
      <c r="B577" t="str">
        <f>IF(ISERROR(VLOOKUP(F577,STEP!A:A, 1, FALSE)), "N", "Y")</f>
        <v>N</v>
      </c>
      <c r="C577" t="str">
        <f>IF(ISERROR(VLOOKUP(E577, BibleInEveryLanguageTexts!A:A, 1, FALSE)), "N", "Y")</f>
        <v>N</v>
      </c>
      <c r="D577" t="str">
        <f t="shared" si="16"/>
        <v>X</v>
      </c>
      <c r="E577" t="s">
        <v>4854</v>
      </c>
      <c r="F577" t="s">
        <v>4855</v>
      </c>
      <c r="G577" t="s">
        <v>4120</v>
      </c>
      <c r="H577" t="s">
        <v>4856</v>
      </c>
      <c r="I577" t="s">
        <v>183</v>
      </c>
      <c r="J577" t="str">
        <f>IF(0 = IFERROR(VLOOKUP(DBL_FullList!I577, ContactsDbl!B:D, 2, FALSE), ""), "", IFERROR(VLOOKUP(DBL_FullList!I577, ContactsDbl!B:D, 2, FALSE), ""))</f>
        <v>dbl@biblesocieties.org</v>
      </c>
      <c r="K577" t="str">
        <f>IF(0 = IFERROR(VLOOKUP(DBL_FullList!I577,ContactsDbl!B:D, 3, FALSE), ""), "", IFERROR(VLOOKUP(DBL_FullList!I577, ContactsDbl!B:D, 3, FALSE), ""))</f>
        <v>http://www.unitedbiblesocieties.org/</v>
      </c>
      <c r="L577">
        <f t="shared" si="17"/>
        <v>2</v>
      </c>
    </row>
    <row r="578" spans="1:12" x14ac:dyDescent="0.25">
      <c r="A578" t="s">
        <v>4857</v>
      </c>
      <c r="B578" t="str">
        <f>IF(ISERROR(VLOOKUP(F578,STEP!A:A, 1, FALSE)), "N", "Y")</f>
        <v>N</v>
      </c>
      <c r="C578" t="str">
        <f>IF(ISERROR(VLOOKUP(E578, BibleInEveryLanguageTexts!A:A, 1, FALSE)), "N", "Y")</f>
        <v>N</v>
      </c>
      <c r="D578" t="str">
        <f t="shared" si="16"/>
        <v>X</v>
      </c>
      <c r="E578" t="s">
        <v>4858</v>
      </c>
      <c r="F578" t="s">
        <v>4859</v>
      </c>
      <c r="G578" t="s">
        <v>2793</v>
      </c>
      <c r="H578" t="s">
        <v>4860</v>
      </c>
      <c r="I578" t="s">
        <v>2102</v>
      </c>
      <c r="J578" t="str">
        <f>IF(0 = IFERROR(VLOOKUP(DBL_FullList!I578, ContactsDbl!B:D, 2, FALSE), ""), "", IFERROR(VLOOKUP(DBL_FullList!I578, ContactsDbl!B:D, 2, FALSE), ""))</f>
        <v>mkatonivere@bible.org.fj</v>
      </c>
      <c r="K578" t="str">
        <f>IF(0 = IFERROR(VLOOKUP(DBL_FullList!I578,ContactsDbl!B:D, 3, FALSE), ""), "", IFERROR(VLOOKUP(DBL_FullList!I578, ContactsDbl!B:D, 3, FALSE), ""))</f>
        <v>http://www.bible.org.fj/</v>
      </c>
      <c r="L578">
        <f t="shared" si="17"/>
        <v>2</v>
      </c>
    </row>
    <row r="579" spans="1:12" x14ac:dyDescent="0.25">
      <c r="A579" t="s">
        <v>4861</v>
      </c>
      <c r="B579" t="str">
        <f>IF(ISERROR(VLOOKUP(F579,STEP!A:A, 1, FALSE)), "N", "Y")</f>
        <v>N</v>
      </c>
      <c r="C579" t="str">
        <f>IF(ISERROR(VLOOKUP(E579, BibleInEveryLanguageTexts!A:A, 1, FALSE)), "N", "Y")</f>
        <v>N</v>
      </c>
      <c r="D579" t="str">
        <f t="shared" ref="D579:D642" si="18">IF(AND("N" = B579, "N" = C579), "X", "")</f>
        <v>X</v>
      </c>
      <c r="E579" t="s">
        <v>4862</v>
      </c>
      <c r="F579" t="s">
        <v>4863</v>
      </c>
      <c r="G579" t="s">
        <v>115</v>
      </c>
      <c r="H579" t="s">
        <v>4864</v>
      </c>
      <c r="I579" t="s">
        <v>2661</v>
      </c>
      <c r="J579" t="str">
        <f>IF(0 = IFERROR(VLOOKUP(DBL_FullList!I579, ContactsDbl!B:D, 2, FALSE), ""), "", IFERROR(VLOOKUP(DBL_FullList!I579, ContactsDbl!B:D, 2, FALSE), ""))</f>
        <v>dbladmin_intl@sil.org</v>
      </c>
      <c r="K579" t="str">
        <f>IF(0 = IFERROR(VLOOKUP(DBL_FullList!I579,ContactsDbl!B:D, 3, FALSE), ""), "", IFERROR(VLOOKUP(DBL_FullList!I579, ContactsDbl!B:D, 3, FALSE), ""))</f>
        <v>http://www.wycliffe.org</v>
      </c>
      <c r="L579">
        <f t="shared" ref="L579:L642" si="19">IF("" &lt;&gt; J579, 2, IF("" &lt;&gt; K579, 1, 0))</f>
        <v>2</v>
      </c>
    </row>
    <row r="580" spans="1:12" x14ac:dyDescent="0.25">
      <c r="A580" t="s">
        <v>4865</v>
      </c>
      <c r="B580" t="str">
        <f>IF(ISERROR(VLOOKUP(F580,STEP!A:A, 1, FALSE)), "N", "Y")</f>
        <v>N</v>
      </c>
      <c r="C580" t="str">
        <f>IF(ISERROR(VLOOKUP(E580, BibleInEveryLanguageTexts!A:A, 1, FALSE)), "N", "Y")</f>
        <v>N</v>
      </c>
      <c r="D580" t="str">
        <f t="shared" si="18"/>
        <v>X</v>
      </c>
      <c r="E580" t="s">
        <v>4866</v>
      </c>
      <c r="F580" t="s">
        <v>4867</v>
      </c>
      <c r="G580" t="s">
        <v>110</v>
      </c>
      <c r="H580" t="s">
        <v>4868</v>
      </c>
      <c r="I580" t="s">
        <v>2370</v>
      </c>
      <c r="J580" t="str">
        <f>IF(0 = IFERROR(VLOOKUP(DBL_FullList!I580, ContactsDbl!B:D, 2, FALSE), ""), "", IFERROR(VLOOKUP(DBL_FullList!I580, ContactsDbl!B:D, 2, FALSE), ""))</f>
        <v>anwartjen@alkitab.or.id</v>
      </c>
      <c r="K580" t="str">
        <f>IF(0 = IFERROR(VLOOKUP(DBL_FullList!I580,ContactsDbl!B:D, 3, FALSE), ""), "", IFERROR(VLOOKUP(DBL_FullList!I580, ContactsDbl!B:D, 3, FALSE), ""))</f>
        <v>http://www.alkitab.or.id/</v>
      </c>
      <c r="L580">
        <f t="shared" si="19"/>
        <v>2</v>
      </c>
    </row>
    <row r="581" spans="1:12" x14ac:dyDescent="0.25">
      <c r="A581" s="1" t="s">
        <v>4869</v>
      </c>
      <c r="B581" t="str">
        <f>IF(ISERROR(VLOOKUP(F581,STEP!A:A, 1, FALSE)), "N", "Y")</f>
        <v>N</v>
      </c>
      <c r="C581" t="str">
        <f>IF(ISERROR(VLOOKUP(E581, BibleInEveryLanguageTexts!A:A, 1, FALSE)), "N", "Y")</f>
        <v>N</v>
      </c>
      <c r="D581" t="str">
        <f t="shared" si="18"/>
        <v>X</v>
      </c>
      <c r="E581" t="s">
        <v>4870</v>
      </c>
      <c r="F581" t="s">
        <v>4871</v>
      </c>
      <c r="G581" t="s">
        <v>110</v>
      </c>
      <c r="H581" t="s">
        <v>4872</v>
      </c>
      <c r="I581" t="s">
        <v>2370</v>
      </c>
      <c r="J581" t="str">
        <f>IF(0 = IFERROR(VLOOKUP(DBL_FullList!I581, ContactsDbl!B:D, 2, FALSE), ""), "", IFERROR(VLOOKUP(DBL_FullList!I581, ContactsDbl!B:D, 2, FALSE), ""))</f>
        <v>anwartjen@alkitab.or.id</v>
      </c>
      <c r="K581" t="str">
        <f>IF(0 = IFERROR(VLOOKUP(DBL_FullList!I581,ContactsDbl!B:D, 3, FALSE), ""), "", IFERROR(VLOOKUP(DBL_FullList!I581, ContactsDbl!B:D, 3, FALSE), ""))</f>
        <v>http://www.alkitab.or.id/</v>
      </c>
      <c r="L581">
        <f t="shared" si="19"/>
        <v>2</v>
      </c>
    </row>
    <row r="582" spans="1:12" x14ac:dyDescent="0.25">
      <c r="A582" t="s">
        <v>4873</v>
      </c>
      <c r="B582" t="str">
        <f>IF(ISERROR(VLOOKUP(F582,STEP!A:A, 1, FALSE)), "N", "Y")</f>
        <v>N</v>
      </c>
      <c r="C582" t="str">
        <f>IF(ISERROR(VLOOKUP(E582, BibleInEveryLanguageTexts!A:A, 1, FALSE)), "N", "Y")</f>
        <v>N</v>
      </c>
      <c r="D582" t="str">
        <f t="shared" si="18"/>
        <v>X</v>
      </c>
      <c r="E582" t="s">
        <v>199</v>
      </c>
      <c r="F582" t="s">
        <v>197</v>
      </c>
      <c r="G582" t="s">
        <v>2880</v>
      </c>
      <c r="H582" t="s">
        <v>4874</v>
      </c>
      <c r="I582" t="s">
        <v>1997</v>
      </c>
      <c r="J582" t="str">
        <f>IF(0 = IFERROR(VLOOKUP(DBL_FullList!I582, ContactsDbl!B:D, 2, FALSE), ""), "", IFERROR(VLOOKUP(DBL_FullList!I582, ContactsDbl!B:D, 2, FALSE), ""))</f>
        <v>Lee.Harris@biblica.com</v>
      </c>
      <c r="K582" t="str">
        <f>IF(0 = IFERROR(VLOOKUP(DBL_FullList!I582,ContactsDbl!B:D, 3, FALSE), ""), "", IFERROR(VLOOKUP(DBL_FullList!I582, ContactsDbl!B:D, 3, FALSE), ""))</f>
        <v>http://www.Biblica.com</v>
      </c>
      <c r="L582">
        <f t="shared" si="19"/>
        <v>2</v>
      </c>
    </row>
    <row r="583" spans="1:12" x14ac:dyDescent="0.25">
      <c r="A583" t="s">
        <v>4875</v>
      </c>
      <c r="B583" t="str">
        <f>IF(ISERROR(VLOOKUP(F583,STEP!A:A, 1, FALSE)), "N", "Y")</f>
        <v>N</v>
      </c>
      <c r="C583" t="str">
        <f>IF(ISERROR(VLOOKUP(E583, BibleInEveryLanguageTexts!A:A, 1, FALSE)), "N", "Y")</f>
        <v>N</v>
      </c>
      <c r="D583" t="str">
        <f t="shared" si="18"/>
        <v>X</v>
      </c>
      <c r="E583" t="s">
        <v>477</v>
      </c>
      <c r="F583" t="s">
        <v>476</v>
      </c>
      <c r="G583" t="s">
        <v>2861</v>
      </c>
      <c r="H583" t="s">
        <v>4876</v>
      </c>
      <c r="I583" t="s">
        <v>24</v>
      </c>
      <c r="J583" t="str">
        <f>IF(0 = IFERROR(VLOOKUP(DBL_FullList!I583, ContactsDbl!B:D, 2, FALSE), ""), "", IFERROR(VLOOKUP(DBL_FullList!I583, ContactsDbl!B:D, 2, FALSE), ""))</f>
        <v>Michael@eBible.org</v>
      </c>
      <c r="K583" t="str">
        <f>IF(0 = IFERROR(VLOOKUP(DBL_FullList!I583,ContactsDbl!B:D, 3, FALSE), ""), "", IFERROR(VLOOKUP(DBL_FullList!I583, ContactsDbl!B:D, 3, FALSE), ""))</f>
        <v>http://eBible.org</v>
      </c>
      <c r="L583">
        <f t="shared" si="19"/>
        <v>2</v>
      </c>
    </row>
    <row r="584" spans="1:12" x14ac:dyDescent="0.25">
      <c r="A584" t="s">
        <v>4877</v>
      </c>
      <c r="B584" t="str">
        <f>IF(ISERROR(VLOOKUP(F584,STEP!A:A, 1, FALSE)), "N", "Y")</f>
        <v>N</v>
      </c>
      <c r="C584" t="str">
        <f>IF(ISERROR(VLOOKUP(E584, BibleInEveryLanguageTexts!A:A, 1, FALSE)), "N", "Y")</f>
        <v>N</v>
      </c>
      <c r="D584" t="str">
        <f t="shared" si="18"/>
        <v>X</v>
      </c>
      <c r="E584" t="s">
        <v>4878</v>
      </c>
      <c r="F584" t="s">
        <v>2852</v>
      </c>
      <c r="G584" t="s">
        <v>2853</v>
      </c>
      <c r="H584" t="s">
        <v>4879</v>
      </c>
      <c r="I584" t="s">
        <v>2409</v>
      </c>
      <c r="J584" t="str">
        <f>IF(0 = IFERROR(VLOOKUP(DBL_FullList!I584, ContactsDbl!B:D, 2, FALSE), ""), "", IFERROR(VLOOKUP(DBL_FullList!I584, ContactsDbl!B:D, 2, FALSE), ""))</f>
        <v>ombanasoa@biblesociety-malagasy.org</v>
      </c>
      <c r="K584" t="str">
        <f>IF(0 = IFERROR(VLOOKUP(DBL_FullList!I584,ContactsDbl!B:D, 3, FALSE), ""), "", IFERROR(VLOOKUP(DBL_FullList!I584, ContactsDbl!B:D, 3, FALSE), ""))</f>
        <v>http://www.mampielybaiboly.mg/</v>
      </c>
      <c r="L584">
        <f t="shared" si="19"/>
        <v>2</v>
      </c>
    </row>
    <row r="585" spans="1:12" x14ac:dyDescent="0.25">
      <c r="A585" t="s">
        <v>4880</v>
      </c>
      <c r="B585" t="str">
        <f>IF(ISERROR(VLOOKUP(F585,STEP!A:A, 1, FALSE)), "N", "Y")</f>
        <v>N</v>
      </c>
      <c r="C585" t="str">
        <f>IF(ISERROR(VLOOKUP(E585, BibleInEveryLanguageTexts!A:A, 1, FALSE)), "N", "Y")</f>
        <v>Y</v>
      </c>
      <c r="D585" t="str">
        <f t="shared" si="18"/>
        <v/>
      </c>
      <c r="E585" t="s">
        <v>2685</v>
      </c>
      <c r="F585" t="s">
        <v>4881</v>
      </c>
      <c r="G585" t="s">
        <v>4882</v>
      </c>
      <c r="H585" t="s">
        <v>4883</v>
      </c>
      <c r="I585" t="s">
        <v>1997</v>
      </c>
      <c r="J585" t="str">
        <f>IF(0 = IFERROR(VLOOKUP(DBL_FullList!I585, ContactsDbl!B:D, 2, FALSE), ""), "", IFERROR(VLOOKUP(DBL_FullList!I585, ContactsDbl!B:D, 2, FALSE), ""))</f>
        <v>Lee.Harris@biblica.com</v>
      </c>
      <c r="K585" t="str">
        <f>IF(0 = IFERROR(VLOOKUP(DBL_FullList!I585,ContactsDbl!B:D, 3, FALSE), ""), "", IFERROR(VLOOKUP(DBL_FullList!I585, ContactsDbl!B:D, 3, FALSE), ""))</f>
        <v>http://www.Biblica.com</v>
      </c>
      <c r="L585">
        <f t="shared" si="19"/>
        <v>2</v>
      </c>
    </row>
    <row r="586" spans="1:12" x14ac:dyDescent="0.25">
      <c r="A586" t="s">
        <v>4884</v>
      </c>
      <c r="B586" t="str">
        <f>IF(ISERROR(VLOOKUP(F586,STEP!A:A, 1, FALSE)), "N", "Y")</f>
        <v>N</v>
      </c>
      <c r="C586" t="str">
        <f>IF(ISERROR(VLOOKUP(E586, BibleInEveryLanguageTexts!A:A, 1, FALSE)), "N", "Y")</f>
        <v>N</v>
      </c>
      <c r="D586" t="str">
        <f t="shared" si="18"/>
        <v>X</v>
      </c>
      <c r="E586" t="s">
        <v>4885</v>
      </c>
      <c r="F586" t="s">
        <v>4886</v>
      </c>
      <c r="G586" t="s">
        <v>333</v>
      </c>
      <c r="H586" t="s">
        <v>4887</v>
      </c>
      <c r="I586" t="s">
        <v>2661</v>
      </c>
      <c r="J586" t="str">
        <f>IF(0 = IFERROR(VLOOKUP(DBL_FullList!I586, ContactsDbl!B:D, 2, FALSE), ""), "", IFERROR(VLOOKUP(DBL_FullList!I586, ContactsDbl!B:D, 2, FALSE), ""))</f>
        <v>dbladmin_intl@sil.org</v>
      </c>
      <c r="K586" t="str">
        <f>IF(0 = IFERROR(VLOOKUP(DBL_FullList!I586,ContactsDbl!B:D, 3, FALSE), ""), "", IFERROR(VLOOKUP(DBL_FullList!I586, ContactsDbl!B:D, 3, FALSE), ""))</f>
        <v>http://www.wycliffe.org</v>
      </c>
      <c r="L586">
        <f t="shared" si="19"/>
        <v>2</v>
      </c>
    </row>
    <row r="587" spans="1:12" x14ac:dyDescent="0.25">
      <c r="A587" t="s">
        <v>4888</v>
      </c>
      <c r="B587" t="str">
        <f>IF(ISERROR(VLOOKUP(F587,STEP!A:A, 1, FALSE)), "N", "Y")</f>
        <v>N</v>
      </c>
      <c r="C587" t="str">
        <f>IF(ISERROR(VLOOKUP(E587, BibleInEveryLanguageTexts!A:A, 1, FALSE)), "N", "Y")</f>
        <v>Y</v>
      </c>
      <c r="D587" t="str">
        <f t="shared" si="18"/>
        <v/>
      </c>
      <c r="E587" t="s">
        <v>12</v>
      </c>
      <c r="F587" t="s">
        <v>10</v>
      </c>
      <c r="G587" t="s">
        <v>11</v>
      </c>
      <c r="H587" t="s">
        <v>4889</v>
      </c>
      <c r="I587" t="s">
        <v>1964</v>
      </c>
      <c r="J587" t="str">
        <f>IF(0 = IFERROR(VLOOKUP(DBL_FullList!I587, ContactsDbl!B:D, 2, FALSE), ""), "", IFERROR(VLOOKUP(DBL_FullList!I587, ContactsDbl!B:D, 2, FALSE), ""))</f>
        <v/>
      </c>
      <c r="K587" t="str">
        <f>IF(0 = IFERROR(VLOOKUP(DBL_FullList!I587,ContactsDbl!B:D, 3, FALSE), ""), "", IFERROR(VLOOKUP(DBL_FullList!I587, ContactsDbl!B:D, 3, FALSE), ""))</f>
        <v>http://www.americanbible.org/</v>
      </c>
      <c r="L587">
        <f t="shared" si="19"/>
        <v>1</v>
      </c>
    </row>
    <row r="588" spans="1:12" x14ac:dyDescent="0.25">
      <c r="A588" t="s">
        <v>4890</v>
      </c>
      <c r="B588" t="str">
        <f>IF(ISERROR(VLOOKUP(F588,STEP!A:A, 1, FALSE)), "N", "Y")</f>
        <v>N</v>
      </c>
      <c r="C588" t="str">
        <f>IF(ISERROR(VLOOKUP(E588, BibleInEveryLanguageTexts!A:A, 1, FALSE)), "N", "Y")</f>
        <v>N</v>
      </c>
      <c r="D588" t="str">
        <f t="shared" si="18"/>
        <v>X</v>
      </c>
      <c r="E588" t="s">
        <v>4891</v>
      </c>
      <c r="F588" t="s">
        <v>4892</v>
      </c>
      <c r="G588" t="s">
        <v>3083</v>
      </c>
      <c r="H588" t="s">
        <v>4893</v>
      </c>
      <c r="I588" t="s">
        <v>2661</v>
      </c>
      <c r="J588" t="str">
        <f>IF(0 = IFERROR(VLOOKUP(DBL_FullList!I588, ContactsDbl!B:D, 2, FALSE), ""), "", IFERROR(VLOOKUP(DBL_FullList!I588, ContactsDbl!B:D, 2, FALSE), ""))</f>
        <v>dbladmin_intl@sil.org</v>
      </c>
      <c r="K588" t="str">
        <f>IF(0 = IFERROR(VLOOKUP(DBL_FullList!I588,ContactsDbl!B:D, 3, FALSE), ""), "", IFERROR(VLOOKUP(DBL_FullList!I588, ContactsDbl!B:D, 3, FALSE), ""))</f>
        <v>http://www.wycliffe.org</v>
      </c>
      <c r="L588">
        <f t="shared" si="19"/>
        <v>2</v>
      </c>
    </row>
    <row r="589" spans="1:12" x14ac:dyDescent="0.25">
      <c r="A589" t="s">
        <v>4894</v>
      </c>
      <c r="B589" t="str">
        <f>IF(ISERROR(VLOOKUP(F589,STEP!A:A, 1, FALSE)), "N", "Y")</f>
        <v>N</v>
      </c>
      <c r="C589" t="str">
        <f>IF(ISERROR(VLOOKUP(E589, BibleInEveryLanguageTexts!A:A, 1, FALSE)), "N", "Y")</f>
        <v>N</v>
      </c>
      <c r="D589" t="str">
        <f t="shared" si="18"/>
        <v>X</v>
      </c>
      <c r="E589" t="s">
        <v>4895</v>
      </c>
      <c r="F589" t="s">
        <v>4896</v>
      </c>
      <c r="G589" t="s">
        <v>2723</v>
      </c>
      <c r="H589" t="s">
        <v>4897</v>
      </c>
      <c r="I589" t="s">
        <v>2661</v>
      </c>
      <c r="J589" t="str">
        <f>IF(0 = IFERROR(VLOOKUP(DBL_FullList!I589, ContactsDbl!B:D, 2, FALSE), ""), "", IFERROR(VLOOKUP(DBL_FullList!I589, ContactsDbl!B:D, 2, FALSE), ""))</f>
        <v>dbladmin_intl@sil.org</v>
      </c>
      <c r="K589" t="str">
        <f>IF(0 = IFERROR(VLOOKUP(DBL_FullList!I589,ContactsDbl!B:D, 3, FALSE), ""), "", IFERROR(VLOOKUP(DBL_FullList!I589, ContactsDbl!B:D, 3, FALSE), ""))</f>
        <v>http://www.wycliffe.org</v>
      </c>
      <c r="L589">
        <f t="shared" si="19"/>
        <v>2</v>
      </c>
    </row>
    <row r="590" spans="1:12" x14ac:dyDescent="0.25">
      <c r="A590" t="s">
        <v>4898</v>
      </c>
      <c r="B590" t="str">
        <f>IF(ISERROR(VLOOKUP(F590,STEP!A:A, 1, FALSE)), "N", "Y")</f>
        <v>N</v>
      </c>
      <c r="C590" t="str">
        <f>IF(ISERROR(VLOOKUP(E590, BibleInEveryLanguageTexts!A:A, 1, FALSE)), "N", "Y")</f>
        <v>N</v>
      </c>
      <c r="D590" t="str">
        <f t="shared" si="18"/>
        <v>X</v>
      </c>
      <c r="E590" t="s">
        <v>4899</v>
      </c>
      <c r="F590" t="s">
        <v>4900</v>
      </c>
      <c r="G590" t="s">
        <v>4739</v>
      </c>
      <c r="H590" t="s">
        <v>4901</v>
      </c>
      <c r="I590" t="s">
        <v>2198</v>
      </c>
      <c r="J590" t="str">
        <f>IF(0 = IFERROR(VLOOKUP(DBL_FullList!I590, ContactsDbl!B:D, 2, FALSE), ""), "", IFERROR(VLOOKUP(DBL_FullList!I590, ContactsDbl!B:D, 2, FALSE), ""))</f>
        <v>admin@bsoe.org</v>
      </c>
      <c r="K590" t="str">
        <f>IF(0 = IFERROR(VLOOKUP(DBL_FullList!I590,ContactsDbl!B:D, 3, FALSE), ""), "", IFERROR(VLOOKUP(DBL_FullList!I590, ContactsDbl!B:D, 3, FALSE), ""))</f>
        <v>http://www.bsoe.org/</v>
      </c>
      <c r="L590">
        <f t="shared" si="19"/>
        <v>2</v>
      </c>
    </row>
    <row r="591" spans="1:12" x14ac:dyDescent="0.25">
      <c r="A591" t="s">
        <v>4902</v>
      </c>
      <c r="B591" t="str">
        <f>IF(ISERROR(VLOOKUP(F591,STEP!A:A, 1, FALSE)), "N", "Y")</f>
        <v>N</v>
      </c>
      <c r="C591" t="str">
        <f>IF(ISERROR(VLOOKUP(E591, BibleInEveryLanguageTexts!A:A, 1, FALSE)), "N", "Y")</f>
        <v>N</v>
      </c>
      <c r="D591" t="str">
        <f t="shared" si="18"/>
        <v>X</v>
      </c>
      <c r="E591" t="s">
        <v>4903</v>
      </c>
      <c r="F591" t="s">
        <v>4904</v>
      </c>
      <c r="G591" t="s">
        <v>2997</v>
      </c>
      <c r="H591" t="s">
        <v>4905</v>
      </c>
      <c r="I591" t="s">
        <v>183</v>
      </c>
      <c r="J591" t="str">
        <f>IF(0 = IFERROR(VLOOKUP(DBL_FullList!I591, ContactsDbl!B:D, 2, FALSE), ""), "", IFERROR(VLOOKUP(DBL_FullList!I591, ContactsDbl!B:D, 2, FALSE), ""))</f>
        <v>dbl@biblesocieties.org</v>
      </c>
      <c r="K591" t="str">
        <f>IF(0 = IFERROR(VLOOKUP(DBL_FullList!I591,ContactsDbl!B:D, 3, FALSE), ""), "", IFERROR(VLOOKUP(DBL_FullList!I591, ContactsDbl!B:D, 3, FALSE), ""))</f>
        <v>http://www.unitedbiblesocieties.org/</v>
      </c>
      <c r="L591">
        <f t="shared" si="19"/>
        <v>2</v>
      </c>
    </row>
    <row r="592" spans="1:12" x14ac:dyDescent="0.25">
      <c r="A592" t="s">
        <v>4906</v>
      </c>
      <c r="B592" t="str">
        <f>IF(ISERROR(VLOOKUP(F592,STEP!A:A, 1, FALSE)), "N", "Y")</f>
        <v>N</v>
      </c>
      <c r="C592" t="str">
        <f>IF(ISERROR(VLOOKUP(E592, BibleInEveryLanguageTexts!A:A, 1, FALSE)), "N", "Y")</f>
        <v>Y</v>
      </c>
      <c r="D592" t="str">
        <f t="shared" si="18"/>
        <v/>
      </c>
      <c r="E592" t="s">
        <v>12</v>
      </c>
      <c r="F592" t="s">
        <v>10</v>
      </c>
      <c r="G592" t="s">
        <v>27</v>
      </c>
      <c r="H592" t="s">
        <v>4907</v>
      </c>
      <c r="I592" t="s">
        <v>3104</v>
      </c>
      <c r="J592" t="str">
        <f>IF(0 = IFERROR(VLOOKUP(DBL_FullList!I592, ContactsDbl!B:D, 2, FALSE), ""), "", IFERROR(VLOOKUP(DBL_FullList!I592, ContactsDbl!B:D, 2, FALSE), ""))</f>
        <v/>
      </c>
      <c r="K592" t="str">
        <f>IF(0 = IFERROR(VLOOKUP(DBL_FullList!I592,ContactsDbl!B:D, 3, FALSE), ""), "", IFERROR(VLOOKUP(DBL_FullList!I592, ContactsDbl!B:D, 3, FALSE), ""))</f>
        <v/>
      </c>
      <c r="L592">
        <f t="shared" si="19"/>
        <v>0</v>
      </c>
    </row>
    <row r="593" spans="1:12" x14ac:dyDescent="0.25">
      <c r="A593" t="s">
        <v>4908</v>
      </c>
      <c r="B593" t="str">
        <f>IF(ISERROR(VLOOKUP(F593,STEP!A:A, 1, FALSE)), "N", "Y")</f>
        <v>N</v>
      </c>
      <c r="C593" t="str">
        <f>IF(ISERROR(VLOOKUP(E593, BibleInEveryLanguageTexts!A:A, 1, FALSE)), "N", "Y")</f>
        <v>N</v>
      </c>
      <c r="D593" t="str">
        <f t="shared" si="18"/>
        <v>X</v>
      </c>
      <c r="E593" t="s">
        <v>4909</v>
      </c>
      <c r="F593" t="s">
        <v>4910</v>
      </c>
      <c r="G593" t="s">
        <v>333</v>
      </c>
      <c r="H593" t="s">
        <v>4911</v>
      </c>
      <c r="I593" t="s">
        <v>2661</v>
      </c>
      <c r="J593" t="str">
        <f>IF(0 = IFERROR(VLOOKUP(DBL_FullList!I593, ContactsDbl!B:D, 2, FALSE), ""), "", IFERROR(VLOOKUP(DBL_FullList!I593, ContactsDbl!B:D, 2, FALSE), ""))</f>
        <v>dbladmin_intl@sil.org</v>
      </c>
      <c r="K593" t="str">
        <f>IF(0 = IFERROR(VLOOKUP(DBL_FullList!I593,ContactsDbl!B:D, 3, FALSE), ""), "", IFERROR(VLOOKUP(DBL_FullList!I593, ContactsDbl!B:D, 3, FALSE), ""))</f>
        <v>http://www.wycliffe.org</v>
      </c>
      <c r="L593">
        <f t="shared" si="19"/>
        <v>2</v>
      </c>
    </row>
    <row r="594" spans="1:12" x14ac:dyDescent="0.25">
      <c r="A594" t="s">
        <v>4912</v>
      </c>
      <c r="B594" t="str">
        <f>IF(ISERROR(VLOOKUP(F594,STEP!A:A, 1, FALSE)), "N", "Y")</f>
        <v>N</v>
      </c>
      <c r="C594" t="str">
        <f>IF(ISERROR(VLOOKUP(E594, BibleInEveryLanguageTexts!A:A, 1, FALSE)), "N", "Y")</f>
        <v>N</v>
      </c>
      <c r="D594" t="str">
        <f t="shared" si="18"/>
        <v>X</v>
      </c>
      <c r="E594" t="s">
        <v>4913</v>
      </c>
      <c r="F594" t="s">
        <v>4914</v>
      </c>
      <c r="G594" t="s">
        <v>27</v>
      </c>
      <c r="H594" t="s">
        <v>4915</v>
      </c>
      <c r="I594" t="s">
        <v>3104</v>
      </c>
      <c r="J594" t="str">
        <f>IF(0 = IFERROR(VLOOKUP(DBL_FullList!I594, ContactsDbl!B:D, 2, FALSE), ""), "", IFERROR(VLOOKUP(DBL_FullList!I594, ContactsDbl!B:D, 2, FALSE), ""))</f>
        <v/>
      </c>
      <c r="K594" t="str">
        <f>IF(0 = IFERROR(VLOOKUP(DBL_FullList!I594,ContactsDbl!B:D, 3, FALSE), ""), "", IFERROR(VLOOKUP(DBL_FullList!I594, ContactsDbl!B:D, 3, FALSE), ""))</f>
        <v/>
      </c>
      <c r="L594">
        <f t="shared" si="19"/>
        <v>0</v>
      </c>
    </row>
    <row r="595" spans="1:12" x14ac:dyDescent="0.25">
      <c r="A595" t="s">
        <v>4916</v>
      </c>
      <c r="B595" t="str">
        <f>IF(ISERROR(VLOOKUP(F595,STEP!A:A, 1, FALSE)), "N", "Y")</f>
        <v>N</v>
      </c>
      <c r="C595" t="str">
        <f>IF(ISERROR(VLOOKUP(E595, BibleInEveryLanguageTexts!A:A, 1, FALSE)), "N", "Y")</f>
        <v>N</v>
      </c>
      <c r="D595" t="str">
        <f t="shared" si="18"/>
        <v>X</v>
      </c>
      <c r="E595" t="s">
        <v>4917</v>
      </c>
      <c r="F595" t="s">
        <v>4918</v>
      </c>
      <c r="G595" t="s">
        <v>4919</v>
      </c>
      <c r="H595" t="s">
        <v>4920</v>
      </c>
      <c r="I595" t="s">
        <v>2444</v>
      </c>
      <c r="J595" t="str">
        <f>IF(0 = IFERROR(VLOOKUP(DBL_FullList!I595, ContactsDbl!B:D, 2, FALSE), ""), "", IFERROR(VLOOKUP(DBL_FullList!I595, ContactsDbl!B:D, 2, FALSE), ""))</f>
        <v>sbmoz@tvcabo.co.mz</v>
      </c>
      <c r="K595" t="str">
        <f>IF(0 = IFERROR(VLOOKUP(DBL_FullList!I595,ContactsDbl!B:D, 3, FALSE), ""), "", IFERROR(VLOOKUP(DBL_FullList!I595, ContactsDbl!B:D, 3, FALSE), ""))</f>
        <v>http://www.unitedbiblesocieties.org/society/bible-society-in-mozambique/</v>
      </c>
      <c r="L595">
        <f t="shared" si="19"/>
        <v>2</v>
      </c>
    </row>
    <row r="596" spans="1:12" x14ac:dyDescent="0.25">
      <c r="A596" t="s">
        <v>4921</v>
      </c>
      <c r="B596" t="str">
        <f>IF(ISERROR(VLOOKUP(F596,STEP!A:A, 1, FALSE)), "N", "Y")</f>
        <v>N</v>
      </c>
      <c r="C596" t="str">
        <f>IF(ISERROR(VLOOKUP(E596, BibleInEveryLanguageTexts!A:A, 1, FALSE)), "N", "Y")</f>
        <v>N</v>
      </c>
      <c r="D596" t="str">
        <f t="shared" si="18"/>
        <v>X</v>
      </c>
      <c r="E596" t="s">
        <v>4922</v>
      </c>
      <c r="F596" t="s">
        <v>4923</v>
      </c>
      <c r="G596" t="s">
        <v>4919</v>
      </c>
      <c r="H596" t="s">
        <v>4924</v>
      </c>
      <c r="I596" t="s">
        <v>2444</v>
      </c>
      <c r="J596" t="str">
        <f>IF(0 = IFERROR(VLOOKUP(DBL_FullList!I596, ContactsDbl!B:D, 2, FALSE), ""), "", IFERROR(VLOOKUP(DBL_FullList!I596, ContactsDbl!B:D, 2, FALSE), ""))</f>
        <v>sbmoz@tvcabo.co.mz</v>
      </c>
      <c r="K596" t="str">
        <f>IF(0 = IFERROR(VLOOKUP(DBL_FullList!I596,ContactsDbl!B:D, 3, FALSE), ""), "", IFERROR(VLOOKUP(DBL_FullList!I596, ContactsDbl!B:D, 3, FALSE), ""))</f>
        <v>http://www.unitedbiblesocieties.org/society/bible-society-in-mozambique/</v>
      </c>
      <c r="L596">
        <f t="shared" si="19"/>
        <v>2</v>
      </c>
    </row>
    <row r="597" spans="1:12" x14ac:dyDescent="0.25">
      <c r="A597" t="s">
        <v>4925</v>
      </c>
      <c r="B597" t="str">
        <f>IF(ISERROR(VLOOKUP(F597,STEP!A:A, 1, FALSE)), "N", "Y")</f>
        <v>N</v>
      </c>
      <c r="C597" t="str">
        <f>IF(ISERROR(VLOOKUP(E597, BibleInEveryLanguageTexts!A:A, 1, FALSE)), "N", "Y")</f>
        <v>N</v>
      </c>
      <c r="D597" t="str">
        <f t="shared" si="18"/>
        <v>X</v>
      </c>
      <c r="E597" t="s">
        <v>4926</v>
      </c>
      <c r="F597" t="s">
        <v>4927</v>
      </c>
      <c r="G597" t="s">
        <v>25</v>
      </c>
      <c r="H597" t="s">
        <v>4928</v>
      </c>
      <c r="I597" t="s">
        <v>2661</v>
      </c>
      <c r="J597" t="str">
        <f>IF(0 = IFERROR(VLOOKUP(DBL_FullList!I597, ContactsDbl!B:D, 2, FALSE), ""), "", IFERROR(VLOOKUP(DBL_FullList!I597, ContactsDbl!B:D, 2, FALSE), ""))</f>
        <v>dbladmin_intl@sil.org</v>
      </c>
      <c r="K597" t="str">
        <f>IF(0 = IFERROR(VLOOKUP(DBL_FullList!I597,ContactsDbl!B:D, 3, FALSE), ""), "", IFERROR(VLOOKUP(DBL_FullList!I597, ContactsDbl!B:D, 3, FALSE), ""))</f>
        <v>http://www.wycliffe.org</v>
      </c>
      <c r="L597">
        <f t="shared" si="19"/>
        <v>2</v>
      </c>
    </row>
    <row r="598" spans="1:12" x14ac:dyDescent="0.25">
      <c r="A598" t="s">
        <v>4929</v>
      </c>
      <c r="B598" t="str">
        <f>IF(ISERROR(VLOOKUP(F598,STEP!A:A, 1, FALSE)), "N", "Y")</f>
        <v>N</v>
      </c>
      <c r="C598" t="str">
        <f>IF(ISERROR(VLOOKUP(E598, BibleInEveryLanguageTexts!A:A, 1, FALSE)), "N", "Y")</f>
        <v>N</v>
      </c>
      <c r="D598" t="str">
        <f t="shared" si="18"/>
        <v>X</v>
      </c>
      <c r="E598" t="s">
        <v>4930</v>
      </c>
      <c r="F598" t="s">
        <v>4931</v>
      </c>
      <c r="G598" t="s">
        <v>383</v>
      </c>
      <c r="H598" t="s">
        <v>4932</v>
      </c>
      <c r="I598" t="s">
        <v>2594</v>
      </c>
      <c r="J598" t="str">
        <f>IF(0 = IFERROR(VLOOKUP(DBL_FullList!I598, ContactsDbl!B:D, 2, FALSE), ""), "", IFERROR(VLOOKUP(DBL_FullList!I598, ContactsDbl!B:D, 2, FALSE), ""))</f>
        <v>ekajivora@hotmail.com</v>
      </c>
      <c r="K598" t="str">
        <f>IF(0 = IFERROR(VLOOKUP(DBL_FullList!I598,ContactsDbl!B:D, 3, FALSE), ""), "", IFERROR(VLOOKUP(DBL_FullList!I598, ContactsDbl!B:D, 3, FALSE), ""))</f>
        <v/>
      </c>
      <c r="L598">
        <f t="shared" si="19"/>
        <v>2</v>
      </c>
    </row>
    <row r="599" spans="1:12" x14ac:dyDescent="0.25">
      <c r="A599" t="s">
        <v>4933</v>
      </c>
      <c r="B599" t="str">
        <f>IF(ISERROR(VLOOKUP(F599,STEP!A:A, 1, FALSE)), "N", "Y")</f>
        <v>Y</v>
      </c>
      <c r="C599" t="str">
        <f>IF(ISERROR(VLOOKUP(E599, BibleInEveryLanguageTexts!A:A, 1, FALSE)), "N", "Y")</f>
        <v>N</v>
      </c>
      <c r="D599" t="str">
        <f t="shared" si="18"/>
        <v/>
      </c>
      <c r="E599" t="s">
        <v>4934</v>
      </c>
      <c r="F599" t="s">
        <v>4935</v>
      </c>
      <c r="G599" t="s">
        <v>48</v>
      </c>
      <c r="H599" t="s">
        <v>4936</v>
      </c>
      <c r="I599" t="s">
        <v>2661</v>
      </c>
      <c r="J599" t="str">
        <f>IF(0 = IFERROR(VLOOKUP(DBL_FullList!I599, ContactsDbl!B:D, 2, FALSE), ""), "", IFERROR(VLOOKUP(DBL_FullList!I599, ContactsDbl!B:D, 2, FALSE), ""))</f>
        <v>dbladmin_intl@sil.org</v>
      </c>
      <c r="K599" t="str">
        <f>IF(0 = IFERROR(VLOOKUP(DBL_FullList!I599,ContactsDbl!B:D, 3, FALSE), ""), "", IFERROR(VLOOKUP(DBL_FullList!I599, ContactsDbl!B:D, 3, FALSE), ""))</f>
        <v>http://www.wycliffe.org</v>
      </c>
      <c r="L599">
        <f t="shared" si="19"/>
        <v>2</v>
      </c>
    </row>
    <row r="600" spans="1:12" x14ac:dyDescent="0.25">
      <c r="A600" t="s">
        <v>4937</v>
      </c>
      <c r="B600" t="str">
        <f>IF(ISERROR(VLOOKUP(F600,STEP!A:A, 1, FALSE)), "N", "Y")</f>
        <v>N</v>
      </c>
      <c r="C600" t="str">
        <f>IF(ISERROR(VLOOKUP(E600, BibleInEveryLanguageTexts!A:A, 1, FALSE)), "N", "Y")</f>
        <v>N</v>
      </c>
      <c r="D600" t="str">
        <f t="shared" si="18"/>
        <v>X</v>
      </c>
      <c r="E600" t="s">
        <v>4938</v>
      </c>
      <c r="F600" t="s">
        <v>2823</v>
      </c>
      <c r="G600" t="s">
        <v>2824</v>
      </c>
      <c r="H600" t="s">
        <v>4939</v>
      </c>
      <c r="I600" t="s">
        <v>183</v>
      </c>
      <c r="J600" t="str">
        <f>IF(0 = IFERROR(VLOOKUP(DBL_FullList!I600, ContactsDbl!B:D, 2, FALSE), ""), "", IFERROR(VLOOKUP(DBL_FullList!I600, ContactsDbl!B:D, 2, FALSE), ""))</f>
        <v>dbl@biblesocieties.org</v>
      </c>
      <c r="K600" t="str">
        <f>IF(0 = IFERROR(VLOOKUP(DBL_FullList!I600,ContactsDbl!B:D, 3, FALSE), ""), "", IFERROR(VLOOKUP(DBL_FullList!I600, ContactsDbl!B:D, 3, FALSE), ""))</f>
        <v>http://www.unitedbiblesocieties.org/</v>
      </c>
      <c r="L600">
        <f t="shared" si="19"/>
        <v>2</v>
      </c>
    </row>
    <row r="601" spans="1:12" x14ac:dyDescent="0.25">
      <c r="A601" t="s">
        <v>4940</v>
      </c>
      <c r="B601" t="str">
        <f>IF(ISERROR(VLOOKUP(F601,STEP!A:A, 1, FALSE)), "N", "Y")</f>
        <v>N</v>
      </c>
      <c r="C601" t="str">
        <f>IF(ISERROR(VLOOKUP(E601, BibleInEveryLanguageTexts!A:A, 1, FALSE)), "N", "Y")</f>
        <v>N</v>
      </c>
      <c r="D601" t="str">
        <f t="shared" si="18"/>
        <v>X</v>
      </c>
      <c r="E601" t="s">
        <v>4941</v>
      </c>
      <c r="F601" t="s">
        <v>4942</v>
      </c>
      <c r="G601" t="s">
        <v>3634</v>
      </c>
      <c r="H601" t="s">
        <v>4943</v>
      </c>
      <c r="I601" t="s">
        <v>2296</v>
      </c>
      <c r="J601" t="str">
        <f>IF(0 = IFERROR(VLOOKUP(DBL_FullList!I601, ContactsDbl!B:D, 2, FALSE), ""), "", IFERROR(VLOOKUP(DBL_FullList!I601, ContactsDbl!B:D, 2, FALSE), ""))</f>
        <v>gjergj@biblesocieties.org</v>
      </c>
      <c r="K601" t="str">
        <f>IF(0 = IFERROR(VLOOKUP(DBL_FullList!I601,ContactsDbl!B:D, 3, FALSE), ""), "", IFERROR(VLOOKUP(DBL_FullList!I601, ContactsDbl!B:D, 3, FALSE), ""))</f>
        <v>http://albanianbiblesociety.com</v>
      </c>
      <c r="L601">
        <f t="shared" si="19"/>
        <v>2</v>
      </c>
    </row>
    <row r="602" spans="1:12" x14ac:dyDescent="0.25">
      <c r="A602" t="s">
        <v>4944</v>
      </c>
      <c r="B602" t="str">
        <f>IF(ISERROR(VLOOKUP(F602,STEP!A:A, 1, FALSE)), "N", "Y")</f>
        <v>Y</v>
      </c>
      <c r="C602" t="str">
        <f>IF(ISERROR(VLOOKUP(E602, BibleInEveryLanguageTexts!A:A, 1, FALSE)), "N", "Y")</f>
        <v>N</v>
      </c>
      <c r="D602" t="str">
        <f t="shared" si="18"/>
        <v/>
      </c>
      <c r="E602" t="s">
        <v>4945</v>
      </c>
      <c r="F602" t="s">
        <v>4946</v>
      </c>
      <c r="G602" t="s">
        <v>48</v>
      </c>
      <c r="H602" t="s">
        <v>4947</v>
      </c>
      <c r="I602" t="s">
        <v>2661</v>
      </c>
      <c r="J602" t="str">
        <f>IF(0 = IFERROR(VLOOKUP(DBL_FullList!I602, ContactsDbl!B:D, 2, FALSE), ""), "", IFERROR(VLOOKUP(DBL_FullList!I602, ContactsDbl!B:D, 2, FALSE), ""))</f>
        <v>dbladmin_intl@sil.org</v>
      </c>
      <c r="K602" t="str">
        <f>IF(0 = IFERROR(VLOOKUP(DBL_FullList!I602,ContactsDbl!B:D, 3, FALSE), ""), "", IFERROR(VLOOKUP(DBL_FullList!I602, ContactsDbl!B:D, 3, FALSE), ""))</f>
        <v>http://www.wycliffe.org</v>
      </c>
      <c r="L602">
        <f t="shared" si="19"/>
        <v>2</v>
      </c>
    </row>
    <row r="603" spans="1:12" x14ac:dyDescent="0.25">
      <c r="A603" t="s">
        <v>4948</v>
      </c>
      <c r="B603" t="str">
        <f>IF(ISERROR(VLOOKUP(F603,STEP!A:A, 1, FALSE)), "N", "Y")</f>
        <v>N</v>
      </c>
      <c r="C603" t="str">
        <f>IF(ISERROR(VLOOKUP(E603, BibleInEveryLanguageTexts!A:A, 1, FALSE)), "N", "Y")</f>
        <v>N</v>
      </c>
      <c r="D603" t="str">
        <f t="shared" si="18"/>
        <v>X</v>
      </c>
      <c r="E603" t="s">
        <v>1439</v>
      </c>
      <c r="F603" t="s">
        <v>4304</v>
      </c>
      <c r="G603" t="s">
        <v>4305</v>
      </c>
      <c r="H603" t="s">
        <v>4949</v>
      </c>
      <c r="I603" t="s">
        <v>1997</v>
      </c>
      <c r="J603" t="str">
        <f>IF(0 = IFERROR(VLOOKUP(DBL_FullList!I603, ContactsDbl!B:D, 2, FALSE), ""), "", IFERROR(VLOOKUP(DBL_FullList!I603, ContactsDbl!B:D, 2, FALSE), ""))</f>
        <v>Lee.Harris@biblica.com</v>
      </c>
      <c r="K603" t="str">
        <f>IF(0 = IFERROR(VLOOKUP(DBL_FullList!I603,ContactsDbl!B:D, 3, FALSE), ""), "", IFERROR(VLOOKUP(DBL_FullList!I603, ContactsDbl!B:D, 3, FALSE), ""))</f>
        <v>http://www.Biblica.com</v>
      </c>
      <c r="L603">
        <f t="shared" si="19"/>
        <v>2</v>
      </c>
    </row>
    <row r="604" spans="1:12" x14ac:dyDescent="0.25">
      <c r="A604" t="s">
        <v>4950</v>
      </c>
      <c r="B604" t="str">
        <f>IF(ISERROR(VLOOKUP(F604,STEP!A:A, 1, FALSE)), "N", "Y")</f>
        <v>N</v>
      </c>
      <c r="C604" t="str">
        <f>IF(ISERROR(VLOOKUP(E604, BibleInEveryLanguageTexts!A:A, 1, FALSE)), "N", "Y")</f>
        <v>N</v>
      </c>
      <c r="D604" t="str">
        <f t="shared" si="18"/>
        <v>X</v>
      </c>
      <c r="E604" t="s">
        <v>4951</v>
      </c>
      <c r="F604" t="s">
        <v>4952</v>
      </c>
      <c r="G604" t="s">
        <v>2942</v>
      </c>
      <c r="H604" t="s">
        <v>4953</v>
      </c>
      <c r="I604" t="s">
        <v>1975</v>
      </c>
      <c r="J604" t="str">
        <f>IF(0 = IFERROR(VLOOKUP(DBL_FullList!I604, ContactsDbl!B:D, 2, FALSE), ""), "", IFERROR(VLOOKUP(DBL_FullList!I604, ContactsDbl!B:D, 2, FALSE), ""))</f>
        <v/>
      </c>
      <c r="K604" t="str">
        <f>IF(0 = IFERROR(VLOOKUP(DBL_FullList!I604,ContactsDbl!B:D, 3, FALSE), ""), "", IFERROR(VLOOKUP(DBL_FullList!I604, ContactsDbl!B:D, 3, FALSE), ""))</f>
        <v>http://www.sba.org.ar/</v>
      </c>
      <c r="L604">
        <f t="shared" si="19"/>
        <v>1</v>
      </c>
    </row>
    <row r="605" spans="1:12" x14ac:dyDescent="0.25">
      <c r="A605" t="s">
        <v>4954</v>
      </c>
      <c r="B605" t="str">
        <f>IF(ISERROR(VLOOKUP(F605,STEP!A:A, 1, FALSE)), "N", "Y")</f>
        <v>N</v>
      </c>
      <c r="C605" t="str">
        <f>IF(ISERROR(VLOOKUP(E605, BibleInEveryLanguageTexts!A:A, 1, FALSE)), "N", "Y")</f>
        <v>N</v>
      </c>
      <c r="D605" t="str">
        <f t="shared" si="18"/>
        <v>X</v>
      </c>
      <c r="E605" t="s">
        <v>4955</v>
      </c>
      <c r="F605" t="s">
        <v>4956</v>
      </c>
      <c r="G605" t="s">
        <v>2833</v>
      </c>
      <c r="H605" t="s">
        <v>4957</v>
      </c>
      <c r="I605" t="s">
        <v>2647</v>
      </c>
      <c r="J605" t="str">
        <f>IF(0 = IFERROR(VLOOKUP(DBL_FullList!I605, ContactsDbl!B:D, 2, FALSE), ""), "", IFERROR(VLOOKUP(DBL_FullList!I605, ContactsDbl!B:D, 2, FALSE), ""))</f>
        <v>info@biblesociety-uganda.org</v>
      </c>
      <c r="K605" t="str">
        <f>IF(0 = IFERROR(VLOOKUP(DBL_FullList!I605,ContactsDbl!B:D, 3, FALSE), ""), "", IFERROR(VLOOKUP(DBL_FullList!I605, ContactsDbl!B:D, 3, FALSE), ""))</f>
        <v>http://www.biblesociety-uganda.org/</v>
      </c>
      <c r="L605">
        <f t="shared" si="19"/>
        <v>2</v>
      </c>
    </row>
    <row r="606" spans="1:12" x14ac:dyDescent="0.25">
      <c r="A606" t="s">
        <v>4958</v>
      </c>
      <c r="B606" t="str">
        <f>IF(ISERROR(VLOOKUP(F606,STEP!A:A, 1, FALSE)), "N", "Y")</f>
        <v>N</v>
      </c>
      <c r="C606" t="str">
        <f>IF(ISERROR(VLOOKUP(E606, BibleInEveryLanguageTexts!A:A, 1, FALSE)), "N", "Y")</f>
        <v>N</v>
      </c>
      <c r="D606" t="str">
        <f t="shared" si="18"/>
        <v>X</v>
      </c>
      <c r="E606" t="s">
        <v>4959</v>
      </c>
      <c r="F606" t="s">
        <v>4960</v>
      </c>
      <c r="G606" t="s">
        <v>4961</v>
      </c>
      <c r="H606" t="s">
        <v>4962</v>
      </c>
      <c r="I606" t="s">
        <v>2661</v>
      </c>
      <c r="J606" t="str">
        <f>IF(0 = IFERROR(VLOOKUP(DBL_FullList!I606, ContactsDbl!B:D, 2, FALSE), ""), "", IFERROR(VLOOKUP(DBL_FullList!I606, ContactsDbl!B:D, 2, FALSE), ""))</f>
        <v>dbladmin_intl@sil.org</v>
      </c>
      <c r="K606" t="str">
        <f>IF(0 = IFERROR(VLOOKUP(DBL_FullList!I606,ContactsDbl!B:D, 3, FALSE), ""), "", IFERROR(VLOOKUP(DBL_FullList!I606, ContactsDbl!B:D, 3, FALSE), ""))</f>
        <v>http://www.wycliffe.org</v>
      </c>
      <c r="L606">
        <f t="shared" si="19"/>
        <v>2</v>
      </c>
    </row>
    <row r="607" spans="1:12" x14ac:dyDescent="0.25">
      <c r="A607" t="s">
        <v>4963</v>
      </c>
      <c r="B607" t="str">
        <f>IF(ISERROR(VLOOKUP(F607,STEP!A:A, 1, FALSE)), "N", "Y")</f>
        <v>N</v>
      </c>
      <c r="C607" t="str">
        <f>IF(ISERROR(VLOOKUP(E607, BibleInEveryLanguageTexts!A:A, 1, FALSE)), "N", "Y")</f>
        <v>N</v>
      </c>
      <c r="D607" t="str">
        <f t="shared" si="18"/>
        <v>X</v>
      </c>
      <c r="E607" t="s">
        <v>4964</v>
      </c>
      <c r="F607" t="s">
        <v>4965</v>
      </c>
      <c r="G607" t="s">
        <v>3083</v>
      </c>
      <c r="H607" t="s">
        <v>3364</v>
      </c>
      <c r="I607" t="s">
        <v>2661</v>
      </c>
      <c r="J607" t="str">
        <f>IF(0 = IFERROR(VLOOKUP(DBL_FullList!I607, ContactsDbl!B:D, 2, FALSE), ""), "", IFERROR(VLOOKUP(DBL_FullList!I607, ContactsDbl!B:D, 2, FALSE), ""))</f>
        <v>dbladmin_intl@sil.org</v>
      </c>
      <c r="K607" t="str">
        <f>IF(0 = IFERROR(VLOOKUP(DBL_FullList!I607,ContactsDbl!B:D, 3, FALSE), ""), "", IFERROR(VLOOKUP(DBL_FullList!I607, ContactsDbl!B:D, 3, FALSE), ""))</f>
        <v>http://www.wycliffe.org</v>
      </c>
      <c r="L607">
        <f t="shared" si="19"/>
        <v>2</v>
      </c>
    </row>
    <row r="608" spans="1:12" x14ac:dyDescent="0.25">
      <c r="A608" t="s">
        <v>4966</v>
      </c>
      <c r="B608" t="str">
        <f>IF(ISERROR(VLOOKUP(F608,STEP!A:A, 1, FALSE)), "N", "Y")</f>
        <v>N</v>
      </c>
      <c r="C608" t="str">
        <f>IF(ISERROR(VLOOKUP(E608, BibleInEveryLanguageTexts!A:A, 1, FALSE)), "N", "Y")</f>
        <v>N</v>
      </c>
      <c r="D608" t="str">
        <f t="shared" si="18"/>
        <v>X</v>
      </c>
      <c r="E608" t="s">
        <v>4967</v>
      </c>
      <c r="F608" t="s">
        <v>4968</v>
      </c>
      <c r="G608" t="s">
        <v>3281</v>
      </c>
      <c r="H608" t="s">
        <v>2956</v>
      </c>
      <c r="I608" t="s">
        <v>2417</v>
      </c>
      <c r="J608" t="str">
        <f>IF(0 = IFERROR(VLOOKUP(DBL_FullList!I608, ContactsDbl!B:D, 2, FALSE), ""), "", IFERROR(VLOOKUP(DBL_FullList!I608, ContactsDbl!B:D, 2, FALSE), ""))</f>
        <v>mathewpunnoose@biblemalaysia.org</v>
      </c>
      <c r="K608" t="str">
        <f>IF(0 = IFERROR(VLOOKUP(DBL_FullList!I608,ContactsDbl!B:D, 3, FALSE), ""), "", IFERROR(VLOOKUP(DBL_FullList!I608, ContactsDbl!B:D, 3, FALSE), ""))</f>
        <v>http://www.bible.org.my/</v>
      </c>
      <c r="L608">
        <f t="shared" si="19"/>
        <v>2</v>
      </c>
    </row>
    <row r="609" spans="1:12" x14ac:dyDescent="0.25">
      <c r="A609" t="s">
        <v>4969</v>
      </c>
      <c r="B609" t="str">
        <f>IF(ISERROR(VLOOKUP(F609,STEP!A:A, 1, FALSE)), "N", "Y")</f>
        <v>N</v>
      </c>
      <c r="C609" t="str">
        <f>IF(ISERROR(VLOOKUP(E609, BibleInEveryLanguageTexts!A:A, 1, FALSE)), "N", "Y")</f>
        <v>N</v>
      </c>
      <c r="D609" t="str">
        <f t="shared" si="18"/>
        <v>X</v>
      </c>
      <c r="E609" t="s">
        <v>4970</v>
      </c>
      <c r="F609" t="s">
        <v>4971</v>
      </c>
      <c r="G609" t="s">
        <v>2880</v>
      </c>
      <c r="H609" t="s">
        <v>4972</v>
      </c>
      <c r="I609" t="s">
        <v>2661</v>
      </c>
      <c r="J609" t="str">
        <f>IF(0 = IFERROR(VLOOKUP(DBL_FullList!I609, ContactsDbl!B:D, 2, FALSE), ""), "", IFERROR(VLOOKUP(DBL_FullList!I609, ContactsDbl!B:D, 2, FALSE), ""))</f>
        <v>dbladmin_intl@sil.org</v>
      </c>
      <c r="K609" t="str">
        <f>IF(0 = IFERROR(VLOOKUP(DBL_FullList!I609,ContactsDbl!B:D, 3, FALSE), ""), "", IFERROR(VLOOKUP(DBL_FullList!I609, ContactsDbl!B:D, 3, FALSE), ""))</f>
        <v>http://www.wycliffe.org</v>
      </c>
      <c r="L609">
        <f t="shared" si="19"/>
        <v>2</v>
      </c>
    </row>
    <row r="610" spans="1:12" x14ac:dyDescent="0.25">
      <c r="A610" t="s">
        <v>4973</v>
      </c>
      <c r="B610" t="str">
        <f>IF(ISERROR(VLOOKUP(F610,STEP!A:A, 1, FALSE)), "N", "Y")</f>
        <v>N</v>
      </c>
      <c r="C610" t="str">
        <f>IF(ISERROR(VLOOKUP(E610, BibleInEveryLanguageTexts!A:A, 1, FALSE)), "N", "Y")</f>
        <v>Y</v>
      </c>
      <c r="D610" t="str">
        <f t="shared" si="18"/>
        <v/>
      </c>
      <c r="E610" t="s">
        <v>365</v>
      </c>
      <c r="F610" t="s">
        <v>364</v>
      </c>
      <c r="G610" t="s">
        <v>20</v>
      </c>
      <c r="H610" t="s">
        <v>4974</v>
      </c>
      <c r="I610" t="s">
        <v>2329</v>
      </c>
      <c r="J610" t="str">
        <f>IF(0 = IFERROR(VLOOKUP(DBL_FullList!I610, ContactsDbl!B:D, 2, FALSE), ""), "", IFERROR(VLOOKUP(DBL_FullList!I610, ContactsDbl!B:D, 2, FALSE), ""))</f>
        <v/>
      </c>
      <c r="K610" t="str">
        <f>IF(0 = IFERROR(VLOOKUP(DBL_FullList!I610,ContactsDbl!B:D, 3, FALSE), ""), "", IFERROR(VLOOKUP(DBL_FullList!I610, ContactsDbl!B:D, 3, FALSE), ""))</f>
        <v>http://www.bsind.org/</v>
      </c>
      <c r="L610">
        <f t="shared" si="19"/>
        <v>1</v>
      </c>
    </row>
    <row r="611" spans="1:12" x14ac:dyDescent="0.25">
      <c r="A611" t="s">
        <v>4975</v>
      </c>
      <c r="B611" t="str">
        <f>IF(ISERROR(VLOOKUP(F611,STEP!A:A, 1, FALSE)), "N", "Y")</f>
        <v>N</v>
      </c>
      <c r="C611" t="str">
        <f>IF(ISERROR(VLOOKUP(E611, BibleInEveryLanguageTexts!A:A, 1, FALSE)), "N", "Y")</f>
        <v>N</v>
      </c>
      <c r="D611" t="str">
        <f t="shared" si="18"/>
        <v>X</v>
      </c>
      <c r="E611" t="s">
        <v>4976</v>
      </c>
      <c r="F611" t="s">
        <v>163</v>
      </c>
      <c r="G611" t="s">
        <v>20</v>
      </c>
      <c r="H611" t="s">
        <v>4977</v>
      </c>
      <c r="I611" t="s">
        <v>2329</v>
      </c>
      <c r="J611" t="str">
        <f>IF(0 = IFERROR(VLOOKUP(DBL_FullList!I611, ContactsDbl!B:D, 2, FALSE), ""), "", IFERROR(VLOOKUP(DBL_FullList!I611, ContactsDbl!B:D, 2, FALSE), ""))</f>
        <v/>
      </c>
      <c r="K611" t="str">
        <f>IF(0 = IFERROR(VLOOKUP(DBL_FullList!I611,ContactsDbl!B:D, 3, FALSE), ""), "", IFERROR(VLOOKUP(DBL_FullList!I611, ContactsDbl!B:D, 3, FALSE), ""))</f>
        <v>http://www.bsind.org/</v>
      </c>
      <c r="L611">
        <f t="shared" si="19"/>
        <v>1</v>
      </c>
    </row>
    <row r="612" spans="1:12" x14ac:dyDescent="0.25">
      <c r="A612" t="s">
        <v>4978</v>
      </c>
      <c r="B612" t="str">
        <f>IF(ISERROR(VLOOKUP(F612,STEP!A:A, 1, FALSE)), "N", "Y")</f>
        <v>N</v>
      </c>
      <c r="C612" t="str">
        <f>IF(ISERROR(VLOOKUP(E612, BibleInEveryLanguageTexts!A:A, 1, FALSE)), "N", "Y")</f>
        <v>N</v>
      </c>
      <c r="D612" t="str">
        <f t="shared" si="18"/>
        <v>X</v>
      </c>
      <c r="E612" t="s">
        <v>4979</v>
      </c>
      <c r="F612" t="s">
        <v>4980</v>
      </c>
      <c r="G612" t="s">
        <v>333</v>
      </c>
      <c r="H612" t="s">
        <v>4981</v>
      </c>
      <c r="I612" t="s">
        <v>2661</v>
      </c>
      <c r="J612" t="str">
        <f>IF(0 = IFERROR(VLOOKUP(DBL_FullList!I612, ContactsDbl!B:D, 2, FALSE), ""), "", IFERROR(VLOOKUP(DBL_FullList!I612, ContactsDbl!B:D, 2, FALSE), ""))</f>
        <v>dbladmin_intl@sil.org</v>
      </c>
      <c r="K612" t="str">
        <f>IF(0 = IFERROR(VLOOKUP(DBL_FullList!I612,ContactsDbl!B:D, 3, FALSE), ""), "", IFERROR(VLOOKUP(DBL_FullList!I612, ContactsDbl!B:D, 3, FALSE), ""))</f>
        <v>http://www.wycliffe.org</v>
      </c>
      <c r="L612">
        <f t="shared" si="19"/>
        <v>2</v>
      </c>
    </row>
    <row r="613" spans="1:12" x14ac:dyDescent="0.25">
      <c r="A613" t="s">
        <v>4982</v>
      </c>
      <c r="B613" t="str">
        <f>IF(ISERROR(VLOOKUP(F613,STEP!A:A, 1, FALSE)), "N", "Y")</f>
        <v>N</v>
      </c>
      <c r="C613" t="str">
        <f>IF(ISERROR(VLOOKUP(E613, BibleInEveryLanguageTexts!A:A, 1, FALSE)), "N", "Y")</f>
        <v>N</v>
      </c>
      <c r="D613" t="str">
        <f t="shared" si="18"/>
        <v>X</v>
      </c>
      <c r="E613" t="s">
        <v>334</v>
      </c>
      <c r="F613" t="s">
        <v>332</v>
      </c>
      <c r="G613" t="s">
        <v>333</v>
      </c>
      <c r="H613" t="s">
        <v>4983</v>
      </c>
      <c r="I613" t="s">
        <v>2194</v>
      </c>
      <c r="J613" t="str">
        <f>IF(0 = IFERROR(VLOOKUP(DBL_FullList!I613, ContactsDbl!B:D, 2, FALSE), ""), "", IFERROR(VLOOKUP(DBL_FullList!I613, ContactsDbl!B:D, 2, FALSE), ""))</f>
        <v>lilian@mundocristao.com.br</v>
      </c>
      <c r="K613" t="str">
        <f>IF(0 = IFERROR(VLOOKUP(DBL_FullList!I613,ContactsDbl!B:D, 3, FALSE), ""), "", IFERROR(VLOOKUP(DBL_FullList!I613, ContactsDbl!B:D, 3, FALSE), ""))</f>
        <v>http://www.mundocristao.com.br/</v>
      </c>
      <c r="L613">
        <f t="shared" si="19"/>
        <v>2</v>
      </c>
    </row>
    <row r="614" spans="1:12" x14ac:dyDescent="0.25">
      <c r="A614" t="s">
        <v>4984</v>
      </c>
      <c r="B614" t="str">
        <f>IF(ISERROR(VLOOKUP(F614,STEP!A:A, 1, FALSE)), "N", "Y")</f>
        <v>N</v>
      </c>
      <c r="C614" t="str">
        <f>IF(ISERROR(VLOOKUP(E614, BibleInEveryLanguageTexts!A:A, 1, FALSE)), "N", "Y")</f>
        <v>N</v>
      </c>
      <c r="D614" t="str">
        <f t="shared" si="18"/>
        <v>X</v>
      </c>
      <c r="E614" t="s">
        <v>2831</v>
      </c>
      <c r="F614" t="s">
        <v>2832</v>
      </c>
      <c r="G614" t="s">
        <v>2833</v>
      </c>
      <c r="H614" t="s">
        <v>4985</v>
      </c>
      <c r="I614" t="s">
        <v>2647</v>
      </c>
      <c r="J614" t="str">
        <f>IF(0 = IFERROR(VLOOKUP(DBL_FullList!I614, ContactsDbl!B:D, 2, FALSE), ""), "", IFERROR(VLOOKUP(DBL_FullList!I614, ContactsDbl!B:D, 2, FALSE), ""))</f>
        <v>info@biblesociety-uganda.org</v>
      </c>
      <c r="K614" t="str">
        <f>IF(0 = IFERROR(VLOOKUP(DBL_FullList!I614,ContactsDbl!B:D, 3, FALSE), ""), "", IFERROR(VLOOKUP(DBL_FullList!I614, ContactsDbl!B:D, 3, FALSE), ""))</f>
        <v>http://www.biblesociety-uganda.org/</v>
      </c>
      <c r="L614">
        <f t="shared" si="19"/>
        <v>2</v>
      </c>
    </row>
    <row r="615" spans="1:12" x14ac:dyDescent="0.25">
      <c r="A615" t="s">
        <v>4986</v>
      </c>
      <c r="B615" t="str">
        <f>IF(ISERROR(VLOOKUP(F615,STEP!A:A, 1, FALSE)), "N", "Y")</f>
        <v>N</v>
      </c>
      <c r="C615" t="str">
        <f>IF(ISERROR(VLOOKUP(E615, BibleInEveryLanguageTexts!A:A, 1, FALSE)), "N", "Y")</f>
        <v>N</v>
      </c>
      <c r="D615" t="str">
        <f t="shared" si="18"/>
        <v>X</v>
      </c>
      <c r="E615" t="s">
        <v>4987</v>
      </c>
      <c r="F615" t="s">
        <v>4988</v>
      </c>
      <c r="G615" t="s">
        <v>2815</v>
      </c>
      <c r="H615" t="s">
        <v>4989</v>
      </c>
      <c r="I615" t="s">
        <v>2106</v>
      </c>
      <c r="J615" t="str">
        <f>IF(0 = IFERROR(VLOOKUP(DBL_FullList!I615, ContactsDbl!B:D, 2, FALSE), ""), "", IFERROR(VLOOKUP(DBL_FullList!I615, ContactsDbl!B:D, 2, FALSE), ""))</f>
        <v>info@biblesociety-tanzania.org</v>
      </c>
      <c r="K615" t="str">
        <f>IF(0 = IFERROR(VLOOKUP(DBL_FullList!I615,ContactsDbl!B:D, 3, FALSE), ""), "", IFERROR(VLOOKUP(DBL_FullList!I615, ContactsDbl!B:D, 3, FALSE), ""))</f>
        <v>http://biblesociety-tanzania.org/</v>
      </c>
      <c r="L615">
        <f t="shared" si="19"/>
        <v>2</v>
      </c>
    </row>
    <row r="616" spans="1:12" x14ac:dyDescent="0.25">
      <c r="A616" t="s">
        <v>4990</v>
      </c>
      <c r="B616" t="str">
        <f>IF(ISERROR(VLOOKUP(F616,STEP!A:A, 1, FALSE)), "N", "Y")</f>
        <v>Y</v>
      </c>
      <c r="C616" t="str">
        <f>IF(ISERROR(VLOOKUP(E616, BibleInEveryLanguageTexts!A:A, 1, FALSE)), "N", "Y")</f>
        <v>N</v>
      </c>
      <c r="D616" t="str">
        <f t="shared" si="18"/>
        <v/>
      </c>
      <c r="E616" t="s">
        <v>4991</v>
      </c>
      <c r="F616" t="s">
        <v>4992</v>
      </c>
      <c r="G616" t="s">
        <v>48</v>
      </c>
      <c r="H616" t="s">
        <v>4993</v>
      </c>
      <c r="I616" t="s">
        <v>2661</v>
      </c>
      <c r="J616" t="str">
        <f>IF(0 = IFERROR(VLOOKUP(DBL_FullList!I616, ContactsDbl!B:D, 2, FALSE), ""), "", IFERROR(VLOOKUP(DBL_FullList!I616, ContactsDbl!B:D, 2, FALSE), ""))</f>
        <v>dbladmin_intl@sil.org</v>
      </c>
      <c r="K616" t="str">
        <f>IF(0 = IFERROR(VLOOKUP(DBL_FullList!I616,ContactsDbl!B:D, 3, FALSE), ""), "", IFERROR(VLOOKUP(DBL_FullList!I616, ContactsDbl!B:D, 3, FALSE), ""))</f>
        <v>http://www.wycliffe.org</v>
      </c>
      <c r="L616">
        <f t="shared" si="19"/>
        <v>2</v>
      </c>
    </row>
    <row r="617" spans="1:12" x14ac:dyDescent="0.25">
      <c r="A617" t="s">
        <v>4994</v>
      </c>
      <c r="B617" t="str">
        <f>IF(ISERROR(VLOOKUP(F617,STEP!A:A, 1, FALSE)), "N", "Y")</f>
        <v>N</v>
      </c>
      <c r="C617" t="str">
        <f>IF(ISERROR(VLOOKUP(E617, BibleInEveryLanguageTexts!A:A, 1, FALSE)), "N", "Y")</f>
        <v>N</v>
      </c>
      <c r="D617" t="str">
        <f t="shared" si="18"/>
        <v>X</v>
      </c>
      <c r="E617" t="s">
        <v>4995</v>
      </c>
      <c r="F617" t="s">
        <v>4996</v>
      </c>
      <c r="G617" t="s">
        <v>2997</v>
      </c>
      <c r="H617" t="s">
        <v>4997</v>
      </c>
      <c r="I617" t="s">
        <v>2661</v>
      </c>
      <c r="J617" t="str">
        <f>IF(0 = IFERROR(VLOOKUP(DBL_FullList!I617, ContactsDbl!B:D, 2, FALSE), ""), "", IFERROR(VLOOKUP(DBL_FullList!I617, ContactsDbl!B:D, 2, FALSE), ""))</f>
        <v>dbladmin_intl@sil.org</v>
      </c>
      <c r="K617" t="str">
        <f>IF(0 = IFERROR(VLOOKUP(DBL_FullList!I617,ContactsDbl!B:D, 3, FALSE), ""), "", IFERROR(VLOOKUP(DBL_FullList!I617, ContactsDbl!B:D, 3, FALSE), ""))</f>
        <v>http://www.wycliffe.org</v>
      </c>
      <c r="L617">
        <f t="shared" si="19"/>
        <v>2</v>
      </c>
    </row>
    <row r="618" spans="1:12" x14ac:dyDescent="0.25">
      <c r="A618" t="s">
        <v>4998</v>
      </c>
      <c r="B618" t="str">
        <f>IF(ISERROR(VLOOKUP(F618,STEP!A:A, 1, FALSE)), "N", "Y")</f>
        <v>N</v>
      </c>
      <c r="C618" t="str">
        <f>IF(ISERROR(VLOOKUP(E618, BibleInEveryLanguageTexts!A:A, 1, FALSE)), "N", "Y")</f>
        <v>N</v>
      </c>
      <c r="D618" t="str">
        <f t="shared" si="18"/>
        <v>X</v>
      </c>
      <c r="E618" t="s">
        <v>4999</v>
      </c>
      <c r="F618" t="s">
        <v>5000</v>
      </c>
      <c r="G618" t="s">
        <v>2733</v>
      </c>
      <c r="H618" t="s">
        <v>5001</v>
      </c>
      <c r="I618" t="s">
        <v>2661</v>
      </c>
      <c r="J618" t="str">
        <f>IF(0 = IFERROR(VLOOKUP(DBL_FullList!I618, ContactsDbl!B:D, 2, FALSE), ""), "", IFERROR(VLOOKUP(DBL_FullList!I618, ContactsDbl!B:D, 2, FALSE), ""))</f>
        <v>dbladmin_intl@sil.org</v>
      </c>
      <c r="K618" t="str">
        <f>IF(0 = IFERROR(VLOOKUP(DBL_FullList!I618,ContactsDbl!B:D, 3, FALSE), ""), "", IFERROR(VLOOKUP(DBL_FullList!I618, ContactsDbl!B:D, 3, FALSE), ""))</f>
        <v>http://www.wycliffe.org</v>
      </c>
      <c r="L618">
        <f t="shared" si="19"/>
        <v>2</v>
      </c>
    </row>
    <row r="619" spans="1:12" x14ac:dyDescent="0.25">
      <c r="A619" t="s">
        <v>5002</v>
      </c>
      <c r="B619" t="str">
        <f>IF(ISERROR(VLOOKUP(F619,STEP!A:A, 1, FALSE)), "N", "Y")</f>
        <v>N</v>
      </c>
      <c r="C619" t="str">
        <f>IF(ISERROR(VLOOKUP(E619, BibleInEveryLanguageTexts!A:A, 1, FALSE)), "N", "Y")</f>
        <v>N</v>
      </c>
      <c r="D619" t="str">
        <f t="shared" si="18"/>
        <v>X</v>
      </c>
      <c r="E619" t="s">
        <v>5003</v>
      </c>
      <c r="F619" t="s">
        <v>5004</v>
      </c>
      <c r="G619" t="s">
        <v>3784</v>
      </c>
      <c r="H619" t="s">
        <v>5005</v>
      </c>
      <c r="I619" t="s">
        <v>2623</v>
      </c>
      <c r="J619" t="str">
        <f>IF(0 = IFERROR(VLOOKUP(DBL_FullList!I619, ContactsDbl!B:D, 2, FALSE), ""), "", IFERROR(VLOOKUP(DBL_FullList!I619, ContactsDbl!B:D, 2, FALSE), ""))</f>
        <v>seree@thaibible.or.th</v>
      </c>
      <c r="K619" t="str">
        <f>IF(0 = IFERROR(VLOOKUP(DBL_FullList!I619,ContactsDbl!B:D, 3, FALSE), ""), "", IFERROR(VLOOKUP(DBL_FullList!I619, ContactsDbl!B:D, 3, FALSE), ""))</f>
        <v>http://www.thaibible.or.th/</v>
      </c>
      <c r="L619">
        <f t="shared" si="19"/>
        <v>2</v>
      </c>
    </row>
    <row r="620" spans="1:12" x14ac:dyDescent="0.25">
      <c r="A620" t="s">
        <v>5006</v>
      </c>
      <c r="B620" t="str">
        <f>IF(ISERROR(VLOOKUP(F620,STEP!A:A, 1, FALSE)), "N", "Y")</f>
        <v>N</v>
      </c>
      <c r="C620" t="str">
        <f>IF(ISERROR(VLOOKUP(E620, BibleInEveryLanguageTexts!A:A, 1, FALSE)), "N", "Y")</f>
        <v>N</v>
      </c>
      <c r="D620" t="str">
        <f t="shared" si="18"/>
        <v>X</v>
      </c>
      <c r="E620" t="s">
        <v>5007</v>
      </c>
      <c r="F620" t="s">
        <v>5008</v>
      </c>
      <c r="G620" t="s">
        <v>3074</v>
      </c>
      <c r="H620" t="s">
        <v>5009</v>
      </c>
      <c r="I620" t="s">
        <v>2673</v>
      </c>
      <c r="J620" t="str">
        <f>IF(0 = IFERROR(VLOOKUP(DBL_FullList!I620, ContactsDbl!B:D, 2, FALSE), ""), "", IFERROR(VLOOKUP(DBL_FullList!I620, ContactsDbl!B:D, 2, FALSE), ""))</f>
        <v>gnyirenda@biblesociety-zambia.org</v>
      </c>
      <c r="K620" t="str">
        <f>IF(0 = IFERROR(VLOOKUP(DBL_FullList!I620,ContactsDbl!B:D, 3, FALSE), ""), "", IFERROR(VLOOKUP(DBL_FullList!I620, ContactsDbl!B:D, 3, FALSE), ""))</f>
        <v>www.biblesociety-zambia.org</v>
      </c>
      <c r="L620">
        <f t="shared" si="19"/>
        <v>2</v>
      </c>
    </row>
    <row r="621" spans="1:12" x14ac:dyDescent="0.25">
      <c r="A621" t="s">
        <v>5010</v>
      </c>
      <c r="B621" t="str">
        <f>IF(ISERROR(VLOOKUP(F621,STEP!A:A, 1, FALSE)), "N", "Y")</f>
        <v>N</v>
      </c>
      <c r="C621" t="str">
        <f>IF(ISERROR(VLOOKUP(E621, BibleInEveryLanguageTexts!A:A, 1, FALSE)), "N", "Y")</f>
        <v>N</v>
      </c>
      <c r="D621" t="str">
        <f t="shared" si="18"/>
        <v>X</v>
      </c>
      <c r="E621" t="s">
        <v>5011</v>
      </c>
      <c r="F621" t="s">
        <v>5012</v>
      </c>
      <c r="G621" t="s">
        <v>20</v>
      </c>
      <c r="H621" t="s">
        <v>5013</v>
      </c>
      <c r="I621" t="s">
        <v>2329</v>
      </c>
      <c r="J621" t="str">
        <f>IF(0 = IFERROR(VLOOKUP(DBL_FullList!I621, ContactsDbl!B:D, 2, FALSE), ""), "", IFERROR(VLOOKUP(DBL_FullList!I621, ContactsDbl!B:D, 2, FALSE), ""))</f>
        <v/>
      </c>
      <c r="K621" t="str">
        <f>IF(0 = IFERROR(VLOOKUP(DBL_FullList!I621,ContactsDbl!B:D, 3, FALSE), ""), "", IFERROR(VLOOKUP(DBL_FullList!I621, ContactsDbl!B:D, 3, FALSE), ""))</f>
        <v>http://www.bsind.org/</v>
      </c>
      <c r="L621">
        <f t="shared" si="19"/>
        <v>1</v>
      </c>
    </row>
    <row r="622" spans="1:12" x14ac:dyDescent="0.25">
      <c r="A622" t="s">
        <v>5014</v>
      </c>
      <c r="B622" t="str">
        <f>IF(ISERROR(VLOOKUP(F622,STEP!A:A, 1, FALSE)), "N", "Y")</f>
        <v>N</v>
      </c>
      <c r="C622" t="str">
        <f>IF(ISERROR(VLOOKUP(E622, BibleInEveryLanguageTexts!A:A, 1, FALSE)), "N", "Y")</f>
        <v>N</v>
      </c>
      <c r="D622" t="str">
        <f t="shared" si="18"/>
        <v>X</v>
      </c>
      <c r="E622" t="s">
        <v>5015</v>
      </c>
      <c r="F622" t="s">
        <v>5016</v>
      </c>
      <c r="G622" t="s">
        <v>2942</v>
      </c>
      <c r="H622" t="s">
        <v>5017</v>
      </c>
      <c r="I622" t="s">
        <v>1975</v>
      </c>
      <c r="J622" t="str">
        <f>IF(0 = IFERROR(VLOOKUP(DBL_FullList!I622, ContactsDbl!B:D, 2, FALSE), ""), "", IFERROR(VLOOKUP(DBL_FullList!I622, ContactsDbl!B:D, 2, FALSE), ""))</f>
        <v/>
      </c>
      <c r="K622" t="str">
        <f>IF(0 = IFERROR(VLOOKUP(DBL_FullList!I622,ContactsDbl!B:D, 3, FALSE), ""), "", IFERROR(VLOOKUP(DBL_FullList!I622, ContactsDbl!B:D, 3, FALSE), ""))</f>
        <v>http://www.sba.org.ar/</v>
      </c>
      <c r="L622">
        <f t="shared" si="19"/>
        <v>1</v>
      </c>
    </row>
    <row r="623" spans="1:12" x14ac:dyDescent="0.25">
      <c r="A623" t="s">
        <v>5018</v>
      </c>
      <c r="B623" t="str">
        <f>IF(ISERROR(VLOOKUP(F623,STEP!A:A, 1, FALSE)), "N", "Y")</f>
        <v>N</v>
      </c>
      <c r="C623" t="str">
        <f>IF(ISERROR(VLOOKUP(E623, BibleInEveryLanguageTexts!A:A, 1, FALSE)), "N", "Y")</f>
        <v>Y</v>
      </c>
      <c r="D623" t="str">
        <f t="shared" si="18"/>
        <v/>
      </c>
      <c r="E623" t="s">
        <v>12</v>
      </c>
      <c r="F623" t="s">
        <v>10</v>
      </c>
      <c r="G623" t="s">
        <v>27</v>
      </c>
      <c r="H623" t="s">
        <v>5019</v>
      </c>
      <c r="I623" t="s">
        <v>3104</v>
      </c>
      <c r="J623" t="str">
        <f>IF(0 = IFERROR(VLOOKUP(DBL_FullList!I623, ContactsDbl!B:D, 2, FALSE), ""), "", IFERROR(VLOOKUP(DBL_FullList!I623, ContactsDbl!B:D, 2, FALSE), ""))</f>
        <v/>
      </c>
      <c r="K623" t="str">
        <f>IF(0 = IFERROR(VLOOKUP(DBL_FullList!I623,ContactsDbl!B:D, 3, FALSE), ""), "", IFERROR(VLOOKUP(DBL_FullList!I623, ContactsDbl!B:D, 3, FALSE), ""))</f>
        <v/>
      </c>
      <c r="L623">
        <f t="shared" si="19"/>
        <v>0</v>
      </c>
    </row>
    <row r="624" spans="1:12" x14ac:dyDescent="0.25">
      <c r="A624" t="s">
        <v>5020</v>
      </c>
      <c r="B624" t="str">
        <f>IF(ISERROR(VLOOKUP(F624,STEP!A:A, 1, FALSE)), "N", "Y")</f>
        <v>N</v>
      </c>
      <c r="C624" t="str">
        <f>IF(ISERROR(VLOOKUP(E624, BibleInEveryLanguageTexts!A:A, 1, FALSE)), "N", "Y")</f>
        <v>N</v>
      </c>
      <c r="D624" t="str">
        <f t="shared" si="18"/>
        <v>X</v>
      </c>
      <c r="E624" t="s">
        <v>129</v>
      </c>
      <c r="F624" t="s">
        <v>128</v>
      </c>
      <c r="G624" t="s">
        <v>5021</v>
      </c>
      <c r="H624" t="s">
        <v>5022</v>
      </c>
      <c r="I624" t="s">
        <v>2267</v>
      </c>
      <c r="J624" t="str">
        <f>IF(0 = IFERROR(VLOOKUP(DBL_FullList!I624, ContactsDbl!B:D, 2, FALSE), ""), "", IFERROR(VLOOKUP(DBL_FullList!I624, ContactsDbl!B:D, 2, FALSE), ""))</f>
        <v>alliancegn@yahoo.com</v>
      </c>
      <c r="K624" t="str">
        <f>IF(0 = IFERROR(VLOOKUP(DBL_FullList!I624,ContactsDbl!B:D, 3, FALSE), ""), "", IFERROR(VLOOKUP(DBL_FullList!I624, ContactsDbl!B:D, 3, FALSE), ""))</f>
        <v/>
      </c>
      <c r="L624">
        <f t="shared" si="19"/>
        <v>2</v>
      </c>
    </row>
    <row r="625" spans="1:12" x14ac:dyDescent="0.25">
      <c r="A625" t="s">
        <v>5023</v>
      </c>
      <c r="B625" t="str">
        <f>IF(ISERROR(VLOOKUP(F625,STEP!A:A, 1, FALSE)), "N", "Y")</f>
        <v>N</v>
      </c>
      <c r="C625" t="str">
        <f>IF(ISERROR(VLOOKUP(E625, BibleInEveryLanguageTexts!A:A, 1, FALSE)), "N", "Y")</f>
        <v>N</v>
      </c>
      <c r="D625" t="str">
        <f t="shared" si="18"/>
        <v>X</v>
      </c>
      <c r="E625" t="s">
        <v>5024</v>
      </c>
      <c r="F625" t="s">
        <v>5025</v>
      </c>
      <c r="G625" t="s">
        <v>20</v>
      </c>
      <c r="H625" t="s">
        <v>5026</v>
      </c>
      <c r="I625" t="s">
        <v>2329</v>
      </c>
      <c r="J625" t="str">
        <f>IF(0 = IFERROR(VLOOKUP(DBL_FullList!I625, ContactsDbl!B:D, 2, FALSE), ""), "", IFERROR(VLOOKUP(DBL_FullList!I625, ContactsDbl!B:D, 2, FALSE), ""))</f>
        <v/>
      </c>
      <c r="K625" t="str">
        <f>IF(0 = IFERROR(VLOOKUP(DBL_FullList!I625,ContactsDbl!B:D, 3, FALSE), ""), "", IFERROR(VLOOKUP(DBL_FullList!I625, ContactsDbl!B:D, 3, FALSE), ""))</f>
        <v>http://www.bsind.org/</v>
      </c>
      <c r="L625">
        <f t="shared" si="19"/>
        <v>1</v>
      </c>
    </row>
    <row r="626" spans="1:12" x14ac:dyDescent="0.25">
      <c r="A626" t="s">
        <v>5027</v>
      </c>
      <c r="B626" t="str">
        <f>IF(ISERROR(VLOOKUP(F626,STEP!A:A, 1, FALSE)), "N", "Y")</f>
        <v>N</v>
      </c>
      <c r="C626" t="str">
        <f>IF(ISERROR(VLOOKUP(E626, BibleInEveryLanguageTexts!A:A, 1, FALSE)), "N", "Y")</f>
        <v>N</v>
      </c>
      <c r="D626" t="str">
        <f t="shared" si="18"/>
        <v>X</v>
      </c>
      <c r="E626" t="s">
        <v>4524</v>
      </c>
      <c r="F626" t="s">
        <v>4525</v>
      </c>
      <c r="G626" t="s">
        <v>2824</v>
      </c>
      <c r="H626" t="s">
        <v>5028</v>
      </c>
      <c r="I626" t="s">
        <v>2493</v>
      </c>
      <c r="J626" t="str">
        <f>IF(0 = IFERROR(VLOOKUP(DBL_FullList!I626, ContactsDbl!B:D, 2, FALSE), ""), "", IFERROR(VLOOKUP(DBL_FullList!I626, ContactsDbl!B:D, 2, FALSE), ""))</f>
        <v/>
      </c>
      <c r="K626" t="str">
        <f>IF(0 = IFERROR(VLOOKUP(DBL_FullList!I626,ContactsDbl!B:D, 3, FALSE), ""), "", IFERROR(VLOOKUP(DBL_FullList!I626, ContactsDbl!B:D, 3, FALSE), ""))</f>
        <v>http://sbp.org.py</v>
      </c>
      <c r="L626">
        <f t="shared" si="19"/>
        <v>1</v>
      </c>
    </row>
    <row r="627" spans="1:12" x14ac:dyDescent="0.25">
      <c r="A627" t="s">
        <v>5029</v>
      </c>
      <c r="B627" t="str">
        <f>IF(ISERROR(VLOOKUP(F627,STEP!A:A, 1, FALSE)), "N", "Y")</f>
        <v>N</v>
      </c>
      <c r="C627" t="str">
        <f>IF(ISERROR(VLOOKUP(E627, BibleInEveryLanguageTexts!A:A, 1, FALSE)), "N", "Y")</f>
        <v>N</v>
      </c>
      <c r="D627" t="str">
        <f t="shared" si="18"/>
        <v>X</v>
      </c>
      <c r="E627" t="s">
        <v>5030</v>
      </c>
      <c r="F627" t="s">
        <v>5031</v>
      </c>
      <c r="G627" t="s">
        <v>2858</v>
      </c>
      <c r="H627" t="s">
        <v>5032</v>
      </c>
      <c r="I627" t="s">
        <v>2661</v>
      </c>
      <c r="J627" t="str">
        <f>IF(0 = IFERROR(VLOOKUP(DBL_FullList!I627, ContactsDbl!B:D, 2, FALSE), ""), "", IFERROR(VLOOKUP(DBL_FullList!I627, ContactsDbl!B:D, 2, FALSE), ""))</f>
        <v>dbladmin_intl@sil.org</v>
      </c>
      <c r="K627" t="str">
        <f>IF(0 = IFERROR(VLOOKUP(DBL_FullList!I627,ContactsDbl!B:D, 3, FALSE), ""), "", IFERROR(VLOOKUP(DBL_FullList!I627, ContactsDbl!B:D, 3, FALSE), ""))</f>
        <v>http://www.wycliffe.org</v>
      </c>
      <c r="L627">
        <f t="shared" si="19"/>
        <v>2</v>
      </c>
    </row>
    <row r="628" spans="1:12" x14ac:dyDescent="0.25">
      <c r="A628" t="s">
        <v>5033</v>
      </c>
      <c r="B628" t="str">
        <f>IF(ISERROR(VLOOKUP(F628,STEP!A:A, 1, FALSE)), "N", "Y")</f>
        <v>N</v>
      </c>
      <c r="C628" t="str">
        <f>IF(ISERROR(VLOOKUP(E628, BibleInEveryLanguageTexts!A:A, 1, FALSE)), "N", "Y")</f>
        <v>N</v>
      </c>
      <c r="D628" t="str">
        <f t="shared" si="18"/>
        <v>X</v>
      </c>
      <c r="E628" t="s">
        <v>4524</v>
      </c>
      <c r="F628" t="s">
        <v>4525</v>
      </c>
      <c r="G628" t="s">
        <v>2824</v>
      </c>
      <c r="H628" t="s">
        <v>5034</v>
      </c>
      <c r="I628" t="s">
        <v>2493</v>
      </c>
      <c r="J628" t="str">
        <f>IF(0 = IFERROR(VLOOKUP(DBL_FullList!I628, ContactsDbl!B:D, 2, FALSE), ""), "", IFERROR(VLOOKUP(DBL_FullList!I628, ContactsDbl!B:D, 2, FALSE), ""))</f>
        <v/>
      </c>
      <c r="K628" t="str">
        <f>IF(0 = IFERROR(VLOOKUP(DBL_FullList!I628,ContactsDbl!B:D, 3, FALSE), ""), "", IFERROR(VLOOKUP(DBL_FullList!I628, ContactsDbl!B:D, 3, FALSE), ""))</f>
        <v>http://sbp.org.py</v>
      </c>
      <c r="L628">
        <f t="shared" si="19"/>
        <v>1</v>
      </c>
    </row>
    <row r="629" spans="1:12" x14ac:dyDescent="0.25">
      <c r="A629" t="s">
        <v>5035</v>
      </c>
      <c r="B629" t="str">
        <f>IF(ISERROR(VLOOKUP(F629,STEP!A:A, 1, FALSE)), "N", "Y")</f>
        <v>N</v>
      </c>
      <c r="C629" t="str">
        <f>IF(ISERROR(VLOOKUP(E629, BibleInEveryLanguageTexts!A:A, 1, FALSE)), "N", "Y")</f>
        <v>N</v>
      </c>
      <c r="D629" t="str">
        <f t="shared" si="18"/>
        <v>X</v>
      </c>
      <c r="E629" t="s">
        <v>5036</v>
      </c>
      <c r="F629" t="s">
        <v>5037</v>
      </c>
      <c r="G629" t="s">
        <v>2723</v>
      </c>
      <c r="H629" t="s">
        <v>5038</v>
      </c>
      <c r="I629" t="s">
        <v>2661</v>
      </c>
      <c r="J629" t="str">
        <f>IF(0 = IFERROR(VLOOKUP(DBL_FullList!I629, ContactsDbl!B:D, 2, FALSE), ""), "", IFERROR(VLOOKUP(DBL_FullList!I629, ContactsDbl!B:D, 2, FALSE), ""))</f>
        <v>dbladmin_intl@sil.org</v>
      </c>
      <c r="K629" t="str">
        <f>IF(0 = IFERROR(VLOOKUP(DBL_FullList!I629,ContactsDbl!B:D, 3, FALSE), ""), "", IFERROR(VLOOKUP(DBL_FullList!I629, ContactsDbl!B:D, 3, FALSE), ""))</f>
        <v>http://www.wycliffe.org</v>
      </c>
      <c r="L629">
        <f t="shared" si="19"/>
        <v>2</v>
      </c>
    </row>
    <row r="630" spans="1:12" x14ac:dyDescent="0.25">
      <c r="A630" t="s">
        <v>5039</v>
      </c>
      <c r="B630" t="str">
        <f>IF(ISERROR(VLOOKUP(F630,STEP!A:A, 1, FALSE)), "N", "Y")</f>
        <v>N</v>
      </c>
      <c r="C630" t="str">
        <f>IF(ISERROR(VLOOKUP(E630, BibleInEveryLanguageTexts!A:A, 1, FALSE)), "N", "Y")</f>
        <v>N</v>
      </c>
      <c r="D630" t="str">
        <f t="shared" si="18"/>
        <v>X</v>
      </c>
      <c r="E630" t="s">
        <v>5040</v>
      </c>
      <c r="F630" t="s">
        <v>5041</v>
      </c>
      <c r="G630" t="s">
        <v>20</v>
      </c>
      <c r="H630" t="s">
        <v>5042</v>
      </c>
      <c r="I630" t="s">
        <v>2329</v>
      </c>
      <c r="J630" t="str">
        <f>IF(0 = IFERROR(VLOOKUP(DBL_FullList!I630, ContactsDbl!B:D, 2, FALSE), ""), "", IFERROR(VLOOKUP(DBL_FullList!I630, ContactsDbl!B:D, 2, FALSE), ""))</f>
        <v/>
      </c>
      <c r="K630" t="str">
        <f>IF(0 = IFERROR(VLOOKUP(DBL_FullList!I630,ContactsDbl!B:D, 3, FALSE), ""), "", IFERROR(VLOOKUP(DBL_FullList!I630, ContactsDbl!B:D, 3, FALSE), ""))</f>
        <v>http://www.bsind.org/</v>
      </c>
      <c r="L630">
        <f t="shared" si="19"/>
        <v>1</v>
      </c>
    </row>
    <row r="631" spans="1:12" x14ac:dyDescent="0.25">
      <c r="A631" t="s">
        <v>5043</v>
      </c>
      <c r="B631" t="str">
        <f>IF(ISERROR(VLOOKUP(F631,STEP!A:A, 1, FALSE)), "N", "Y")</f>
        <v>N</v>
      </c>
      <c r="C631" t="str">
        <f>IF(ISERROR(VLOOKUP(E631, BibleInEveryLanguageTexts!A:A, 1, FALSE)), "N", "Y")</f>
        <v>N</v>
      </c>
      <c r="D631" t="str">
        <f t="shared" si="18"/>
        <v>X</v>
      </c>
      <c r="E631" t="s">
        <v>4913</v>
      </c>
      <c r="F631" t="s">
        <v>4914</v>
      </c>
      <c r="G631" t="s">
        <v>5044</v>
      </c>
      <c r="H631" t="s">
        <v>5045</v>
      </c>
      <c r="I631" t="s">
        <v>3104</v>
      </c>
      <c r="J631" t="str">
        <f>IF(0 = IFERROR(VLOOKUP(DBL_FullList!I631, ContactsDbl!B:D, 2, FALSE), ""), "", IFERROR(VLOOKUP(DBL_FullList!I631, ContactsDbl!B:D, 2, FALSE), ""))</f>
        <v/>
      </c>
      <c r="K631" t="str">
        <f>IF(0 = IFERROR(VLOOKUP(DBL_FullList!I631,ContactsDbl!B:D, 3, FALSE), ""), "", IFERROR(VLOOKUP(DBL_FullList!I631, ContactsDbl!B:D, 3, FALSE), ""))</f>
        <v/>
      </c>
      <c r="L631">
        <f t="shared" si="19"/>
        <v>0</v>
      </c>
    </row>
    <row r="632" spans="1:12" x14ac:dyDescent="0.25">
      <c r="A632" t="s">
        <v>5046</v>
      </c>
      <c r="B632" t="str">
        <f>IF(ISERROR(VLOOKUP(F632,STEP!A:A, 1, FALSE)), "N", "Y")</f>
        <v>N</v>
      </c>
      <c r="C632" t="str">
        <f>IF(ISERROR(VLOOKUP(E632, BibleInEveryLanguageTexts!A:A, 1, FALSE)), "N", "Y")</f>
        <v>N</v>
      </c>
      <c r="D632" t="str">
        <f t="shared" si="18"/>
        <v>X</v>
      </c>
      <c r="E632" t="s">
        <v>2851</v>
      </c>
      <c r="F632" t="s">
        <v>2852</v>
      </c>
      <c r="G632" t="s">
        <v>2853</v>
      </c>
      <c r="H632" t="s">
        <v>5047</v>
      </c>
      <c r="I632" t="s">
        <v>2409</v>
      </c>
      <c r="J632" t="str">
        <f>IF(0 = IFERROR(VLOOKUP(DBL_FullList!I632, ContactsDbl!B:D, 2, FALSE), ""), "", IFERROR(VLOOKUP(DBL_FullList!I632, ContactsDbl!B:D, 2, FALSE), ""))</f>
        <v>ombanasoa@biblesociety-malagasy.org</v>
      </c>
      <c r="K632" t="str">
        <f>IF(0 = IFERROR(VLOOKUP(DBL_FullList!I632,ContactsDbl!B:D, 3, FALSE), ""), "", IFERROR(VLOOKUP(DBL_FullList!I632, ContactsDbl!B:D, 3, FALSE), ""))</f>
        <v>http://www.mampielybaiboly.mg/</v>
      </c>
      <c r="L632">
        <f t="shared" si="19"/>
        <v>2</v>
      </c>
    </row>
    <row r="633" spans="1:12" x14ac:dyDescent="0.25">
      <c r="A633" t="s">
        <v>5048</v>
      </c>
      <c r="B633" t="str">
        <f>IF(ISERROR(VLOOKUP(F633,STEP!A:A, 1, FALSE)), "N", "Y")</f>
        <v>N</v>
      </c>
      <c r="C633" t="str">
        <f>IF(ISERROR(VLOOKUP(E633, BibleInEveryLanguageTexts!A:A, 1, FALSE)), "N", "Y")</f>
        <v>N</v>
      </c>
      <c r="D633" t="str">
        <f t="shared" si="18"/>
        <v>X</v>
      </c>
      <c r="E633" t="s">
        <v>5049</v>
      </c>
      <c r="F633" t="s">
        <v>5050</v>
      </c>
      <c r="G633" t="s">
        <v>3133</v>
      </c>
      <c r="H633" t="s">
        <v>5051</v>
      </c>
      <c r="I633" t="s">
        <v>2661</v>
      </c>
      <c r="J633" t="str">
        <f>IF(0 = IFERROR(VLOOKUP(DBL_FullList!I633, ContactsDbl!B:D, 2, FALSE), ""), "", IFERROR(VLOOKUP(DBL_FullList!I633, ContactsDbl!B:D, 2, FALSE), ""))</f>
        <v>dbladmin_intl@sil.org</v>
      </c>
      <c r="K633" t="str">
        <f>IF(0 = IFERROR(VLOOKUP(DBL_FullList!I633,ContactsDbl!B:D, 3, FALSE), ""), "", IFERROR(VLOOKUP(DBL_FullList!I633, ContactsDbl!B:D, 3, FALSE), ""))</f>
        <v>http://www.wycliffe.org</v>
      </c>
      <c r="L633">
        <f t="shared" si="19"/>
        <v>2</v>
      </c>
    </row>
    <row r="634" spans="1:12" x14ac:dyDescent="0.25">
      <c r="A634" t="s">
        <v>5052</v>
      </c>
      <c r="B634" t="str">
        <f>IF(ISERROR(VLOOKUP(F634,STEP!A:A, 1, FALSE)), "N", "Y")</f>
        <v>N</v>
      </c>
      <c r="C634" t="str">
        <f>IF(ISERROR(VLOOKUP(E634, BibleInEveryLanguageTexts!A:A, 1, FALSE)), "N", "Y")</f>
        <v>N</v>
      </c>
      <c r="D634" t="str">
        <f t="shared" si="18"/>
        <v>X</v>
      </c>
      <c r="E634" t="s">
        <v>5053</v>
      </c>
      <c r="F634" t="s">
        <v>5054</v>
      </c>
      <c r="G634" t="s">
        <v>5055</v>
      </c>
      <c r="H634" t="s">
        <v>5056</v>
      </c>
      <c r="I634" t="s">
        <v>5057</v>
      </c>
      <c r="J634" t="str">
        <f>IF(0 = IFERROR(VLOOKUP(DBL_FullList!I634, ContactsDbl!B:D, 2, FALSE), ""), "", IFERROR(VLOOKUP(DBL_FullList!I634, ContactsDbl!B:D, 2, FALSE), ""))</f>
        <v/>
      </c>
      <c r="K634" t="str">
        <f>IF(0 = IFERROR(VLOOKUP(DBL_FullList!I634,ContactsDbl!B:D, 3, FALSE), ""), "", IFERROR(VLOOKUP(DBL_FullList!I634, ContactsDbl!B:D, 3, FALSE), ""))</f>
        <v/>
      </c>
      <c r="L634">
        <f t="shared" si="19"/>
        <v>0</v>
      </c>
    </row>
    <row r="635" spans="1:12" x14ac:dyDescent="0.25">
      <c r="A635" t="s">
        <v>5058</v>
      </c>
      <c r="B635" t="str">
        <f>IF(ISERROR(VLOOKUP(F635,STEP!A:A, 1, FALSE)), "N", "Y")</f>
        <v>N</v>
      </c>
      <c r="C635" t="str">
        <f>IF(ISERROR(VLOOKUP(E635, BibleInEveryLanguageTexts!A:A, 1, FALSE)), "N", "Y")</f>
        <v>N</v>
      </c>
      <c r="D635" t="str">
        <f t="shared" si="18"/>
        <v>X</v>
      </c>
      <c r="E635" t="s">
        <v>5059</v>
      </c>
      <c r="F635" t="s">
        <v>5060</v>
      </c>
      <c r="G635" t="s">
        <v>20</v>
      </c>
      <c r="H635" t="s">
        <v>5061</v>
      </c>
      <c r="I635" t="s">
        <v>2329</v>
      </c>
      <c r="J635" t="str">
        <f>IF(0 = IFERROR(VLOOKUP(DBL_FullList!I635, ContactsDbl!B:D, 2, FALSE), ""), "", IFERROR(VLOOKUP(DBL_FullList!I635, ContactsDbl!B:D, 2, FALSE), ""))</f>
        <v/>
      </c>
      <c r="K635" t="str">
        <f>IF(0 = IFERROR(VLOOKUP(DBL_FullList!I635,ContactsDbl!B:D, 3, FALSE), ""), "", IFERROR(VLOOKUP(DBL_FullList!I635, ContactsDbl!B:D, 3, FALSE), ""))</f>
        <v>http://www.bsind.org/</v>
      </c>
      <c r="L635">
        <f t="shared" si="19"/>
        <v>1</v>
      </c>
    </row>
    <row r="636" spans="1:12" x14ac:dyDescent="0.25">
      <c r="A636" t="s">
        <v>5062</v>
      </c>
      <c r="B636" t="str">
        <f>IF(ISERROR(VLOOKUP(F636,STEP!A:A, 1, FALSE)), "N", "Y")</f>
        <v>Y</v>
      </c>
      <c r="C636" t="str">
        <f>IF(ISERROR(VLOOKUP(E636, BibleInEveryLanguageTexts!A:A, 1, FALSE)), "N", "Y")</f>
        <v>N</v>
      </c>
      <c r="D636" t="str">
        <f t="shared" si="18"/>
        <v/>
      </c>
      <c r="E636" t="s">
        <v>5063</v>
      </c>
      <c r="F636" t="s">
        <v>5064</v>
      </c>
      <c r="G636" t="s">
        <v>48</v>
      </c>
      <c r="H636" t="s">
        <v>5065</v>
      </c>
      <c r="I636" t="s">
        <v>2661</v>
      </c>
      <c r="J636" t="str">
        <f>IF(0 = IFERROR(VLOOKUP(DBL_FullList!I636, ContactsDbl!B:D, 2, FALSE), ""), "", IFERROR(VLOOKUP(DBL_FullList!I636, ContactsDbl!B:D, 2, FALSE), ""))</f>
        <v>dbladmin_intl@sil.org</v>
      </c>
      <c r="K636" t="str">
        <f>IF(0 = IFERROR(VLOOKUP(DBL_FullList!I636,ContactsDbl!B:D, 3, FALSE), ""), "", IFERROR(VLOOKUP(DBL_FullList!I636, ContactsDbl!B:D, 3, FALSE), ""))</f>
        <v>http://www.wycliffe.org</v>
      </c>
      <c r="L636">
        <f t="shared" si="19"/>
        <v>2</v>
      </c>
    </row>
    <row r="637" spans="1:12" x14ac:dyDescent="0.25">
      <c r="A637" t="s">
        <v>5066</v>
      </c>
      <c r="B637" t="str">
        <f>IF(ISERROR(VLOOKUP(F637,STEP!A:A, 1, FALSE)), "N", "Y")</f>
        <v>N</v>
      </c>
      <c r="C637" t="str">
        <f>IF(ISERROR(VLOOKUP(E637, BibleInEveryLanguageTexts!A:A, 1, FALSE)), "N", "Y")</f>
        <v>N</v>
      </c>
      <c r="D637" t="str">
        <f t="shared" si="18"/>
        <v>X</v>
      </c>
      <c r="E637" t="s">
        <v>5067</v>
      </c>
      <c r="F637" t="s">
        <v>5068</v>
      </c>
      <c r="G637" t="s">
        <v>3531</v>
      </c>
      <c r="H637" t="s">
        <v>5069</v>
      </c>
      <c r="I637" t="s">
        <v>2110</v>
      </c>
      <c r="J637" t="str">
        <f>IF(0 = IFERROR(VLOOKUP(DBL_FullList!I637, ContactsDbl!B:D, 2, FALSE), ""), "", IFERROR(VLOOKUP(DBL_FullList!I637, ContactsDbl!B:D, 2, FALSE), ""))</f>
        <v>joychen@bstwn.org</v>
      </c>
      <c r="K637" t="str">
        <f>IF(0 = IFERROR(VLOOKUP(DBL_FullList!I637,ContactsDbl!B:D, 3, FALSE), ""), "", IFERROR(VLOOKUP(DBL_FullList!I637, ContactsDbl!B:D, 3, FALSE), ""))</f>
        <v>www.bstwn.org</v>
      </c>
      <c r="L637">
        <f t="shared" si="19"/>
        <v>2</v>
      </c>
    </row>
    <row r="638" spans="1:12" x14ac:dyDescent="0.25">
      <c r="A638" t="s">
        <v>5070</v>
      </c>
      <c r="B638" t="str">
        <f>IF(ISERROR(VLOOKUP(F638,STEP!A:A, 1, FALSE)), "N", "Y")</f>
        <v>N</v>
      </c>
      <c r="C638" t="str">
        <f>IF(ISERROR(VLOOKUP(E638, BibleInEveryLanguageTexts!A:A, 1, FALSE)), "N", "Y")</f>
        <v>N</v>
      </c>
      <c r="D638" t="str">
        <f t="shared" si="18"/>
        <v>X</v>
      </c>
      <c r="E638" t="s">
        <v>5071</v>
      </c>
      <c r="F638" t="s">
        <v>5072</v>
      </c>
      <c r="G638" t="s">
        <v>11</v>
      </c>
      <c r="H638" t="s">
        <v>5073</v>
      </c>
      <c r="I638" t="s">
        <v>2661</v>
      </c>
      <c r="J638" t="str">
        <f>IF(0 = IFERROR(VLOOKUP(DBL_FullList!I638, ContactsDbl!B:D, 2, FALSE), ""), "", IFERROR(VLOOKUP(DBL_FullList!I638, ContactsDbl!B:D, 2, FALSE), ""))</f>
        <v>dbladmin_intl@sil.org</v>
      </c>
      <c r="K638" t="str">
        <f>IF(0 = IFERROR(VLOOKUP(DBL_FullList!I638,ContactsDbl!B:D, 3, FALSE), ""), "", IFERROR(VLOOKUP(DBL_FullList!I638, ContactsDbl!B:D, 3, FALSE), ""))</f>
        <v>http://www.wycliffe.org</v>
      </c>
      <c r="L638">
        <f t="shared" si="19"/>
        <v>2</v>
      </c>
    </row>
    <row r="639" spans="1:12" x14ac:dyDescent="0.25">
      <c r="A639" t="s">
        <v>5074</v>
      </c>
      <c r="B639" t="str">
        <f>IF(ISERROR(VLOOKUP(F639,STEP!A:A, 1, FALSE)), "N", "Y")</f>
        <v>N</v>
      </c>
      <c r="C639" t="str">
        <f>IF(ISERROR(VLOOKUP(E639, BibleInEveryLanguageTexts!A:A, 1, FALSE)), "N", "Y")</f>
        <v>N</v>
      </c>
      <c r="D639" t="str">
        <f t="shared" si="18"/>
        <v>X</v>
      </c>
      <c r="E639" t="s">
        <v>5059</v>
      </c>
      <c r="F639" t="s">
        <v>5060</v>
      </c>
      <c r="G639" t="s">
        <v>20</v>
      </c>
      <c r="H639" t="s">
        <v>5075</v>
      </c>
      <c r="I639" t="s">
        <v>2329</v>
      </c>
      <c r="J639" t="str">
        <f>IF(0 = IFERROR(VLOOKUP(DBL_FullList!I639, ContactsDbl!B:D, 2, FALSE), ""), "", IFERROR(VLOOKUP(DBL_FullList!I639, ContactsDbl!B:D, 2, FALSE), ""))</f>
        <v/>
      </c>
      <c r="K639" t="str">
        <f>IF(0 = IFERROR(VLOOKUP(DBL_FullList!I639,ContactsDbl!B:D, 3, FALSE), ""), "", IFERROR(VLOOKUP(DBL_FullList!I639, ContactsDbl!B:D, 3, FALSE), ""))</f>
        <v>http://www.bsind.org/</v>
      </c>
      <c r="L639">
        <f t="shared" si="19"/>
        <v>1</v>
      </c>
    </row>
    <row r="640" spans="1:12" x14ac:dyDescent="0.25">
      <c r="A640" t="s">
        <v>5076</v>
      </c>
      <c r="B640" t="str">
        <f>IF(ISERROR(VLOOKUP(F640,STEP!A:A, 1, FALSE)), "N", "Y")</f>
        <v>Y</v>
      </c>
      <c r="C640" t="str">
        <f>IF(ISERROR(VLOOKUP(E640, BibleInEveryLanguageTexts!A:A, 1, FALSE)), "N", "Y")</f>
        <v>N</v>
      </c>
      <c r="D640" t="str">
        <f t="shared" si="18"/>
        <v/>
      </c>
      <c r="E640" t="s">
        <v>5077</v>
      </c>
      <c r="F640" t="s">
        <v>5078</v>
      </c>
      <c r="G640" t="s">
        <v>48</v>
      </c>
      <c r="H640" t="s">
        <v>5079</v>
      </c>
      <c r="I640" t="s">
        <v>2661</v>
      </c>
      <c r="J640" t="str">
        <f>IF(0 = IFERROR(VLOOKUP(DBL_FullList!I640, ContactsDbl!B:D, 2, FALSE), ""), "", IFERROR(VLOOKUP(DBL_FullList!I640, ContactsDbl!B:D, 2, FALSE), ""))</f>
        <v>dbladmin_intl@sil.org</v>
      </c>
      <c r="K640" t="str">
        <f>IF(0 = IFERROR(VLOOKUP(DBL_FullList!I640,ContactsDbl!B:D, 3, FALSE), ""), "", IFERROR(VLOOKUP(DBL_FullList!I640, ContactsDbl!B:D, 3, FALSE), ""))</f>
        <v>http://www.wycliffe.org</v>
      </c>
      <c r="L640">
        <f t="shared" si="19"/>
        <v>2</v>
      </c>
    </row>
    <row r="641" spans="1:12" x14ac:dyDescent="0.25">
      <c r="A641" t="s">
        <v>5080</v>
      </c>
      <c r="B641" t="str">
        <f>IF(ISERROR(VLOOKUP(F641,STEP!A:A, 1, FALSE)), "N", "Y")</f>
        <v>N</v>
      </c>
      <c r="C641" t="str">
        <f>IF(ISERROR(VLOOKUP(E641, BibleInEveryLanguageTexts!A:A, 1, FALSE)), "N", "Y")</f>
        <v>N</v>
      </c>
      <c r="D641" t="str">
        <f t="shared" si="18"/>
        <v>X</v>
      </c>
      <c r="E641" t="s">
        <v>2940</v>
      </c>
      <c r="F641" t="s">
        <v>2941</v>
      </c>
      <c r="G641" t="s">
        <v>2942</v>
      </c>
      <c r="H641" t="s">
        <v>5081</v>
      </c>
      <c r="I641" t="s">
        <v>1975</v>
      </c>
      <c r="J641" t="str">
        <f>IF(0 = IFERROR(VLOOKUP(DBL_FullList!I641, ContactsDbl!B:D, 2, FALSE), ""), "", IFERROR(VLOOKUP(DBL_FullList!I641, ContactsDbl!B:D, 2, FALSE), ""))</f>
        <v/>
      </c>
      <c r="K641" t="str">
        <f>IF(0 = IFERROR(VLOOKUP(DBL_FullList!I641,ContactsDbl!B:D, 3, FALSE), ""), "", IFERROR(VLOOKUP(DBL_FullList!I641, ContactsDbl!B:D, 3, FALSE), ""))</f>
        <v>http://www.sba.org.ar/</v>
      </c>
      <c r="L641">
        <f t="shared" si="19"/>
        <v>1</v>
      </c>
    </row>
    <row r="642" spans="1:12" x14ac:dyDescent="0.25">
      <c r="A642" t="s">
        <v>5082</v>
      </c>
      <c r="B642" t="str">
        <f>IF(ISERROR(VLOOKUP(F642,STEP!A:A, 1, FALSE)), "N", "Y")</f>
        <v>N</v>
      </c>
      <c r="C642" t="str">
        <f>IF(ISERROR(VLOOKUP(E642, BibleInEveryLanguageTexts!A:A, 1, FALSE)), "N", "Y")</f>
        <v>N</v>
      </c>
      <c r="D642" t="str">
        <f t="shared" si="18"/>
        <v>X</v>
      </c>
      <c r="E642" t="s">
        <v>5083</v>
      </c>
      <c r="F642" t="s">
        <v>5084</v>
      </c>
      <c r="G642" t="s">
        <v>5085</v>
      </c>
      <c r="H642" t="s">
        <v>5086</v>
      </c>
      <c r="I642" t="s">
        <v>2661</v>
      </c>
      <c r="J642" t="str">
        <f>IF(0 = IFERROR(VLOOKUP(DBL_FullList!I642, ContactsDbl!B:D, 2, FALSE), ""), "", IFERROR(VLOOKUP(DBL_FullList!I642, ContactsDbl!B:D, 2, FALSE), ""))</f>
        <v>dbladmin_intl@sil.org</v>
      </c>
      <c r="K642" t="str">
        <f>IF(0 = IFERROR(VLOOKUP(DBL_FullList!I642,ContactsDbl!B:D, 3, FALSE), ""), "", IFERROR(VLOOKUP(DBL_FullList!I642, ContactsDbl!B:D, 3, FALSE), ""))</f>
        <v>http://www.wycliffe.org</v>
      </c>
      <c r="L642">
        <f t="shared" si="19"/>
        <v>2</v>
      </c>
    </row>
    <row r="643" spans="1:12" x14ac:dyDescent="0.25">
      <c r="A643" t="s">
        <v>5087</v>
      </c>
      <c r="B643" t="str">
        <f>IF(ISERROR(VLOOKUP(F643,STEP!A:A, 1, FALSE)), "N", "Y")</f>
        <v>N</v>
      </c>
      <c r="C643" t="str">
        <f>IF(ISERROR(VLOOKUP(E643, BibleInEveryLanguageTexts!A:A, 1, FALSE)), "N", "Y")</f>
        <v>N</v>
      </c>
      <c r="D643" t="str">
        <f t="shared" ref="D643:D706" si="20">IF(AND("N" = B643, "N" = C643), "X", "")</f>
        <v>X</v>
      </c>
      <c r="E643" t="s">
        <v>5088</v>
      </c>
      <c r="F643" t="s">
        <v>5089</v>
      </c>
      <c r="G643" t="s">
        <v>2756</v>
      </c>
      <c r="H643" t="s">
        <v>5090</v>
      </c>
      <c r="I643" t="s">
        <v>2661</v>
      </c>
      <c r="J643" t="str">
        <f>IF(0 = IFERROR(VLOOKUP(DBL_FullList!I643, ContactsDbl!B:D, 2, FALSE), ""), "", IFERROR(VLOOKUP(DBL_FullList!I643, ContactsDbl!B:D, 2, FALSE), ""))</f>
        <v>dbladmin_intl@sil.org</v>
      </c>
      <c r="K643" t="str">
        <f>IF(0 = IFERROR(VLOOKUP(DBL_FullList!I643,ContactsDbl!B:D, 3, FALSE), ""), "", IFERROR(VLOOKUP(DBL_FullList!I643, ContactsDbl!B:D, 3, FALSE), ""))</f>
        <v>http://www.wycliffe.org</v>
      </c>
      <c r="L643">
        <f t="shared" ref="L643:L706" si="21">IF("" &lt;&gt; J643, 2, IF("" &lt;&gt; K643, 1, 0))</f>
        <v>2</v>
      </c>
    </row>
    <row r="644" spans="1:12" x14ac:dyDescent="0.25">
      <c r="A644" t="s">
        <v>5091</v>
      </c>
      <c r="B644" t="str">
        <f>IF(ISERROR(VLOOKUP(F644,STEP!A:A, 1, FALSE)), "N", "Y")</f>
        <v>N</v>
      </c>
      <c r="C644" t="str">
        <f>IF(ISERROR(VLOOKUP(E644, BibleInEveryLanguageTexts!A:A, 1, FALSE)), "N", "Y")</f>
        <v>N</v>
      </c>
      <c r="D644" t="str">
        <f t="shared" si="20"/>
        <v>X</v>
      </c>
      <c r="E644" t="s">
        <v>5092</v>
      </c>
      <c r="F644" t="s">
        <v>5093</v>
      </c>
      <c r="G644" t="s">
        <v>2743</v>
      </c>
      <c r="H644" t="s">
        <v>5094</v>
      </c>
      <c r="I644" t="s">
        <v>2465</v>
      </c>
      <c r="J644" t="str">
        <f>IF(0 = IFERROR(VLOOKUP(DBL_FullList!I644, ContactsDbl!B:D, 2, FALSE), ""), "", IFERROR(VLOOKUP(DBL_FullList!I644, ContactsDbl!B:D, 2, FALSE), ""))</f>
        <v>heidi_rosendall@sil.org</v>
      </c>
      <c r="K644" t="str">
        <f>IF(0 = IFERROR(VLOOKUP(DBL_FullList!I644,ContactsDbl!B:D, 3, FALSE), ""), "", IFERROR(VLOOKUP(DBL_FullList!I644, ContactsDbl!B:D, 3, FALSE), ""))</f>
        <v>http://wycliffe.net</v>
      </c>
      <c r="L644">
        <f t="shared" si="21"/>
        <v>2</v>
      </c>
    </row>
    <row r="645" spans="1:12" x14ac:dyDescent="0.25">
      <c r="A645" t="s">
        <v>5095</v>
      </c>
      <c r="B645" t="str">
        <f>IF(ISERROR(VLOOKUP(F645,STEP!A:A, 1, FALSE)), "N", "Y")</f>
        <v>N</v>
      </c>
      <c r="C645" t="str">
        <f>IF(ISERROR(VLOOKUP(E645, BibleInEveryLanguageTexts!A:A, 1, FALSE)), "N", "Y")</f>
        <v>N</v>
      </c>
      <c r="D645" t="str">
        <f t="shared" si="20"/>
        <v>X</v>
      </c>
      <c r="E645" t="s">
        <v>5096</v>
      </c>
      <c r="F645" t="s">
        <v>5097</v>
      </c>
      <c r="G645" t="s">
        <v>2858</v>
      </c>
      <c r="H645" t="s">
        <v>5098</v>
      </c>
      <c r="I645" t="s">
        <v>2661</v>
      </c>
      <c r="J645" t="str">
        <f>IF(0 = IFERROR(VLOOKUP(DBL_FullList!I645, ContactsDbl!B:D, 2, FALSE), ""), "", IFERROR(VLOOKUP(DBL_FullList!I645, ContactsDbl!B:D, 2, FALSE), ""))</f>
        <v>dbladmin_intl@sil.org</v>
      </c>
      <c r="K645" t="str">
        <f>IF(0 = IFERROR(VLOOKUP(DBL_FullList!I645,ContactsDbl!B:D, 3, FALSE), ""), "", IFERROR(VLOOKUP(DBL_FullList!I645, ContactsDbl!B:D, 3, FALSE), ""))</f>
        <v>http://www.wycliffe.org</v>
      </c>
      <c r="L645">
        <f t="shared" si="21"/>
        <v>2</v>
      </c>
    </row>
    <row r="646" spans="1:12" x14ac:dyDescent="0.25">
      <c r="A646" t="s">
        <v>5099</v>
      </c>
      <c r="B646" t="str">
        <f>IF(ISERROR(VLOOKUP(F646,STEP!A:A, 1, FALSE)), "N", "Y")</f>
        <v>N</v>
      </c>
      <c r="C646" t="str">
        <f>IF(ISERROR(VLOOKUP(E646, BibleInEveryLanguageTexts!A:A, 1, FALSE)), "N", "Y")</f>
        <v>N</v>
      </c>
      <c r="D646" t="str">
        <f t="shared" si="20"/>
        <v>X</v>
      </c>
      <c r="E646" t="s">
        <v>5100</v>
      </c>
      <c r="F646" t="s">
        <v>5101</v>
      </c>
      <c r="G646" t="s">
        <v>4200</v>
      </c>
      <c r="H646" t="s">
        <v>5102</v>
      </c>
      <c r="I646" t="s">
        <v>1997</v>
      </c>
      <c r="J646" t="str">
        <f>IF(0 = IFERROR(VLOOKUP(DBL_FullList!I646, ContactsDbl!B:D, 2, FALSE), ""), "", IFERROR(VLOOKUP(DBL_FullList!I646, ContactsDbl!B:D, 2, FALSE), ""))</f>
        <v>Lee.Harris@biblica.com</v>
      </c>
      <c r="K646" t="str">
        <f>IF(0 = IFERROR(VLOOKUP(DBL_FullList!I646,ContactsDbl!B:D, 3, FALSE), ""), "", IFERROR(VLOOKUP(DBL_FullList!I646, ContactsDbl!B:D, 3, FALSE), ""))</f>
        <v>http://www.Biblica.com</v>
      </c>
      <c r="L646">
        <f t="shared" si="21"/>
        <v>2</v>
      </c>
    </row>
    <row r="647" spans="1:12" x14ac:dyDescent="0.25">
      <c r="A647" t="s">
        <v>5103</v>
      </c>
      <c r="B647" t="str">
        <f>IF(ISERROR(VLOOKUP(F647,STEP!A:A, 1, FALSE)), "N", "Y")</f>
        <v>N</v>
      </c>
      <c r="C647" t="str">
        <f>IF(ISERROR(VLOOKUP(E647, BibleInEveryLanguageTexts!A:A, 1, FALSE)), "N", "Y")</f>
        <v>N</v>
      </c>
      <c r="D647" t="str">
        <f t="shared" si="20"/>
        <v>X</v>
      </c>
      <c r="E647" t="s">
        <v>5104</v>
      </c>
      <c r="F647" t="s">
        <v>5105</v>
      </c>
      <c r="G647" t="s">
        <v>2824</v>
      </c>
      <c r="H647" t="s">
        <v>5106</v>
      </c>
      <c r="I647" t="s">
        <v>2493</v>
      </c>
      <c r="J647" t="str">
        <f>IF(0 = IFERROR(VLOOKUP(DBL_FullList!I647, ContactsDbl!B:D, 2, FALSE), ""), "", IFERROR(VLOOKUP(DBL_FullList!I647, ContactsDbl!B:D, 2, FALSE), ""))</f>
        <v/>
      </c>
      <c r="K647" t="str">
        <f>IF(0 = IFERROR(VLOOKUP(DBL_FullList!I647,ContactsDbl!B:D, 3, FALSE), ""), "", IFERROR(VLOOKUP(DBL_FullList!I647, ContactsDbl!B:D, 3, FALSE), ""))</f>
        <v>http://sbp.org.py</v>
      </c>
      <c r="L647">
        <f t="shared" si="21"/>
        <v>1</v>
      </c>
    </row>
    <row r="648" spans="1:12" x14ac:dyDescent="0.25">
      <c r="A648" t="s">
        <v>5107</v>
      </c>
      <c r="B648" t="str">
        <f>IF(ISERROR(VLOOKUP(F648,STEP!A:A, 1, FALSE)), "N", "Y")</f>
        <v>N</v>
      </c>
      <c r="C648" t="str">
        <f>IF(ISERROR(VLOOKUP(E648, BibleInEveryLanguageTexts!A:A, 1, FALSE)), "N", "Y")</f>
        <v>N</v>
      </c>
      <c r="D648" t="str">
        <f t="shared" si="20"/>
        <v>X</v>
      </c>
      <c r="E648" t="s">
        <v>1439</v>
      </c>
      <c r="F648" t="s">
        <v>4304</v>
      </c>
      <c r="G648" t="s">
        <v>4305</v>
      </c>
      <c r="H648" t="s">
        <v>5108</v>
      </c>
      <c r="I648" t="s">
        <v>2114</v>
      </c>
      <c r="J648" t="str">
        <f>IF(0 = IFERROR(VLOOKUP(DBL_FullList!I648, ContactsDbl!B:D, 2, FALSE), ""), "", IFERROR(VLOOKUP(DBL_FullList!I648, ContactsDbl!B:D, 2, FALSE), ""))</f>
        <v>gensec@biblesociety-zimbabwe.org</v>
      </c>
      <c r="K648" t="str">
        <f>IF(0 = IFERROR(VLOOKUP(DBL_FullList!I648,ContactsDbl!B:D, 3, FALSE), ""), "", IFERROR(VLOOKUP(DBL_FullList!I648, ContactsDbl!B:D, 3, FALSE), ""))</f>
        <v>http://biblesociety-zimbabwe.org</v>
      </c>
      <c r="L648">
        <f t="shared" si="21"/>
        <v>2</v>
      </c>
    </row>
    <row r="649" spans="1:12" x14ac:dyDescent="0.25">
      <c r="A649" t="s">
        <v>5109</v>
      </c>
      <c r="B649" t="str">
        <f>IF(ISERROR(VLOOKUP(F649,STEP!A:A, 1, FALSE)), "N", "Y")</f>
        <v>N</v>
      </c>
      <c r="C649" t="str">
        <f>IF(ISERROR(VLOOKUP(E649, BibleInEveryLanguageTexts!A:A, 1, FALSE)), "N", "Y")</f>
        <v>N</v>
      </c>
      <c r="D649" t="str">
        <f t="shared" si="20"/>
        <v>X</v>
      </c>
      <c r="E649" t="s">
        <v>5110</v>
      </c>
      <c r="F649" t="s">
        <v>5111</v>
      </c>
      <c r="G649" t="s">
        <v>2815</v>
      </c>
      <c r="H649" t="s">
        <v>5112</v>
      </c>
      <c r="I649" t="s">
        <v>2362</v>
      </c>
      <c r="J649" t="str">
        <f>IF(0 = IFERROR(VLOOKUP(DBL_FullList!I649, ContactsDbl!B:D, 2, FALSE), ""), "", IFERROR(VLOOKUP(DBL_FullList!I649, ContactsDbl!B:D, 2, FALSE), ""))</f>
        <v>muriuki@biblesociety-kenya.org</v>
      </c>
      <c r="K649" t="str">
        <f>IF(0 = IFERROR(VLOOKUP(DBL_FullList!I649,ContactsDbl!B:D, 3, FALSE), ""), "", IFERROR(VLOOKUP(DBL_FullList!I649, ContactsDbl!B:D, 3, FALSE), ""))</f>
        <v>http://www.biblesociety-kenya.org/</v>
      </c>
      <c r="L649">
        <f t="shared" si="21"/>
        <v>2</v>
      </c>
    </row>
    <row r="650" spans="1:12" x14ac:dyDescent="0.25">
      <c r="A650" t="s">
        <v>5113</v>
      </c>
      <c r="B650" t="str">
        <f>IF(ISERROR(VLOOKUP(F650,STEP!A:A, 1, FALSE)), "N", "Y")</f>
        <v>N</v>
      </c>
      <c r="C650" t="str">
        <f>IF(ISERROR(VLOOKUP(E650, BibleInEveryLanguageTexts!A:A, 1, FALSE)), "N", "Y")</f>
        <v>N</v>
      </c>
      <c r="D650" t="str">
        <f t="shared" si="20"/>
        <v>X</v>
      </c>
      <c r="E650" t="s">
        <v>5114</v>
      </c>
      <c r="F650" t="s">
        <v>5115</v>
      </c>
      <c r="G650" t="s">
        <v>11</v>
      </c>
      <c r="H650" t="s">
        <v>5116</v>
      </c>
      <c r="I650" t="s">
        <v>2131</v>
      </c>
      <c r="J650" t="str">
        <f>IF(0 = IFERROR(VLOOKUP(DBL_FullList!I650, ContactsDbl!B:D, 2, FALSE), ""), "", IFERROR(VLOOKUP(DBL_FullList!I650, ContactsDbl!B:D, 2, FALSE), ""))</f>
        <v>dbl@biblesociety.ca</v>
      </c>
      <c r="K650" t="str">
        <f>IF(0 = IFERROR(VLOOKUP(DBL_FullList!I650,ContactsDbl!B:D, 3, FALSE), ""), "", IFERROR(VLOOKUP(DBL_FullList!I650, ContactsDbl!B:D, 3, FALSE), ""))</f>
        <v>http://www.biblesociety.ca</v>
      </c>
      <c r="L650">
        <f t="shared" si="21"/>
        <v>2</v>
      </c>
    </row>
    <row r="651" spans="1:12" x14ac:dyDescent="0.25">
      <c r="A651" t="s">
        <v>5117</v>
      </c>
      <c r="B651" t="str">
        <f>IF(ISERROR(VLOOKUP(F651,STEP!A:A, 1, FALSE)), "N", "Y")</f>
        <v>N</v>
      </c>
      <c r="C651" t="str">
        <f>IF(ISERROR(VLOOKUP(E651, BibleInEveryLanguageTexts!A:A, 1, FALSE)), "N", "Y")</f>
        <v>N</v>
      </c>
      <c r="D651" t="str">
        <f t="shared" si="20"/>
        <v>X</v>
      </c>
      <c r="E651" t="s">
        <v>5118</v>
      </c>
      <c r="F651" t="s">
        <v>5119</v>
      </c>
      <c r="G651" t="s">
        <v>3600</v>
      </c>
      <c r="H651" t="s">
        <v>5120</v>
      </c>
      <c r="I651" t="s">
        <v>2336</v>
      </c>
      <c r="J651" t="str">
        <f>IF(0 = IFERROR(VLOOKUP(DBL_FullList!I651, ContactsDbl!B:D, 2, FALSE), ""), "", IFERROR(VLOOKUP(DBL_FullList!I651, ContactsDbl!B:D, 2, FALSE), ""))</f>
        <v>info@bsisrael.com</v>
      </c>
      <c r="K651" t="str">
        <f>IF(0 = IFERROR(VLOOKUP(DBL_FullList!I651,ContactsDbl!B:D, 3, FALSE), ""), "", IFERROR(VLOOKUP(DBL_FullList!I651, ContactsDbl!B:D, 3, FALSE), ""))</f>
        <v>http://www.biblesocietyinisrael.com/</v>
      </c>
      <c r="L651">
        <f t="shared" si="21"/>
        <v>2</v>
      </c>
    </row>
    <row r="652" spans="1:12" x14ac:dyDescent="0.25">
      <c r="A652" t="s">
        <v>5121</v>
      </c>
      <c r="B652" t="str">
        <f>IF(ISERROR(VLOOKUP(F652,STEP!A:A, 1, FALSE)), "N", "Y")</f>
        <v>N</v>
      </c>
      <c r="C652" t="str">
        <f>IF(ISERROR(VLOOKUP(E652, BibleInEveryLanguageTexts!A:A, 1, FALSE)), "N", "Y")</f>
        <v>N</v>
      </c>
      <c r="D652" t="str">
        <f t="shared" si="20"/>
        <v>X</v>
      </c>
      <c r="E652" t="s">
        <v>5122</v>
      </c>
      <c r="F652" t="s">
        <v>5123</v>
      </c>
      <c r="G652" t="s">
        <v>4103</v>
      </c>
      <c r="H652" t="s">
        <v>5124</v>
      </c>
      <c r="I652" t="s">
        <v>2661</v>
      </c>
      <c r="J652" t="str">
        <f>IF(0 = IFERROR(VLOOKUP(DBL_FullList!I652, ContactsDbl!B:D, 2, FALSE), ""), "", IFERROR(VLOOKUP(DBL_FullList!I652, ContactsDbl!B:D, 2, FALSE), ""))</f>
        <v>dbladmin_intl@sil.org</v>
      </c>
      <c r="K652" t="str">
        <f>IF(0 = IFERROR(VLOOKUP(DBL_FullList!I652,ContactsDbl!B:D, 3, FALSE), ""), "", IFERROR(VLOOKUP(DBL_FullList!I652, ContactsDbl!B:D, 3, FALSE), ""))</f>
        <v>http://www.wycliffe.org</v>
      </c>
      <c r="L652">
        <f t="shared" si="21"/>
        <v>2</v>
      </c>
    </row>
    <row r="653" spans="1:12" x14ac:dyDescent="0.25">
      <c r="A653" t="s">
        <v>5125</v>
      </c>
      <c r="B653" t="str">
        <f>IF(ISERROR(VLOOKUP(F653,STEP!A:A, 1, FALSE)), "N", "Y")</f>
        <v>N</v>
      </c>
      <c r="C653" t="str">
        <f>IF(ISERROR(VLOOKUP(E653, BibleInEveryLanguageTexts!A:A, 1, FALSE)), "N", "Y")</f>
        <v>N</v>
      </c>
      <c r="D653" t="str">
        <f t="shared" si="20"/>
        <v>X</v>
      </c>
      <c r="E653" t="s">
        <v>219</v>
      </c>
      <c r="F653" t="s">
        <v>217</v>
      </c>
      <c r="G653" t="s">
        <v>218</v>
      </c>
      <c r="H653" t="s">
        <v>5126</v>
      </c>
      <c r="I653" t="s">
        <v>1997</v>
      </c>
      <c r="J653" t="str">
        <f>IF(0 = IFERROR(VLOOKUP(DBL_FullList!I653, ContactsDbl!B:D, 2, FALSE), ""), "", IFERROR(VLOOKUP(DBL_FullList!I653, ContactsDbl!B:D, 2, FALSE), ""))</f>
        <v>Lee.Harris@biblica.com</v>
      </c>
      <c r="K653" t="str">
        <f>IF(0 = IFERROR(VLOOKUP(DBL_FullList!I653,ContactsDbl!B:D, 3, FALSE), ""), "", IFERROR(VLOOKUP(DBL_FullList!I653, ContactsDbl!B:D, 3, FALSE), ""))</f>
        <v>http://www.Biblica.com</v>
      </c>
      <c r="L653">
        <f t="shared" si="21"/>
        <v>2</v>
      </c>
    </row>
    <row r="654" spans="1:12" x14ac:dyDescent="0.25">
      <c r="A654" t="s">
        <v>5127</v>
      </c>
      <c r="B654" t="str">
        <f>IF(ISERROR(VLOOKUP(F654,STEP!A:A, 1, FALSE)), "N", "Y")</f>
        <v>N</v>
      </c>
      <c r="C654" t="str">
        <f>IF(ISERROR(VLOOKUP(E654, BibleInEveryLanguageTexts!A:A, 1, FALSE)), "N", "Y")</f>
        <v>N</v>
      </c>
      <c r="D654" t="str">
        <f t="shared" si="20"/>
        <v>X</v>
      </c>
      <c r="E654" t="s">
        <v>5128</v>
      </c>
      <c r="F654" t="s">
        <v>5129</v>
      </c>
      <c r="G654" t="s">
        <v>2858</v>
      </c>
      <c r="H654" t="s">
        <v>5130</v>
      </c>
      <c r="I654" t="s">
        <v>2505</v>
      </c>
      <c r="J654" t="str">
        <f>IF(0 = IFERROR(VLOOKUP(DBL_FullList!I654, ContactsDbl!B:D, 2, FALSE), ""), "", IFERROR(VLOOKUP(DBL_FullList!I654, ContactsDbl!B:D, 2, FALSE), ""))</f>
        <v/>
      </c>
      <c r="K654" t="str">
        <f>IF(0 = IFERROR(VLOOKUP(DBL_FullList!I654,ContactsDbl!B:D, 3, FALSE), ""), "", IFERROR(VLOOKUP(DBL_FullList!I654, ContactsDbl!B:D, 3, FALSE), ""))</f>
        <v>http://www.bible.org.ph/</v>
      </c>
      <c r="L654">
        <f t="shared" si="21"/>
        <v>1</v>
      </c>
    </row>
    <row r="655" spans="1:12" x14ac:dyDescent="0.25">
      <c r="A655" t="s">
        <v>5131</v>
      </c>
      <c r="B655" t="str">
        <f>IF(ISERROR(VLOOKUP(F655,STEP!A:A, 1, FALSE)), "N", "Y")</f>
        <v>N</v>
      </c>
      <c r="C655" t="str">
        <f>IF(ISERROR(VLOOKUP(E655, BibleInEveryLanguageTexts!A:A, 1, FALSE)), "N", "Y")</f>
        <v>N</v>
      </c>
      <c r="D655" t="str">
        <f t="shared" si="20"/>
        <v>X</v>
      </c>
      <c r="E655" t="s">
        <v>334</v>
      </c>
      <c r="F655" t="s">
        <v>332</v>
      </c>
      <c r="G655" t="s">
        <v>333</v>
      </c>
      <c r="H655" t="s">
        <v>5132</v>
      </c>
      <c r="I655" t="s">
        <v>2534</v>
      </c>
      <c r="J655" t="str">
        <f>IF(0 = IFERROR(VLOOKUP(DBL_FullList!I655, ContactsDbl!B:D, 2, FALSE), ""), "", IFERROR(VLOOKUP(DBL_FullList!I655, ContactsDbl!B:D, 2, FALSE), ""))</f>
        <v>elismar@sbb.org.br</v>
      </c>
      <c r="K655" t="str">
        <f>IF(0 = IFERROR(VLOOKUP(DBL_FullList!I655,ContactsDbl!B:D, 3, FALSE), ""), "", IFERROR(VLOOKUP(DBL_FullList!I655, ContactsDbl!B:D, 3, FALSE), ""))</f>
        <v>http://www.sbb.org.br</v>
      </c>
      <c r="L655">
        <f t="shared" si="21"/>
        <v>2</v>
      </c>
    </row>
    <row r="656" spans="1:12" x14ac:dyDescent="0.25">
      <c r="A656" t="s">
        <v>5133</v>
      </c>
      <c r="B656" t="str">
        <f>IF(ISERROR(VLOOKUP(F656,STEP!A:A, 1, FALSE)), "N", "Y")</f>
        <v>N</v>
      </c>
      <c r="C656" t="str">
        <f>IF(ISERROR(VLOOKUP(E656, BibleInEveryLanguageTexts!A:A, 1, FALSE)), "N", "Y")</f>
        <v>N</v>
      </c>
      <c r="D656" t="str">
        <f t="shared" si="20"/>
        <v>X</v>
      </c>
      <c r="E656" t="s">
        <v>2906</v>
      </c>
      <c r="F656" t="s">
        <v>2907</v>
      </c>
      <c r="G656" t="s">
        <v>4120</v>
      </c>
      <c r="H656" t="s">
        <v>5134</v>
      </c>
      <c r="I656" t="s">
        <v>2182</v>
      </c>
      <c r="J656" t="str">
        <f>IF(0 = IFERROR(VLOOKUP(DBL_FullList!I656, ContactsDbl!B:D, 2, FALSE), ""), "", IFERROR(VLOOKUP(DBL_FullList!I656, ContactsDbl!B:D, 2, FALSE), ""))</f>
        <v/>
      </c>
      <c r="K656" t="str">
        <f>IF(0 = IFERROR(VLOOKUP(DBL_FullList!I656,ContactsDbl!B:D, 3, FALSE), ""), "", IFERROR(VLOOKUP(DBL_FullList!I656, ContactsDbl!B:D, 3, FALSE), ""))</f>
        <v>http://www.biblesociety-cd.org/</v>
      </c>
      <c r="L656">
        <f t="shared" si="21"/>
        <v>1</v>
      </c>
    </row>
    <row r="657" spans="1:12" x14ac:dyDescent="0.25">
      <c r="A657" t="s">
        <v>5135</v>
      </c>
      <c r="B657" t="str">
        <f>IF(ISERROR(VLOOKUP(F657,STEP!A:A, 1, FALSE)), "N", "Y")</f>
        <v>N</v>
      </c>
      <c r="C657" t="str">
        <f>IF(ISERROR(VLOOKUP(E657, BibleInEveryLanguageTexts!A:A, 1, FALSE)), "N", "Y")</f>
        <v>N</v>
      </c>
      <c r="D657" t="str">
        <f t="shared" si="20"/>
        <v>X</v>
      </c>
      <c r="E657" t="s">
        <v>5136</v>
      </c>
      <c r="F657" t="s">
        <v>5137</v>
      </c>
      <c r="G657" t="s">
        <v>2858</v>
      </c>
      <c r="H657" t="s">
        <v>5138</v>
      </c>
      <c r="I657" t="s">
        <v>2661</v>
      </c>
      <c r="J657" t="str">
        <f>IF(0 = IFERROR(VLOOKUP(DBL_FullList!I657, ContactsDbl!B:D, 2, FALSE), ""), "", IFERROR(VLOOKUP(DBL_FullList!I657, ContactsDbl!B:D, 2, FALSE), ""))</f>
        <v>dbladmin_intl@sil.org</v>
      </c>
      <c r="K657" t="str">
        <f>IF(0 = IFERROR(VLOOKUP(DBL_FullList!I657,ContactsDbl!B:D, 3, FALSE), ""), "", IFERROR(VLOOKUP(DBL_FullList!I657, ContactsDbl!B:D, 3, FALSE), ""))</f>
        <v>http://www.wycliffe.org</v>
      </c>
      <c r="L657">
        <f t="shared" si="21"/>
        <v>2</v>
      </c>
    </row>
    <row r="658" spans="1:12" x14ac:dyDescent="0.25">
      <c r="A658" t="s">
        <v>5139</v>
      </c>
      <c r="B658" t="str">
        <f>IF(ISERROR(VLOOKUP(F658,STEP!A:A, 1, FALSE)), "N", "Y")</f>
        <v>N</v>
      </c>
      <c r="C658" t="str">
        <f>IF(ISERROR(VLOOKUP(E658, BibleInEveryLanguageTexts!A:A, 1, FALSE)), "N", "Y")</f>
        <v>N</v>
      </c>
      <c r="D658" t="str">
        <f t="shared" si="20"/>
        <v>X</v>
      </c>
      <c r="E658" t="s">
        <v>3598</v>
      </c>
      <c r="F658" t="s">
        <v>3599</v>
      </c>
      <c r="G658" t="s">
        <v>121</v>
      </c>
      <c r="H658" t="s">
        <v>1055</v>
      </c>
      <c r="I658" t="s">
        <v>183</v>
      </c>
      <c r="J658" t="str">
        <f>IF(0 = IFERROR(VLOOKUP(DBL_FullList!I658, ContactsDbl!B:D, 2, FALSE), ""), "", IFERROR(VLOOKUP(DBL_FullList!I658, ContactsDbl!B:D, 2, FALSE), ""))</f>
        <v>dbl@biblesocieties.org</v>
      </c>
      <c r="K658" t="str">
        <f>IF(0 = IFERROR(VLOOKUP(DBL_FullList!I658,ContactsDbl!B:D, 3, FALSE), ""), "", IFERROR(VLOOKUP(DBL_FullList!I658, ContactsDbl!B:D, 3, FALSE), ""))</f>
        <v>http://www.unitedbiblesocieties.org/</v>
      </c>
      <c r="L658">
        <f t="shared" si="21"/>
        <v>2</v>
      </c>
    </row>
    <row r="659" spans="1:12" x14ac:dyDescent="0.25">
      <c r="A659" t="s">
        <v>5140</v>
      </c>
      <c r="B659" t="str">
        <f>IF(ISERROR(VLOOKUP(F659,STEP!A:A, 1, FALSE)), "N", "Y")</f>
        <v>N</v>
      </c>
      <c r="C659" t="str">
        <f>IF(ISERROR(VLOOKUP(E659, BibleInEveryLanguageTexts!A:A, 1, FALSE)), "N", "Y")</f>
        <v>N</v>
      </c>
      <c r="D659" t="str">
        <f t="shared" si="20"/>
        <v>X</v>
      </c>
      <c r="E659" t="s">
        <v>199</v>
      </c>
      <c r="F659" t="s">
        <v>197</v>
      </c>
      <c r="G659" t="s">
        <v>11</v>
      </c>
      <c r="H659" t="s">
        <v>5141</v>
      </c>
      <c r="I659" t="s">
        <v>2401</v>
      </c>
      <c r="J659" t="str">
        <f>IF(0 = IFERROR(VLOOKUP(DBL_FullList!I659, ContactsDbl!B:D, 2, FALSE), ""), "", IFERROR(VLOOKUP(DBL_FullList!I659, ContactsDbl!B:D, 2, FALSE), ""))</f>
        <v>digitalbiblelibrary@lockman.org</v>
      </c>
      <c r="K659" t="str">
        <f>IF(0 = IFERROR(VLOOKUP(DBL_FullList!I659,ContactsDbl!B:D, 3, FALSE), ""), "", IFERROR(VLOOKUP(DBL_FullList!I659, ContactsDbl!B:D, 3, FALSE), ""))</f>
        <v>http://www.lockman.org/</v>
      </c>
      <c r="L659">
        <f t="shared" si="21"/>
        <v>2</v>
      </c>
    </row>
    <row r="660" spans="1:12" x14ac:dyDescent="0.25">
      <c r="A660" t="s">
        <v>5142</v>
      </c>
      <c r="B660" t="str">
        <f>IF(ISERROR(VLOOKUP(F660,STEP!A:A, 1, FALSE)), "N", "Y")</f>
        <v>N</v>
      </c>
      <c r="C660" t="str">
        <f>IF(ISERROR(VLOOKUP(E660, BibleInEveryLanguageTexts!A:A, 1, FALSE)), "N", "Y")</f>
        <v>N</v>
      </c>
      <c r="D660" t="str">
        <f t="shared" si="20"/>
        <v>X</v>
      </c>
      <c r="E660" t="s">
        <v>4512</v>
      </c>
      <c r="F660" t="s">
        <v>4513</v>
      </c>
      <c r="G660" t="s">
        <v>2838</v>
      </c>
      <c r="H660" t="s">
        <v>5143</v>
      </c>
      <c r="I660" t="s">
        <v>2025</v>
      </c>
      <c r="J660" t="str">
        <f>IF(0 = IFERROR(VLOOKUP(DBL_FullList!I660, ContactsDbl!B:D, 2, FALSE), ""), "", IFERROR(VLOOKUP(DBL_FullList!I660, ContactsDbl!B:D, 2, FALSE), ""))</f>
        <v>abbf@biblesociety-bf.org</v>
      </c>
      <c r="K660" t="str">
        <f>IF(0 = IFERROR(VLOOKUP(DBL_FullList!I660,ContactsDbl!B:D, 3, FALSE), ""), "", IFERROR(VLOOKUP(DBL_FullList!I660, ContactsDbl!B:D, 3, FALSE), ""))</f>
        <v>http://alliancebiblique-bf.org/</v>
      </c>
      <c r="L660">
        <f t="shared" si="21"/>
        <v>2</v>
      </c>
    </row>
    <row r="661" spans="1:12" x14ac:dyDescent="0.25">
      <c r="A661" t="s">
        <v>66</v>
      </c>
      <c r="B661" t="str">
        <f>IF(ISERROR(VLOOKUP(F661,STEP!A:A, 1, FALSE)), "N", "Y")</f>
        <v>N</v>
      </c>
      <c r="C661" t="str">
        <f>IF(ISERROR(VLOOKUP(E661, BibleInEveryLanguageTexts!A:A, 1, FALSE)), "N", "Y")</f>
        <v>Y</v>
      </c>
      <c r="D661" t="str">
        <f t="shared" si="20"/>
        <v/>
      </c>
      <c r="E661" t="s">
        <v>12</v>
      </c>
      <c r="F661" t="s">
        <v>10</v>
      </c>
      <c r="G661" t="s">
        <v>11</v>
      </c>
      <c r="H661" t="s">
        <v>5144</v>
      </c>
      <c r="I661" t="s">
        <v>24</v>
      </c>
      <c r="J661" t="str">
        <f>IF(0 = IFERROR(VLOOKUP(DBL_FullList!I661, ContactsDbl!B:D, 2, FALSE), ""), "", IFERROR(VLOOKUP(DBL_FullList!I661, ContactsDbl!B:D, 2, FALSE), ""))</f>
        <v>Michael@eBible.org</v>
      </c>
      <c r="K661" t="str">
        <f>IF(0 = IFERROR(VLOOKUP(DBL_FullList!I661,ContactsDbl!B:D, 3, FALSE), ""), "", IFERROR(VLOOKUP(DBL_FullList!I661, ContactsDbl!B:D, 3, FALSE), ""))</f>
        <v>http://eBible.org</v>
      </c>
      <c r="L661">
        <f t="shared" si="21"/>
        <v>2</v>
      </c>
    </row>
    <row r="662" spans="1:12" x14ac:dyDescent="0.25">
      <c r="A662" t="s">
        <v>30</v>
      </c>
      <c r="B662" t="str">
        <f>IF(ISERROR(VLOOKUP(F662,STEP!A:A, 1, FALSE)), "N", "Y")</f>
        <v>N</v>
      </c>
      <c r="C662" t="str">
        <f>IF(ISERROR(VLOOKUP(E662, BibleInEveryLanguageTexts!A:A, 1, FALSE)), "N", "Y")</f>
        <v>Y</v>
      </c>
      <c r="D662" t="str">
        <f t="shared" si="20"/>
        <v/>
      </c>
      <c r="E662" t="s">
        <v>12</v>
      </c>
      <c r="F662" t="s">
        <v>10</v>
      </c>
      <c r="G662" t="s">
        <v>11</v>
      </c>
      <c r="H662" t="s">
        <v>29</v>
      </c>
      <c r="I662" t="s">
        <v>24</v>
      </c>
      <c r="J662" t="str">
        <f>IF(0 = IFERROR(VLOOKUP(DBL_FullList!I662, ContactsDbl!B:D, 2, FALSE), ""), "", IFERROR(VLOOKUP(DBL_FullList!I662, ContactsDbl!B:D, 2, FALSE), ""))</f>
        <v>Michael@eBible.org</v>
      </c>
      <c r="K662" t="str">
        <f>IF(0 = IFERROR(VLOOKUP(DBL_FullList!I662,ContactsDbl!B:D, 3, FALSE), ""), "", IFERROR(VLOOKUP(DBL_FullList!I662, ContactsDbl!B:D, 3, FALSE), ""))</f>
        <v>http://eBible.org</v>
      </c>
      <c r="L662">
        <f t="shared" si="21"/>
        <v>2</v>
      </c>
    </row>
    <row r="663" spans="1:12" x14ac:dyDescent="0.25">
      <c r="A663" t="s">
        <v>5145</v>
      </c>
      <c r="B663" t="str">
        <f>IF(ISERROR(VLOOKUP(F663,STEP!A:A, 1, FALSE)), "N", "Y")</f>
        <v>N</v>
      </c>
      <c r="C663" t="str">
        <f>IF(ISERROR(VLOOKUP(E663, BibleInEveryLanguageTexts!A:A, 1, FALSE)), "N", "Y")</f>
        <v>N</v>
      </c>
      <c r="D663" t="str">
        <f t="shared" si="20"/>
        <v>X</v>
      </c>
      <c r="E663" t="s">
        <v>4426</v>
      </c>
      <c r="F663" t="s">
        <v>4427</v>
      </c>
      <c r="G663" t="s">
        <v>2838</v>
      </c>
      <c r="H663" t="s">
        <v>5146</v>
      </c>
      <c r="I663" t="s">
        <v>2025</v>
      </c>
      <c r="J663" t="str">
        <f>IF(0 = IFERROR(VLOOKUP(DBL_FullList!I663, ContactsDbl!B:D, 2, FALSE), ""), "", IFERROR(VLOOKUP(DBL_FullList!I663, ContactsDbl!B:D, 2, FALSE), ""))</f>
        <v>abbf@biblesociety-bf.org</v>
      </c>
      <c r="K663" t="str">
        <f>IF(0 = IFERROR(VLOOKUP(DBL_FullList!I663,ContactsDbl!B:D, 3, FALSE), ""), "", IFERROR(VLOOKUP(DBL_FullList!I663, ContactsDbl!B:D, 3, FALSE), ""))</f>
        <v>http://alliancebiblique-bf.org/</v>
      </c>
      <c r="L663">
        <f t="shared" si="21"/>
        <v>2</v>
      </c>
    </row>
    <row r="664" spans="1:12" x14ac:dyDescent="0.25">
      <c r="A664" t="s">
        <v>5147</v>
      </c>
      <c r="B664" t="str">
        <f>IF(ISERROR(VLOOKUP(F664,STEP!A:A, 1, FALSE)), "N", "Y")</f>
        <v>N</v>
      </c>
      <c r="C664" t="str">
        <f>IF(ISERROR(VLOOKUP(E664, BibleInEveryLanguageTexts!A:A, 1, FALSE)), "N", "Y")</f>
        <v>N</v>
      </c>
      <c r="D664" t="str">
        <f t="shared" si="20"/>
        <v>X</v>
      </c>
      <c r="E664" t="s">
        <v>5148</v>
      </c>
      <c r="F664" t="s">
        <v>5149</v>
      </c>
      <c r="G664" t="s">
        <v>268</v>
      </c>
      <c r="H664" t="s">
        <v>5150</v>
      </c>
      <c r="I664" t="s">
        <v>2131</v>
      </c>
      <c r="J664" t="str">
        <f>IF(0 = IFERROR(VLOOKUP(DBL_FullList!I664, ContactsDbl!B:D, 2, FALSE), ""), "", IFERROR(VLOOKUP(DBL_FullList!I664, ContactsDbl!B:D, 2, FALSE), ""))</f>
        <v>dbl@biblesociety.ca</v>
      </c>
      <c r="K664" t="str">
        <f>IF(0 = IFERROR(VLOOKUP(DBL_FullList!I664,ContactsDbl!B:D, 3, FALSE), ""), "", IFERROR(VLOOKUP(DBL_FullList!I664, ContactsDbl!B:D, 3, FALSE), ""))</f>
        <v>http://www.biblesociety.ca</v>
      </c>
      <c r="L664">
        <f t="shared" si="21"/>
        <v>2</v>
      </c>
    </row>
    <row r="665" spans="1:12" x14ac:dyDescent="0.25">
      <c r="A665" t="s">
        <v>5151</v>
      </c>
      <c r="B665" t="str">
        <f>IF(ISERROR(VLOOKUP(F665,STEP!A:A, 1, FALSE)), "N", "Y")</f>
        <v>N</v>
      </c>
      <c r="C665" t="str">
        <f>IF(ISERROR(VLOOKUP(E665, BibleInEveryLanguageTexts!A:A, 1, FALSE)), "N", "Y")</f>
        <v>N</v>
      </c>
      <c r="D665" t="str">
        <f t="shared" si="20"/>
        <v>X</v>
      </c>
      <c r="E665" t="s">
        <v>1253</v>
      </c>
      <c r="F665" t="s">
        <v>3819</v>
      </c>
      <c r="G665" t="s">
        <v>3820</v>
      </c>
      <c r="H665" t="s">
        <v>5152</v>
      </c>
      <c r="I665" t="s">
        <v>3104</v>
      </c>
      <c r="J665" t="str">
        <f>IF(0 = IFERROR(VLOOKUP(DBL_FullList!I665, ContactsDbl!B:D, 2, FALSE), ""), "", IFERROR(VLOOKUP(DBL_FullList!I665, ContactsDbl!B:D, 2, FALSE), ""))</f>
        <v/>
      </c>
      <c r="K665" t="str">
        <f>IF(0 = IFERROR(VLOOKUP(DBL_FullList!I665,ContactsDbl!B:D, 3, FALSE), ""), "", IFERROR(VLOOKUP(DBL_FullList!I665, ContactsDbl!B:D, 3, FALSE), ""))</f>
        <v/>
      </c>
      <c r="L665">
        <f t="shared" si="21"/>
        <v>0</v>
      </c>
    </row>
    <row r="666" spans="1:12" x14ac:dyDescent="0.25">
      <c r="A666" t="s">
        <v>5153</v>
      </c>
      <c r="B666" t="str">
        <f>IF(ISERROR(VLOOKUP(F666,STEP!A:A, 1, FALSE)), "N", "Y")</f>
        <v>N</v>
      </c>
      <c r="C666" t="str">
        <f>IF(ISERROR(VLOOKUP(E666, BibleInEveryLanguageTexts!A:A, 1, FALSE)), "N", "Y")</f>
        <v>N</v>
      </c>
      <c r="D666" t="str">
        <f t="shared" si="20"/>
        <v>X</v>
      </c>
      <c r="E666" t="s">
        <v>4189</v>
      </c>
      <c r="F666" t="s">
        <v>4190</v>
      </c>
      <c r="G666" t="s">
        <v>4191</v>
      </c>
      <c r="H666" t="s">
        <v>5154</v>
      </c>
      <c r="I666" t="s">
        <v>3104</v>
      </c>
      <c r="J666" t="str">
        <f>IF(0 = IFERROR(VLOOKUP(DBL_FullList!I666, ContactsDbl!B:D, 2, FALSE), ""), "", IFERROR(VLOOKUP(DBL_FullList!I666, ContactsDbl!B:D, 2, FALSE), ""))</f>
        <v/>
      </c>
      <c r="K666" t="str">
        <f>IF(0 = IFERROR(VLOOKUP(DBL_FullList!I666,ContactsDbl!B:D, 3, FALSE), ""), "", IFERROR(VLOOKUP(DBL_FullList!I666, ContactsDbl!B:D, 3, FALSE), ""))</f>
        <v/>
      </c>
      <c r="L666">
        <f t="shared" si="21"/>
        <v>0</v>
      </c>
    </row>
    <row r="667" spans="1:12" x14ac:dyDescent="0.25">
      <c r="A667" t="s">
        <v>5155</v>
      </c>
      <c r="B667" t="str">
        <f>IF(ISERROR(VLOOKUP(F667,STEP!A:A, 1, FALSE)), "N", "Y")</f>
        <v>N</v>
      </c>
      <c r="C667" t="str">
        <f>IF(ISERROR(VLOOKUP(E667, BibleInEveryLanguageTexts!A:A, 1, FALSE)), "N", "Y")</f>
        <v>N</v>
      </c>
      <c r="D667" t="str">
        <f t="shared" si="20"/>
        <v>X</v>
      </c>
      <c r="E667" t="s">
        <v>5156</v>
      </c>
      <c r="F667" t="s">
        <v>5157</v>
      </c>
      <c r="G667" t="s">
        <v>110</v>
      </c>
      <c r="H667" t="s">
        <v>5158</v>
      </c>
      <c r="I667" t="s">
        <v>2661</v>
      </c>
      <c r="J667" t="str">
        <f>IF(0 = IFERROR(VLOOKUP(DBL_FullList!I667, ContactsDbl!B:D, 2, FALSE), ""), "", IFERROR(VLOOKUP(DBL_FullList!I667, ContactsDbl!B:D, 2, FALSE), ""))</f>
        <v>dbladmin_intl@sil.org</v>
      </c>
      <c r="K667" t="str">
        <f>IF(0 = IFERROR(VLOOKUP(DBL_FullList!I667,ContactsDbl!B:D, 3, FALSE), ""), "", IFERROR(VLOOKUP(DBL_FullList!I667, ContactsDbl!B:D, 3, FALSE), ""))</f>
        <v>http://www.wycliffe.org</v>
      </c>
      <c r="L667">
        <f t="shared" si="21"/>
        <v>2</v>
      </c>
    </row>
    <row r="668" spans="1:12" x14ac:dyDescent="0.25">
      <c r="A668" t="s">
        <v>5159</v>
      </c>
      <c r="B668" t="str">
        <f>IF(ISERROR(VLOOKUP(F668,STEP!A:A, 1, FALSE)), "N", "Y")</f>
        <v>N</v>
      </c>
      <c r="C668" t="str">
        <f>IF(ISERROR(VLOOKUP(E668, BibleInEveryLanguageTexts!A:A, 1, FALSE)), "N", "Y")</f>
        <v>N</v>
      </c>
      <c r="D668" t="str">
        <f t="shared" si="20"/>
        <v>X</v>
      </c>
      <c r="E668" t="s">
        <v>5160</v>
      </c>
      <c r="F668" t="s">
        <v>5161</v>
      </c>
      <c r="G668" t="s">
        <v>2743</v>
      </c>
      <c r="H668" t="s">
        <v>5162</v>
      </c>
      <c r="I668" t="s">
        <v>2661</v>
      </c>
      <c r="J668" t="str">
        <f>IF(0 = IFERROR(VLOOKUP(DBL_FullList!I668, ContactsDbl!B:D, 2, FALSE), ""), "", IFERROR(VLOOKUP(DBL_FullList!I668, ContactsDbl!B:D, 2, FALSE), ""))</f>
        <v>dbladmin_intl@sil.org</v>
      </c>
      <c r="K668" t="str">
        <f>IF(0 = IFERROR(VLOOKUP(DBL_FullList!I668,ContactsDbl!B:D, 3, FALSE), ""), "", IFERROR(VLOOKUP(DBL_FullList!I668, ContactsDbl!B:D, 3, FALSE), ""))</f>
        <v>http://www.wycliffe.org</v>
      </c>
      <c r="L668">
        <f t="shared" si="21"/>
        <v>2</v>
      </c>
    </row>
    <row r="669" spans="1:12" x14ac:dyDescent="0.25">
      <c r="A669" t="s">
        <v>5163</v>
      </c>
      <c r="B669" t="str">
        <f>IF(ISERROR(VLOOKUP(F669,STEP!A:A, 1, FALSE)), "N", "Y")</f>
        <v>N</v>
      </c>
      <c r="C669" t="str">
        <f>IF(ISERROR(VLOOKUP(E669, BibleInEveryLanguageTexts!A:A, 1, FALSE)), "N", "Y")</f>
        <v>N</v>
      </c>
      <c r="D669" t="str">
        <f t="shared" si="20"/>
        <v>X</v>
      </c>
      <c r="E669" t="s">
        <v>5164</v>
      </c>
      <c r="F669" t="s">
        <v>5165</v>
      </c>
      <c r="G669" t="s">
        <v>2838</v>
      </c>
      <c r="H669" t="s">
        <v>5166</v>
      </c>
      <c r="I669" t="s">
        <v>2661</v>
      </c>
      <c r="J669" t="str">
        <f>IF(0 = IFERROR(VLOOKUP(DBL_FullList!I669, ContactsDbl!B:D, 2, FALSE), ""), "", IFERROR(VLOOKUP(DBL_FullList!I669, ContactsDbl!B:D, 2, FALSE), ""))</f>
        <v>dbladmin_intl@sil.org</v>
      </c>
      <c r="K669" t="str">
        <f>IF(0 = IFERROR(VLOOKUP(DBL_FullList!I669,ContactsDbl!B:D, 3, FALSE), ""), "", IFERROR(VLOOKUP(DBL_FullList!I669, ContactsDbl!B:D, 3, FALSE), ""))</f>
        <v>http://www.wycliffe.org</v>
      </c>
      <c r="L669">
        <f t="shared" si="21"/>
        <v>2</v>
      </c>
    </row>
    <row r="670" spans="1:12" x14ac:dyDescent="0.25">
      <c r="A670" t="s">
        <v>5167</v>
      </c>
      <c r="B670" t="str">
        <f>IF(ISERROR(VLOOKUP(F670,STEP!A:A, 1, FALSE)), "N", "Y")</f>
        <v>N</v>
      </c>
      <c r="C670" t="str">
        <f>IF(ISERROR(VLOOKUP(E670, BibleInEveryLanguageTexts!A:A, 1, FALSE)), "N", "Y")</f>
        <v>N</v>
      </c>
      <c r="D670" t="str">
        <f t="shared" si="20"/>
        <v>X</v>
      </c>
      <c r="E670" t="s">
        <v>5168</v>
      </c>
      <c r="F670" t="s">
        <v>5169</v>
      </c>
      <c r="G670" t="s">
        <v>268</v>
      </c>
      <c r="H670" t="s">
        <v>5170</v>
      </c>
      <c r="I670" t="s">
        <v>3104</v>
      </c>
      <c r="J670" t="str">
        <f>IF(0 = IFERROR(VLOOKUP(DBL_FullList!I670, ContactsDbl!B:D, 2, FALSE), ""), "", IFERROR(VLOOKUP(DBL_FullList!I670, ContactsDbl!B:D, 2, FALSE), ""))</f>
        <v/>
      </c>
      <c r="K670" t="str">
        <f>IF(0 = IFERROR(VLOOKUP(DBL_FullList!I670,ContactsDbl!B:D, 3, FALSE), ""), "", IFERROR(VLOOKUP(DBL_FullList!I670, ContactsDbl!B:D, 3, FALSE), ""))</f>
        <v/>
      </c>
      <c r="L670">
        <f t="shared" si="21"/>
        <v>0</v>
      </c>
    </row>
    <row r="671" spans="1:12" x14ac:dyDescent="0.25">
      <c r="A671" t="s">
        <v>344</v>
      </c>
      <c r="B671" t="str">
        <f>IF(ISERROR(VLOOKUP(F671,STEP!A:A, 1, FALSE)), "N", "Y")</f>
        <v>N</v>
      </c>
      <c r="C671" t="str">
        <f>IF(ISERROR(VLOOKUP(E671, BibleInEveryLanguageTexts!A:A, 1, FALSE)), "N", "Y")</f>
        <v>Y</v>
      </c>
      <c r="D671" t="str">
        <f t="shared" si="20"/>
        <v/>
      </c>
      <c r="E671" t="s">
        <v>12</v>
      </c>
      <c r="F671" t="s">
        <v>10</v>
      </c>
      <c r="G671" t="s">
        <v>11</v>
      </c>
      <c r="H671" t="s">
        <v>343</v>
      </c>
      <c r="I671" t="s">
        <v>24</v>
      </c>
      <c r="J671" t="str">
        <f>IF(0 = IFERROR(VLOOKUP(DBL_FullList!I671, ContactsDbl!B:D, 2, FALSE), ""), "", IFERROR(VLOOKUP(DBL_FullList!I671, ContactsDbl!B:D, 2, FALSE), ""))</f>
        <v>Michael@eBible.org</v>
      </c>
      <c r="K671" t="str">
        <f>IF(0 = IFERROR(VLOOKUP(DBL_FullList!I671,ContactsDbl!B:D, 3, FALSE), ""), "", IFERROR(VLOOKUP(DBL_FullList!I671, ContactsDbl!B:D, 3, FALSE), ""))</f>
        <v>http://eBible.org</v>
      </c>
      <c r="L671">
        <f t="shared" si="21"/>
        <v>2</v>
      </c>
    </row>
    <row r="672" spans="1:12" x14ac:dyDescent="0.25">
      <c r="A672" t="s">
        <v>480</v>
      </c>
      <c r="B672" t="str">
        <f>IF(ISERROR(VLOOKUP(F672,STEP!A:A, 1, FALSE)), "N", "Y")</f>
        <v>N</v>
      </c>
      <c r="C672" t="str">
        <f>IF(ISERROR(VLOOKUP(E672, BibleInEveryLanguageTexts!A:A, 1, FALSE)), "N", "Y")</f>
        <v>Y</v>
      </c>
      <c r="D672" t="str">
        <f t="shared" si="20"/>
        <v/>
      </c>
      <c r="E672" t="s">
        <v>12</v>
      </c>
      <c r="F672" t="s">
        <v>10</v>
      </c>
      <c r="G672" t="s">
        <v>27</v>
      </c>
      <c r="H672" t="s">
        <v>5171</v>
      </c>
      <c r="I672" t="s">
        <v>24</v>
      </c>
      <c r="J672" t="str">
        <f>IF(0 = IFERROR(VLOOKUP(DBL_FullList!I672, ContactsDbl!B:D, 2, FALSE), ""), "", IFERROR(VLOOKUP(DBL_FullList!I672, ContactsDbl!B:D, 2, FALSE), ""))</f>
        <v>Michael@eBible.org</v>
      </c>
      <c r="K672" t="str">
        <f>IF(0 = IFERROR(VLOOKUP(DBL_FullList!I672,ContactsDbl!B:D, 3, FALSE), ""), "", IFERROR(VLOOKUP(DBL_FullList!I672, ContactsDbl!B:D, 3, FALSE), ""))</f>
        <v>http://eBible.org</v>
      </c>
      <c r="L672">
        <f t="shared" si="21"/>
        <v>2</v>
      </c>
    </row>
    <row r="673" spans="1:12" x14ac:dyDescent="0.25">
      <c r="A673" s="1" t="s">
        <v>5172</v>
      </c>
      <c r="B673" t="str">
        <f>IF(ISERROR(VLOOKUP(F673,STEP!A:A, 1, FALSE)), "N", "Y")</f>
        <v>N</v>
      </c>
      <c r="C673" t="str">
        <f>IF(ISERROR(VLOOKUP(E673, BibleInEveryLanguageTexts!A:A, 1, FALSE)), "N", "Y")</f>
        <v>N</v>
      </c>
      <c r="D673" t="str">
        <f t="shared" si="20"/>
        <v>X</v>
      </c>
      <c r="E673" t="s">
        <v>5173</v>
      </c>
      <c r="F673" t="s">
        <v>5174</v>
      </c>
      <c r="G673" t="s">
        <v>2885</v>
      </c>
      <c r="H673" t="s">
        <v>5175</v>
      </c>
      <c r="I673" t="s">
        <v>2182</v>
      </c>
      <c r="J673" t="str">
        <f>IF(0 = IFERROR(VLOOKUP(DBL_FullList!I673, ContactsDbl!B:D, 2, FALSE), ""), "", IFERROR(VLOOKUP(DBL_FullList!I673, ContactsDbl!B:D, 2, FALSE), ""))</f>
        <v/>
      </c>
      <c r="K673" t="str">
        <f>IF(0 = IFERROR(VLOOKUP(DBL_FullList!I673,ContactsDbl!B:D, 3, FALSE), ""), "", IFERROR(VLOOKUP(DBL_FullList!I673, ContactsDbl!B:D, 3, FALSE), ""))</f>
        <v>http://www.biblesociety-cd.org/</v>
      </c>
      <c r="L673">
        <f t="shared" si="21"/>
        <v>1</v>
      </c>
    </row>
    <row r="674" spans="1:12" x14ac:dyDescent="0.25">
      <c r="A674" t="s">
        <v>5176</v>
      </c>
      <c r="B674" t="str">
        <f>IF(ISERROR(VLOOKUP(F674,STEP!A:A, 1, FALSE)), "N", "Y")</f>
        <v>N</v>
      </c>
      <c r="C674" t="str">
        <f>IF(ISERROR(VLOOKUP(E674, BibleInEveryLanguageTexts!A:A, 1, FALSE)), "N", "Y")</f>
        <v>N</v>
      </c>
      <c r="D674" t="str">
        <f t="shared" si="20"/>
        <v>X</v>
      </c>
      <c r="E674" t="s">
        <v>5177</v>
      </c>
      <c r="F674" t="s">
        <v>5178</v>
      </c>
      <c r="G674" t="s">
        <v>333</v>
      </c>
      <c r="H674" t="s">
        <v>5179</v>
      </c>
      <c r="I674" t="s">
        <v>2661</v>
      </c>
      <c r="J674" t="str">
        <f>IF(0 = IFERROR(VLOOKUP(DBL_FullList!I674, ContactsDbl!B:D, 2, FALSE), ""), "", IFERROR(VLOOKUP(DBL_FullList!I674, ContactsDbl!B:D, 2, FALSE), ""))</f>
        <v>dbladmin_intl@sil.org</v>
      </c>
      <c r="K674" t="str">
        <f>IF(0 = IFERROR(VLOOKUP(DBL_FullList!I674,ContactsDbl!B:D, 3, FALSE), ""), "", IFERROR(VLOOKUP(DBL_FullList!I674, ContactsDbl!B:D, 3, FALSE), ""))</f>
        <v>http://www.wycliffe.org</v>
      </c>
      <c r="L674">
        <f t="shared" si="21"/>
        <v>2</v>
      </c>
    </row>
    <row r="675" spans="1:12" x14ac:dyDescent="0.25">
      <c r="A675" t="s">
        <v>5180</v>
      </c>
      <c r="B675" t="str">
        <f>IF(ISERROR(VLOOKUP(F675,STEP!A:A, 1, FALSE)), "N", "Y")</f>
        <v>N</v>
      </c>
      <c r="C675" t="str">
        <f>IF(ISERROR(VLOOKUP(E675, BibleInEveryLanguageTexts!A:A, 1, FALSE)), "N", "Y")</f>
        <v>N</v>
      </c>
      <c r="D675" t="str">
        <f t="shared" si="20"/>
        <v>X</v>
      </c>
      <c r="E675" t="s">
        <v>3072</v>
      </c>
      <c r="F675" t="s">
        <v>3073</v>
      </c>
      <c r="G675" t="s">
        <v>3074</v>
      </c>
      <c r="H675" t="s">
        <v>5181</v>
      </c>
      <c r="I675" t="s">
        <v>2673</v>
      </c>
      <c r="J675" t="str">
        <f>IF(0 = IFERROR(VLOOKUP(DBL_FullList!I675, ContactsDbl!B:D, 2, FALSE), ""), "", IFERROR(VLOOKUP(DBL_FullList!I675, ContactsDbl!B:D, 2, FALSE), ""))</f>
        <v>gnyirenda@biblesociety-zambia.org</v>
      </c>
      <c r="K675" t="str">
        <f>IF(0 = IFERROR(VLOOKUP(DBL_FullList!I675,ContactsDbl!B:D, 3, FALSE), ""), "", IFERROR(VLOOKUP(DBL_FullList!I675, ContactsDbl!B:D, 3, FALSE), ""))</f>
        <v>www.biblesociety-zambia.org</v>
      </c>
      <c r="L675">
        <f t="shared" si="21"/>
        <v>2</v>
      </c>
    </row>
    <row r="676" spans="1:12" x14ac:dyDescent="0.25">
      <c r="A676" t="s">
        <v>5182</v>
      </c>
      <c r="B676" t="str">
        <f>IF(ISERROR(VLOOKUP(F676,STEP!A:A, 1, FALSE)), "N", "Y")</f>
        <v>N</v>
      </c>
      <c r="C676" t="str">
        <f>IF(ISERROR(VLOOKUP(E676, BibleInEveryLanguageTexts!A:A, 1, FALSE)), "N", "Y")</f>
        <v>N</v>
      </c>
      <c r="D676" t="str">
        <f t="shared" si="20"/>
        <v>X</v>
      </c>
      <c r="E676" t="s">
        <v>5183</v>
      </c>
      <c r="F676" t="s">
        <v>5184</v>
      </c>
      <c r="G676" t="s">
        <v>5185</v>
      </c>
      <c r="H676" t="s">
        <v>5186</v>
      </c>
      <c r="I676" t="s">
        <v>2655</v>
      </c>
      <c r="J676" t="str">
        <f>IF(0 = IFERROR(VLOOKUP(DBL_FullList!I676, ContactsDbl!B:D, 2, FALSE), ""), "", IFERROR(VLOOKUP(DBL_FullList!I676, ContactsDbl!B:D, 2, FALSE), ""))</f>
        <v/>
      </c>
      <c r="K676" t="str">
        <f>IF(0 = IFERROR(VLOOKUP(DBL_FullList!I676,ContactsDbl!B:D, 3, FALSE), ""), "", IFERROR(VLOOKUP(DBL_FullList!I676, ContactsDbl!B:D, 3, FALSE), ""))</f>
        <v>www.ulsterscotslanguage.com</v>
      </c>
      <c r="L676">
        <f t="shared" si="21"/>
        <v>1</v>
      </c>
    </row>
    <row r="677" spans="1:12" x14ac:dyDescent="0.25">
      <c r="A677" t="s">
        <v>5187</v>
      </c>
      <c r="B677" t="str">
        <f>IF(ISERROR(VLOOKUP(F677,STEP!A:A, 1, FALSE)), "N", "Y")</f>
        <v>N</v>
      </c>
      <c r="C677" t="str">
        <f>IF(ISERROR(VLOOKUP(E677, BibleInEveryLanguageTexts!A:A, 1, FALSE)), "N", "Y")</f>
        <v>N</v>
      </c>
      <c r="D677" t="str">
        <f t="shared" si="20"/>
        <v>X</v>
      </c>
      <c r="E677" t="s">
        <v>5188</v>
      </c>
      <c r="F677" t="s">
        <v>5189</v>
      </c>
      <c r="G677" t="s">
        <v>3124</v>
      </c>
      <c r="H677" t="s">
        <v>3364</v>
      </c>
      <c r="I677" t="s">
        <v>2630</v>
      </c>
      <c r="J677" t="str">
        <f>IF(0 = IFERROR(VLOOKUP(DBL_FullList!I677, ContactsDbl!B:D, 2, FALSE), ""), "", IFERROR(VLOOKUP(DBL_FullList!I677, ContactsDbl!B:D, 2, FALSE), ""))</f>
        <v/>
      </c>
      <c r="K677" t="str">
        <f>IF(0 = IFERROR(VLOOKUP(DBL_FullList!I677,ContactsDbl!B:D, 3, FALSE), ""), "", IFERROR(VLOOKUP(DBL_FullList!I677, ContactsDbl!B:D, 3, FALSE), ""))</f>
        <v>http://www.biblesociety-togo.org/</v>
      </c>
      <c r="L677">
        <f t="shared" si="21"/>
        <v>1</v>
      </c>
    </row>
    <row r="678" spans="1:12" x14ac:dyDescent="0.25">
      <c r="A678" t="s">
        <v>5190</v>
      </c>
      <c r="B678" t="str">
        <f>IF(ISERROR(VLOOKUP(F678,STEP!A:A, 1, FALSE)), "N", "Y")</f>
        <v>N</v>
      </c>
      <c r="C678" t="str">
        <f>IF(ISERROR(VLOOKUP(E678, BibleInEveryLanguageTexts!A:A, 1, FALSE)), "N", "Y")</f>
        <v>N</v>
      </c>
      <c r="D678" t="str">
        <f t="shared" si="20"/>
        <v>X</v>
      </c>
      <c r="E678" t="s">
        <v>219</v>
      </c>
      <c r="F678" t="s">
        <v>217</v>
      </c>
      <c r="G678" t="s">
        <v>218</v>
      </c>
      <c r="H678" t="s">
        <v>5191</v>
      </c>
      <c r="I678" t="s">
        <v>2241</v>
      </c>
      <c r="J678" t="str">
        <f>IF(0 = IFERROR(VLOOKUP(DBL_FullList!I678, ContactsDbl!B:D, 2, FALSE), ""), "", IFERROR(VLOOKUP(DBL_FullList!I678, ContactsDbl!B:D, 2, FALSE), ""))</f>
        <v>dbl@dbg.de</v>
      </c>
      <c r="K678" t="str">
        <f>IF(0 = IFERROR(VLOOKUP(DBL_FullList!I678,ContactsDbl!B:D, 3, FALSE), ""), "", IFERROR(VLOOKUP(DBL_FullList!I678, ContactsDbl!B:D, 3, FALSE), ""))</f>
        <v>http://www.die-bibel.de</v>
      </c>
      <c r="L678">
        <f t="shared" si="21"/>
        <v>2</v>
      </c>
    </row>
    <row r="679" spans="1:12" x14ac:dyDescent="0.25">
      <c r="A679" t="s">
        <v>5192</v>
      </c>
      <c r="B679" t="str">
        <f>IF(ISERROR(VLOOKUP(F679,STEP!A:A, 1, FALSE)), "N", "Y")</f>
        <v>N</v>
      </c>
      <c r="C679" t="str">
        <f>IF(ISERROR(VLOOKUP(E679, BibleInEveryLanguageTexts!A:A, 1, FALSE)), "N", "Y")</f>
        <v>N</v>
      </c>
      <c r="D679" t="str">
        <f t="shared" si="20"/>
        <v>X</v>
      </c>
      <c r="E679" t="s">
        <v>5193</v>
      </c>
      <c r="F679" t="s">
        <v>5194</v>
      </c>
      <c r="G679" t="s">
        <v>2984</v>
      </c>
      <c r="H679" t="s">
        <v>5195</v>
      </c>
      <c r="I679" t="s">
        <v>2661</v>
      </c>
      <c r="J679" t="str">
        <f>IF(0 = IFERROR(VLOOKUP(DBL_FullList!I679, ContactsDbl!B:D, 2, FALSE), ""), "", IFERROR(VLOOKUP(DBL_FullList!I679, ContactsDbl!B:D, 2, FALSE), ""))</f>
        <v>dbladmin_intl@sil.org</v>
      </c>
      <c r="K679" t="str">
        <f>IF(0 = IFERROR(VLOOKUP(DBL_FullList!I679,ContactsDbl!B:D, 3, FALSE), ""), "", IFERROR(VLOOKUP(DBL_FullList!I679, ContactsDbl!B:D, 3, FALSE), ""))</f>
        <v>http://www.wycliffe.org</v>
      </c>
      <c r="L679">
        <f t="shared" si="21"/>
        <v>2</v>
      </c>
    </row>
    <row r="680" spans="1:12" x14ac:dyDescent="0.25">
      <c r="A680" s="1" t="s">
        <v>5196</v>
      </c>
      <c r="B680" t="str">
        <f>IF(ISERROR(VLOOKUP(F680,STEP!A:A, 1, FALSE)), "N", "Y")</f>
        <v>N</v>
      </c>
      <c r="C680" t="str">
        <f>IF(ISERROR(VLOOKUP(E680, BibleInEveryLanguageTexts!A:A, 1, FALSE)), "N", "Y")</f>
        <v>N</v>
      </c>
      <c r="D680" t="str">
        <f t="shared" si="20"/>
        <v>X</v>
      </c>
      <c r="E680" t="s">
        <v>4837</v>
      </c>
      <c r="F680" t="s">
        <v>4838</v>
      </c>
      <c r="G680" t="s">
        <v>218</v>
      </c>
      <c r="H680" t="s">
        <v>5197</v>
      </c>
      <c r="I680" t="s">
        <v>3104</v>
      </c>
      <c r="J680" t="str">
        <f>IF(0 = IFERROR(VLOOKUP(DBL_FullList!I680, ContactsDbl!B:D, 2, FALSE), ""), "", IFERROR(VLOOKUP(DBL_FullList!I680, ContactsDbl!B:D, 2, FALSE), ""))</f>
        <v/>
      </c>
      <c r="K680" t="str">
        <f>IF(0 = IFERROR(VLOOKUP(DBL_FullList!I680,ContactsDbl!B:D, 3, FALSE), ""), "", IFERROR(VLOOKUP(DBL_FullList!I680, ContactsDbl!B:D, 3, FALSE), ""))</f>
        <v/>
      </c>
      <c r="L680">
        <f t="shared" si="21"/>
        <v>0</v>
      </c>
    </row>
    <row r="681" spans="1:12" x14ac:dyDescent="0.25">
      <c r="A681" t="s">
        <v>5198</v>
      </c>
      <c r="B681" t="str">
        <f>IF(ISERROR(VLOOKUP(F681,STEP!A:A, 1, FALSE)), "N", "Y")</f>
        <v>N</v>
      </c>
      <c r="C681" t="str">
        <f>IF(ISERROR(VLOOKUP(E681, BibleInEveryLanguageTexts!A:A, 1, FALSE)), "N", "Y")</f>
        <v>N</v>
      </c>
      <c r="D681" t="str">
        <f t="shared" si="20"/>
        <v>X</v>
      </c>
      <c r="E681" t="s">
        <v>5199</v>
      </c>
      <c r="F681" t="s">
        <v>5200</v>
      </c>
      <c r="G681" t="s">
        <v>3281</v>
      </c>
      <c r="H681" t="s">
        <v>5201</v>
      </c>
      <c r="I681" t="s">
        <v>2417</v>
      </c>
      <c r="J681" t="str">
        <f>IF(0 = IFERROR(VLOOKUP(DBL_FullList!I681, ContactsDbl!B:D, 2, FALSE), ""), "", IFERROR(VLOOKUP(DBL_FullList!I681, ContactsDbl!B:D, 2, FALSE), ""))</f>
        <v>mathewpunnoose@biblemalaysia.org</v>
      </c>
      <c r="K681" t="str">
        <f>IF(0 = IFERROR(VLOOKUP(DBL_FullList!I681,ContactsDbl!B:D, 3, FALSE), ""), "", IFERROR(VLOOKUP(DBL_FullList!I681, ContactsDbl!B:D, 3, FALSE), ""))</f>
        <v>http://www.bible.org.my/</v>
      </c>
      <c r="L681">
        <f t="shared" si="21"/>
        <v>2</v>
      </c>
    </row>
    <row r="682" spans="1:12" x14ac:dyDescent="0.25">
      <c r="A682" t="s">
        <v>5202</v>
      </c>
      <c r="B682" t="str">
        <f>IF(ISERROR(VLOOKUP(F682,STEP!A:A, 1, FALSE)), "N", "Y")</f>
        <v>Y</v>
      </c>
      <c r="C682" t="str">
        <f>IF(ISERROR(VLOOKUP(E682, BibleInEveryLanguageTexts!A:A, 1, FALSE)), "N", "Y")</f>
        <v>N</v>
      </c>
      <c r="D682" t="str">
        <f t="shared" si="20"/>
        <v/>
      </c>
      <c r="E682" t="s">
        <v>5203</v>
      </c>
      <c r="F682" t="s">
        <v>5204</v>
      </c>
      <c r="G682" t="s">
        <v>48</v>
      </c>
      <c r="H682" t="s">
        <v>5205</v>
      </c>
      <c r="I682" t="s">
        <v>2661</v>
      </c>
      <c r="J682" t="str">
        <f>IF(0 = IFERROR(VLOOKUP(DBL_FullList!I682, ContactsDbl!B:D, 2, FALSE), ""), "", IFERROR(VLOOKUP(DBL_FullList!I682, ContactsDbl!B:D, 2, FALSE), ""))</f>
        <v>dbladmin_intl@sil.org</v>
      </c>
      <c r="K682" t="str">
        <f>IF(0 = IFERROR(VLOOKUP(DBL_FullList!I682,ContactsDbl!B:D, 3, FALSE), ""), "", IFERROR(VLOOKUP(DBL_FullList!I682, ContactsDbl!B:D, 3, FALSE), ""))</f>
        <v>http://www.wycliffe.org</v>
      </c>
      <c r="L682">
        <f t="shared" si="21"/>
        <v>2</v>
      </c>
    </row>
    <row r="683" spans="1:12" x14ac:dyDescent="0.25">
      <c r="A683" t="s">
        <v>5206</v>
      </c>
      <c r="B683" t="str">
        <f>IF(ISERROR(VLOOKUP(F683,STEP!A:A, 1, FALSE)), "N", "Y")</f>
        <v>N</v>
      </c>
      <c r="C683" t="str">
        <f>IF(ISERROR(VLOOKUP(E683, BibleInEveryLanguageTexts!A:A, 1, FALSE)), "N", "Y")</f>
        <v>N</v>
      </c>
      <c r="D683" t="str">
        <f t="shared" si="20"/>
        <v>X</v>
      </c>
      <c r="E683" t="s">
        <v>5207</v>
      </c>
      <c r="F683" t="s">
        <v>5208</v>
      </c>
      <c r="G683" t="s">
        <v>4050</v>
      </c>
      <c r="H683" t="s">
        <v>5209</v>
      </c>
      <c r="I683" t="s">
        <v>2433</v>
      </c>
      <c r="J683" t="str">
        <f>IF(0 = IFERROR(VLOOKUP(DBL_FullList!I683, ContactsDbl!B:D, 2, FALSE), ""), "", IFERROR(VLOOKUP(DBL_FullList!I683, ContactsDbl!B:D, 2, FALSE), ""))</f>
        <v>igalicia@sbm.mx</v>
      </c>
      <c r="K683" t="str">
        <f>IF(0 = IFERROR(VLOOKUP(DBL_FullList!I683,ContactsDbl!B:D, 3, FALSE), ""), "", IFERROR(VLOOKUP(DBL_FullList!I683, ContactsDbl!B:D, 3, FALSE), ""))</f>
        <v>www.sbm.mx</v>
      </c>
      <c r="L683">
        <f t="shared" si="21"/>
        <v>2</v>
      </c>
    </row>
    <row r="684" spans="1:12" x14ac:dyDescent="0.25">
      <c r="A684" t="s">
        <v>5210</v>
      </c>
      <c r="B684" t="str">
        <f>IF(ISERROR(VLOOKUP(F684,STEP!A:A, 1, FALSE)), "N", "Y")</f>
        <v>Y</v>
      </c>
      <c r="C684" t="str">
        <f>IF(ISERROR(VLOOKUP(E684, BibleInEveryLanguageTexts!A:A, 1, FALSE)), "N", "Y")</f>
        <v>N</v>
      </c>
      <c r="D684" t="str">
        <f t="shared" si="20"/>
        <v/>
      </c>
      <c r="E684" t="s">
        <v>5211</v>
      </c>
      <c r="F684" t="s">
        <v>5212</v>
      </c>
      <c r="G684" t="s">
        <v>11</v>
      </c>
      <c r="H684" t="s">
        <v>5213</v>
      </c>
      <c r="I684" t="s">
        <v>1964</v>
      </c>
      <c r="J684" t="str">
        <f>IF(0 = IFERROR(VLOOKUP(DBL_FullList!I684, ContactsDbl!B:D, 2, FALSE), ""), "", IFERROR(VLOOKUP(DBL_FullList!I684, ContactsDbl!B:D, 2, FALSE), ""))</f>
        <v/>
      </c>
      <c r="K684" t="str">
        <f>IF(0 = IFERROR(VLOOKUP(DBL_FullList!I684,ContactsDbl!B:D, 3, FALSE), ""), "", IFERROR(VLOOKUP(DBL_FullList!I684, ContactsDbl!B:D, 3, FALSE), ""))</f>
        <v>http://www.americanbible.org/</v>
      </c>
      <c r="L684">
        <f t="shared" si="21"/>
        <v>1</v>
      </c>
    </row>
    <row r="685" spans="1:12" x14ac:dyDescent="0.25">
      <c r="A685" t="s">
        <v>5214</v>
      </c>
      <c r="B685" t="str">
        <f>IF(ISERROR(VLOOKUP(F685,STEP!A:A, 1, FALSE)), "N", "Y")</f>
        <v>N</v>
      </c>
      <c r="C685" t="str">
        <f>IF(ISERROR(VLOOKUP(E685, BibleInEveryLanguageTexts!A:A, 1, FALSE)), "N", "Y")</f>
        <v>N</v>
      </c>
      <c r="D685" t="str">
        <f t="shared" si="20"/>
        <v>X</v>
      </c>
      <c r="E685" t="s">
        <v>5215</v>
      </c>
      <c r="F685" t="s">
        <v>5216</v>
      </c>
      <c r="G685" t="s">
        <v>2885</v>
      </c>
      <c r="H685" t="s">
        <v>5217</v>
      </c>
      <c r="I685" t="s">
        <v>2182</v>
      </c>
      <c r="J685" t="str">
        <f>IF(0 = IFERROR(VLOOKUP(DBL_FullList!I685, ContactsDbl!B:D, 2, FALSE), ""), "", IFERROR(VLOOKUP(DBL_FullList!I685, ContactsDbl!B:D, 2, FALSE), ""))</f>
        <v/>
      </c>
      <c r="K685" t="str">
        <f>IF(0 = IFERROR(VLOOKUP(DBL_FullList!I685,ContactsDbl!B:D, 3, FALSE), ""), "", IFERROR(VLOOKUP(DBL_FullList!I685, ContactsDbl!B:D, 3, FALSE), ""))</f>
        <v>http://www.biblesociety-cd.org/</v>
      </c>
      <c r="L685">
        <f t="shared" si="21"/>
        <v>1</v>
      </c>
    </row>
    <row r="686" spans="1:12" x14ac:dyDescent="0.25">
      <c r="A686" t="s">
        <v>5218</v>
      </c>
      <c r="B686" t="str">
        <f>IF(ISERROR(VLOOKUP(F686,STEP!A:A, 1, FALSE)), "N", "Y")</f>
        <v>N</v>
      </c>
      <c r="C686" t="str">
        <f>IF(ISERROR(VLOOKUP(E686, BibleInEveryLanguageTexts!A:A, 1, FALSE)), "N", "Y")</f>
        <v>N</v>
      </c>
      <c r="D686" t="str">
        <f t="shared" si="20"/>
        <v>X</v>
      </c>
      <c r="E686" t="s">
        <v>548</v>
      </c>
      <c r="F686" t="s">
        <v>546</v>
      </c>
      <c r="G686" t="s">
        <v>547</v>
      </c>
      <c r="H686" t="s">
        <v>5219</v>
      </c>
      <c r="I686" t="s">
        <v>2603</v>
      </c>
      <c r="J686" t="str">
        <f>IF(0 = IFERROR(VLOOKUP(DBL_FullList!I686, ContactsDbl!B:D, 2, FALSE), ""), "", IFERROR(VLOOKUP(DBL_FullList!I686, ContactsDbl!B:D, 2, FALSE), ""))</f>
        <v>mikael.winninge@bibeln.se</v>
      </c>
      <c r="K686" t="str">
        <f>IF(0 = IFERROR(VLOOKUP(DBL_FullList!I686,ContactsDbl!B:D, 3, FALSE), ""), "", IFERROR(VLOOKUP(DBL_FullList!I686, ContactsDbl!B:D, 3, FALSE), ""))</f>
        <v>http://www.bibelsallskapet.se/</v>
      </c>
      <c r="L686">
        <f t="shared" si="21"/>
        <v>2</v>
      </c>
    </row>
    <row r="687" spans="1:12" x14ac:dyDescent="0.25">
      <c r="A687" t="s">
        <v>5220</v>
      </c>
      <c r="B687" t="str">
        <f>IF(ISERROR(VLOOKUP(F687,STEP!A:A, 1, FALSE)), "N", "Y")</f>
        <v>N</v>
      </c>
      <c r="C687" t="str">
        <f>IF(ISERROR(VLOOKUP(E687, BibleInEveryLanguageTexts!A:A, 1, FALSE)), "N", "Y")</f>
        <v>N</v>
      </c>
      <c r="D687" t="str">
        <f t="shared" si="20"/>
        <v>X</v>
      </c>
      <c r="E687" t="s">
        <v>5221</v>
      </c>
      <c r="F687" t="s">
        <v>5222</v>
      </c>
      <c r="G687" t="s">
        <v>3074</v>
      </c>
      <c r="H687" t="s">
        <v>5223</v>
      </c>
      <c r="I687" t="s">
        <v>2673</v>
      </c>
      <c r="J687" t="str">
        <f>IF(0 = IFERROR(VLOOKUP(DBL_FullList!I687, ContactsDbl!B:D, 2, FALSE), ""), "", IFERROR(VLOOKUP(DBL_FullList!I687, ContactsDbl!B:D, 2, FALSE), ""))</f>
        <v>gnyirenda@biblesociety-zambia.org</v>
      </c>
      <c r="K687" t="str">
        <f>IF(0 = IFERROR(VLOOKUP(DBL_FullList!I687,ContactsDbl!B:D, 3, FALSE), ""), "", IFERROR(VLOOKUP(DBL_FullList!I687, ContactsDbl!B:D, 3, FALSE), ""))</f>
        <v>www.biblesociety-zambia.org</v>
      </c>
      <c r="L687">
        <f t="shared" si="21"/>
        <v>2</v>
      </c>
    </row>
    <row r="688" spans="1:12" x14ac:dyDescent="0.25">
      <c r="A688" t="s">
        <v>5224</v>
      </c>
      <c r="B688" t="str">
        <f>IF(ISERROR(VLOOKUP(F688,STEP!A:A, 1, FALSE)), "N", "Y")</f>
        <v>N</v>
      </c>
      <c r="C688" t="str">
        <f>IF(ISERROR(VLOOKUP(E688, BibleInEveryLanguageTexts!A:A, 1, FALSE)), "N", "Y")</f>
        <v>N</v>
      </c>
      <c r="D688" t="str">
        <f t="shared" si="20"/>
        <v>X</v>
      </c>
      <c r="E688" t="s">
        <v>5225</v>
      </c>
      <c r="F688" t="s">
        <v>5226</v>
      </c>
      <c r="G688" t="s">
        <v>48</v>
      </c>
      <c r="H688" t="s">
        <v>5227</v>
      </c>
      <c r="I688" t="s">
        <v>2661</v>
      </c>
      <c r="J688" t="str">
        <f>IF(0 = IFERROR(VLOOKUP(DBL_FullList!I688, ContactsDbl!B:D, 2, FALSE), ""), "", IFERROR(VLOOKUP(DBL_FullList!I688, ContactsDbl!B:D, 2, FALSE), ""))</f>
        <v>dbladmin_intl@sil.org</v>
      </c>
      <c r="K688" t="str">
        <f>IF(0 = IFERROR(VLOOKUP(DBL_FullList!I688,ContactsDbl!B:D, 3, FALSE), ""), "", IFERROR(VLOOKUP(DBL_FullList!I688, ContactsDbl!B:D, 3, FALSE), ""))</f>
        <v>http://www.wycliffe.org</v>
      </c>
      <c r="L688">
        <f t="shared" si="21"/>
        <v>2</v>
      </c>
    </row>
    <row r="689" spans="1:12" x14ac:dyDescent="0.25">
      <c r="A689" t="s">
        <v>5228</v>
      </c>
      <c r="B689" t="str">
        <f>IF(ISERROR(VLOOKUP(F689,STEP!A:A, 1, FALSE)), "N", "Y")</f>
        <v>N</v>
      </c>
      <c r="C689" t="str">
        <f>IF(ISERROR(VLOOKUP(E689, BibleInEveryLanguageTexts!A:A, 1, FALSE)), "N", "Y")</f>
        <v>N</v>
      </c>
      <c r="D689" t="str">
        <f t="shared" si="20"/>
        <v>X</v>
      </c>
      <c r="E689" t="s">
        <v>5229</v>
      </c>
      <c r="F689" t="s">
        <v>3535</v>
      </c>
      <c r="G689" t="s">
        <v>2733</v>
      </c>
      <c r="H689" t="s">
        <v>5230</v>
      </c>
      <c r="I689" t="s">
        <v>2013</v>
      </c>
      <c r="J689" t="str">
        <f>IF(0 = IFERROR(VLOOKUP(DBL_FullList!I689, ContactsDbl!B:D, 2, FALSE), ""), "", IFERROR(VLOOKUP(DBL_FullList!I689, ContactsDbl!B:D, 2, FALSE), ""))</f>
        <v>fcossio@biblesocieties.org</v>
      </c>
      <c r="K689" t="str">
        <f>IF(0 = IFERROR(VLOOKUP(DBL_FullList!I689,ContactsDbl!B:D, 3, FALSE), ""), "", IFERROR(VLOOKUP(DBL_FullList!I689, ContactsDbl!B:D, 3, FALSE), ""))</f>
        <v>http://sociedadbiblicaboliviana.org</v>
      </c>
      <c r="L689">
        <f t="shared" si="21"/>
        <v>2</v>
      </c>
    </row>
    <row r="690" spans="1:12" x14ac:dyDescent="0.25">
      <c r="A690" t="s">
        <v>5231</v>
      </c>
      <c r="B690" t="str">
        <f>IF(ISERROR(VLOOKUP(F690,STEP!A:A, 1, FALSE)), "N", "Y")</f>
        <v>N</v>
      </c>
      <c r="C690" t="str">
        <f>IF(ISERROR(VLOOKUP(E690, BibleInEveryLanguageTexts!A:A, 1, FALSE)), "N", "Y")</f>
        <v>N</v>
      </c>
      <c r="D690" t="str">
        <f t="shared" si="20"/>
        <v>X</v>
      </c>
      <c r="E690" t="s">
        <v>5232</v>
      </c>
      <c r="F690" t="s">
        <v>4353</v>
      </c>
      <c r="G690" t="s">
        <v>3634</v>
      </c>
      <c r="H690" t="s">
        <v>5233</v>
      </c>
      <c r="I690" t="s">
        <v>2296</v>
      </c>
      <c r="J690" t="str">
        <f>IF(0 = IFERROR(VLOOKUP(DBL_FullList!I690, ContactsDbl!B:D, 2, FALSE), ""), "", IFERROR(VLOOKUP(DBL_FullList!I690, ContactsDbl!B:D, 2, FALSE), ""))</f>
        <v>gjergj@biblesocieties.org</v>
      </c>
      <c r="K690" t="str">
        <f>IF(0 = IFERROR(VLOOKUP(DBL_FullList!I690,ContactsDbl!B:D, 3, FALSE), ""), "", IFERROR(VLOOKUP(DBL_FullList!I690, ContactsDbl!B:D, 3, FALSE), ""))</f>
        <v>http://albanianbiblesociety.com</v>
      </c>
      <c r="L690">
        <f t="shared" si="21"/>
        <v>2</v>
      </c>
    </row>
    <row r="691" spans="1:12" x14ac:dyDescent="0.25">
      <c r="A691" t="s">
        <v>5234</v>
      </c>
      <c r="B691" t="str">
        <f>IF(ISERROR(VLOOKUP(F691,STEP!A:A, 1, FALSE)), "N", "Y")</f>
        <v>Y</v>
      </c>
      <c r="C691" t="str">
        <f>IF(ISERROR(VLOOKUP(E691, BibleInEveryLanguageTexts!A:A, 1, FALSE)), "N", "Y")</f>
        <v>N</v>
      </c>
      <c r="D691" t="str">
        <f t="shared" si="20"/>
        <v/>
      </c>
      <c r="E691" t="s">
        <v>5235</v>
      </c>
      <c r="F691" t="s">
        <v>5236</v>
      </c>
      <c r="G691" t="s">
        <v>48</v>
      </c>
      <c r="H691" t="s">
        <v>5237</v>
      </c>
      <c r="I691" t="s">
        <v>2661</v>
      </c>
      <c r="J691" t="str">
        <f>IF(0 = IFERROR(VLOOKUP(DBL_FullList!I691, ContactsDbl!B:D, 2, FALSE), ""), "", IFERROR(VLOOKUP(DBL_FullList!I691, ContactsDbl!B:D, 2, FALSE), ""))</f>
        <v>dbladmin_intl@sil.org</v>
      </c>
      <c r="K691" t="str">
        <f>IF(0 = IFERROR(VLOOKUP(DBL_FullList!I691,ContactsDbl!B:D, 3, FALSE), ""), "", IFERROR(VLOOKUP(DBL_FullList!I691, ContactsDbl!B:D, 3, FALSE), ""))</f>
        <v>http://www.wycliffe.org</v>
      </c>
      <c r="L691">
        <f t="shared" si="21"/>
        <v>2</v>
      </c>
    </row>
    <row r="692" spans="1:12" x14ac:dyDescent="0.25">
      <c r="A692" t="s">
        <v>5238</v>
      </c>
      <c r="B692" t="str">
        <f>IF(ISERROR(VLOOKUP(F692,STEP!A:A, 1, FALSE)), "N", "Y")</f>
        <v>N</v>
      </c>
      <c r="C692" t="str">
        <f>IF(ISERROR(VLOOKUP(E692, BibleInEveryLanguageTexts!A:A, 1, FALSE)), "N", "Y")</f>
        <v>N</v>
      </c>
      <c r="D692" t="str">
        <f t="shared" si="20"/>
        <v>X</v>
      </c>
      <c r="E692" t="s">
        <v>4837</v>
      </c>
      <c r="F692" t="s">
        <v>4838</v>
      </c>
      <c r="G692" t="s">
        <v>5239</v>
      </c>
      <c r="H692" t="s">
        <v>5240</v>
      </c>
      <c r="I692" t="s">
        <v>2487</v>
      </c>
      <c r="J692" t="str">
        <f>IF(0 = IFERROR(VLOOKUP(DBL_FullList!I692, ContactsDbl!B:D, 2, FALSE), ""), "", IFERROR(VLOOKUP(DBL_FullList!I692, ContactsDbl!B:D, 2, FALSE), ""))</f>
        <v/>
      </c>
      <c r="K692" t="str">
        <f>IF(0 = IFERROR(VLOOKUP(DBL_FullList!I692,ContactsDbl!B:D, 3, FALSE), ""), "", IFERROR(VLOOKUP(DBL_FullList!I692, ContactsDbl!B:D, 3, FALSE), ""))</f>
        <v>http://www.bibelselskapet.no/</v>
      </c>
      <c r="L692">
        <f t="shared" si="21"/>
        <v>1</v>
      </c>
    </row>
    <row r="693" spans="1:12" x14ac:dyDescent="0.25">
      <c r="A693" t="s">
        <v>5241</v>
      </c>
      <c r="B693" t="str">
        <f>IF(ISERROR(VLOOKUP(F693,STEP!A:A, 1, FALSE)), "N", "Y")</f>
        <v>N</v>
      </c>
      <c r="C693" t="str">
        <f>IF(ISERROR(VLOOKUP(E693, BibleInEveryLanguageTexts!A:A, 1, FALSE)), "N", "Y")</f>
        <v>N</v>
      </c>
      <c r="D693" t="str">
        <f t="shared" si="20"/>
        <v>X</v>
      </c>
      <c r="E693" t="s">
        <v>5242</v>
      </c>
      <c r="F693" t="s">
        <v>5243</v>
      </c>
      <c r="G693" t="s">
        <v>25</v>
      </c>
      <c r="H693" t="s">
        <v>5244</v>
      </c>
      <c r="I693" t="s">
        <v>2661</v>
      </c>
      <c r="J693" t="str">
        <f>IF(0 = IFERROR(VLOOKUP(DBL_FullList!I693, ContactsDbl!B:D, 2, FALSE), ""), "", IFERROR(VLOOKUP(DBL_FullList!I693, ContactsDbl!B:D, 2, FALSE), ""))</f>
        <v>dbladmin_intl@sil.org</v>
      </c>
      <c r="K693" t="str">
        <f>IF(0 = IFERROR(VLOOKUP(DBL_FullList!I693,ContactsDbl!B:D, 3, FALSE), ""), "", IFERROR(VLOOKUP(DBL_FullList!I693, ContactsDbl!B:D, 3, FALSE), ""))</f>
        <v>http://www.wycliffe.org</v>
      </c>
      <c r="L693">
        <f t="shared" si="21"/>
        <v>2</v>
      </c>
    </row>
    <row r="694" spans="1:12" x14ac:dyDescent="0.25">
      <c r="A694" t="s">
        <v>5245</v>
      </c>
      <c r="B694" t="str">
        <f>IF(ISERROR(VLOOKUP(F694,STEP!A:A, 1, FALSE)), "N", "Y")</f>
        <v>N</v>
      </c>
      <c r="C694" t="str">
        <f>IF(ISERROR(VLOOKUP(E694, BibleInEveryLanguageTexts!A:A, 1, FALSE)), "N", "Y")</f>
        <v>N</v>
      </c>
      <c r="D694" t="str">
        <f t="shared" si="20"/>
        <v>X</v>
      </c>
      <c r="E694" t="s">
        <v>5246</v>
      </c>
      <c r="F694" t="s">
        <v>5247</v>
      </c>
      <c r="G694" t="s">
        <v>2997</v>
      </c>
      <c r="H694" t="s">
        <v>5248</v>
      </c>
      <c r="I694" t="s">
        <v>2661</v>
      </c>
      <c r="J694" t="str">
        <f>IF(0 = IFERROR(VLOOKUP(DBL_FullList!I694, ContactsDbl!B:D, 2, FALSE), ""), "", IFERROR(VLOOKUP(DBL_FullList!I694, ContactsDbl!B:D, 2, FALSE), ""))</f>
        <v>dbladmin_intl@sil.org</v>
      </c>
      <c r="K694" t="str">
        <f>IF(0 = IFERROR(VLOOKUP(DBL_FullList!I694,ContactsDbl!B:D, 3, FALSE), ""), "", IFERROR(VLOOKUP(DBL_FullList!I694, ContactsDbl!B:D, 3, FALSE), ""))</f>
        <v>http://www.wycliffe.org</v>
      </c>
      <c r="L694">
        <f t="shared" si="21"/>
        <v>2</v>
      </c>
    </row>
    <row r="695" spans="1:12" x14ac:dyDescent="0.25">
      <c r="A695" t="s">
        <v>5249</v>
      </c>
      <c r="B695" t="str">
        <f>IF(ISERROR(VLOOKUP(F695,STEP!A:A, 1, FALSE)), "N", "Y")</f>
        <v>N</v>
      </c>
      <c r="C695" t="str">
        <f>IF(ISERROR(VLOOKUP(E695, BibleInEveryLanguageTexts!A:A, 1, FALSE)), "N", "Y")</f>
        <v>Y</v>
      </c>
      <c r="D695" t="str">
        <f t="shared" si="20"/>
        <v/>
      </c>
      <c r="E695" t="s">
        <v>2685</v>
      </c>
      <c r="F695" t="s">
        <v>4881</v>
      </c>
      <c r="G695" t="s">
        <v>4882</v>
      </c>
      <c r="H695" t="s">
        <v>5250</v>
      </c>
      <c r="I695" t="s">
        <v>2292</v>
      </c>
      <c r="J695" t="str">
        <f>IF(0 = IFERROR(VLOOKUP(DBL_FullList!I695, ContactsDbl!B:D, 2, FALSE), ""), "", IFERROR(VLOOKUP(DBL_FullList!I695, ContactsDbl!B:D, 2, FALSE), ""))</f>
        <v>info@bibliatarsulat.hu</v>
      </c>
      <c r="K695" t="str">
        <f>IF(0 = IFERROR(VLOOKUP(DBL_FullList!I695,ContactsDbl!B:D, 3, FALSE), ""), "", IFERROR(VLOOKUP(DBL_FullList!I695, ContactsDbl!B:D, 3, FALSE), ""))</f>
        <v>http://www.bibliatarsulat.hu/</v>
      </c>
      <c r="L695">
        <f t="shared" si="21"/>
        <v>2</v>
      </c>
    </row>
    <row r="696" spans="1:12" x14ac:dyDescent="0.25">
      <c r="A696" t="s">
        <v>5251</v>
      </c>
      <c r="B696" t="str">
        <f>IF(ISERROR(VLOOKUP(F696,STEP!A:A, 1, FALSE)), "N", "Y")</f>
        <v>N</v>
      </c>
      <c r="C696" t="str">
        <f>IF(ISERROR(VLOOKUP(E696, BibleInEveryLanguageTexts!A:A, 1, FALSE)), "N", "Y")</f>
        <v>N</v>
      </c>
      <c r="D696" t="str">
        <f t="shared" si="20"/>
        <v>X</v>
      </c>
      <c r="E696" t="s">
        <v>5252</v>
      </c>
      <c r="F696" t="s">
        <v>5253</v>
      </c>
      <c r="G696" t="s">
        <v>383</v>
      </c>
      <c r="H696" t="s">
        <v>5254</v>
      </c>
      <c r="I696" t="s">
        <v>2661</v>
      </c>
      <c r="J696" t="str">
        <f>IF(0 = IFERROR(VLOOKUP(DBL_FullList!I696, ContactsDbl!B:D, 2, FALSE), ""), "", IFERROR(VLOOKUP(DBL_FullList!I696, ContactsDbl!B:D, 2, FALSE), ""))</f>
        <v>dbladmin_intl@sil.org</v>
      </c>
      <c r="K696" t="str">
        <f>IF(0 = IFERROR(VLOOKUP(DBL_FullList!I696,ContactsDbl!B:D, 3, FALSE), ""), "", IFERROR(VLOOKUP(DBL_FullList!I696, ContactsDbl!B:D, 3, FALSE), ""))</f>
        <v>http://www.wycliffe.org</v>
      </c>
      <c r="L696">
        <f t="shared" si="21"/>
        <v>2</v>
      </c>
    </row>
    <row r="697" spans="1:12" x14ac:dyDescent="0.25">
      <c r="A697" t="s">
        <v>5255</v>
      </c>
      <c r="B697" t="str">
        <f>IF(ISERROR(VLOOKUP(F697,STEP!A:A, 1, FALSE)), "N", "Y")</f>
        <v>N</v>
      </c>
      <c r="C697" t="str">
        <f>IF(ISERROR(VLOOKUP(E697, BibleInEveryLanguageTexts!A:A, 1, FALSE)), "N", "Y")</f>
        <v>N</v>
      </c>
      <c r="D697" t="str">
        <f t="shared" si="20"/>
        <v>X</v>
      </c>
      <c r="E697" t="s">
        <v>3493</v>
      </c>
      <c r="F697" t="s">
        <v>3494</v>
      </c>
      <c r="G697" t="s">
        <v>3407</v>
      </c>
      <c r="H697" t="s">
        <v>5256</v>
      </c>
      <c r="I697" t="s">
        <v>2017</v>
      </c>
      <c r="J697" t="str">
        <f>IF(0 = IFERROR(VLOOKUP(DBL_FullList!I697, ContactsDbl!B:D, 2, FALSE), ""), "", IFERROR(VLOOKUP(DBL_FullList!I697, ContactsDbl!B:D, 2, FALSE), ""))</f>
        <v>stgabriel@biblesocieties.org</v>
      </c>
      <c r="K697" t="str">
        <f>IF(0 = IFERROR(VLOOKUP(DBL_FullList!I697,ContactsDbl!B:D, 3, FALSE), ""), "", IFERROR(VLOOKUP(DBL_FullList!I697, ContactsDbl!B:D, 3, FALSE), ""))</f>
        <v>http://www.unitedbiblesocieties.org/society/bible-society-in-botswana/</v>
      </c>
      <c r="L697">
        <f t="shared" si="21"/>
        <v>2</v>
      </c>
    </row>
    <row r="698" spans="1:12" x14ac:dyDescent="0.25">
      <c r="A698" t="s">
        <v>5257</v>
      </c>
      <c r="B698" t="str">
        <f>IF(ISERROR(VLOOKUP(F698,STEP!A:A, 1, FALSE)), "N", "Y")</f>
        <v>N</v>
      </c>
      <c r="C698" t="str">
        <f>IF(ISERROR(VLOOKUP(E698, BibleInEveryLanguageTexts!A:A, 1, FALSE)), "N", "Y")</f>
        <v>N</v>
      </c>
      <c r="D698" t="str">
        <f t="shared" si="20"/>
        <v>X</v>
      </c>
      <c r="E698" t="s">
        <v>3271</v>
      </c>
      <c r="F698" t="s">
        <v>3272</v>
      </c>
      <c r="G698" t="s">
        <v>268</v>
      </c>
      <c r="H698" t="s">
        <v>5258</v>
      </c>
      <c r="I698" t="s">
        <v>3104</v>
      </c>
      <c r="J698" t="str">
        <f>IF(0 = IFERROR(VLOOKUP(DBL_FullList!I698, ContactsDbl!B:D, 2, FALSE), ""), "", IFERROR(VLOOKUP(DBL_FullList!I698, ContactsDbl!B:D, 2, FALSE), ""))</f>
        <v/>
      </c>
      <c r="K698" t="str">
        <f>IF(0 = IFERROR(VLOOKUP(DBL_FullList!I698,ContactsDbl!B:D, 3, FALSE), ""), "", IFERROR(VLOOKUP(DBL_FullList!I698, ContactsDbl!B:D, 3, FALSE), ""))</f>
        <v/>
      </c>
      <c r="L698">
        <f t="shared" si="21"/>
        <v>0</v>
      </c>
    </row>
    <row r="699" spans="1:12" x14ac:dyDescent="0.25">
      <c r="A699" t="s">
        <v>5259</v>
      </c>
      <c r="B699" t="str">
        <f>IF(ISERROR(VLOOKUP(F699,STEP!A:A, 1, FALSE)), "N", "Y")</f>
        <v>N</v>
      </c>
      <c r="C699" t="str">
        <f>IF(ISERROR(VLOOKUP(E699, BibleInEveryLanguageTexts!A:A, 1, FALSE)), "N", "Y")</f>
        <v>N</v>
      </c>
      <c r="D699" t="str">
        <f t="shared" si="20"/>
        <v>X</v>
      </c>
      <c r="E699" t="s">
        <v>5260</v>
      </c>
      <c r="F699" t="s">
        <v>5261</v>
      </c>
      <c r="G699" t="s">
        <v>25</v>
      </c>
      <c r="H699" t="s">
        <v>5262</v>
      </c>
      <c r="I699" t="s">
        <v>2661</v>
      </c>
      <c r="J699" t="str">
        <f>IF(0 = IFERROR(VLOOKUP(DBL_FullList!I699, ContactsDbl!B:D, 2, FALSE), ""), "", IFERROR(VLOOKUP(DBL_FullList!I699, ContactsDbl!B:D, 2, FALSE), ""))</f>
        <v>dbladmin_intl@sil.org</v>
      </c>
      <c r="K699" t="str">
        <f>IF(0 = IFERROR(VLOOKUP(DBL_FullList!I699,ContactsDbl!B:D, 3, FALSE), ""), "", IFERROR(VLOOKUP(DBL_FullList!I699, ContactsDbl!B:D, 3, FALSE), ""))</f>
        <v>http://www.wycliffe.org</v>
      </c>
      <c r="L699">
        <f t="shared" si="21"/>
        <v>2</v>
      </c>
    </row>
    <row r="700" spans="1:12" x14ac:dyDescent="0.25">
      <c r="A700" t="s">
        <v>5263</v>
      </c>
      <c r="B700" t="str">
        <f>IF(ISERROR(VLOOKUP(F700,STEP!A:A, 1, FALSE)), "N", "Y")</f>
        <v>N</v>
      </c>
      <c r="C700" t="str">
        <f>IF(ISERROR(VLOOKUP(E700, BibleInEveryLanguageTexts!A:A, 1, FALSE)), "N", "Y")</f>
        <v>N</v>
      </c>
      <c r="D700" t="str">
        <f t="shared" si="20"/>
        <v>X</v>
      </c>
      <c r="E700" t="s">
        <v>5264</v>
      </c>
      <c r="F700" t="s">
        <v>5265</v>
      </c>
      <c r="G700" t="s">
        <v>3083</v>
      </c>
      <c r="H700" t="s">
        <v>5266</v>
      </c>
      <c r="I700" t="s">
        <v>2661</v>
      </c>
      <c r="J700" t="str">
        <f>IF(0 = IFERROR(VLOOKUP(DBL_FullList!I700, ContactsDbl!B:D, 2, FALSE), ""), "", IFERROR(VLOOKUP(DBL_FullList!I700, ContactsDbl!B:D, 2, FALSE), ""))</f>
        <v>dbladmin_intl@sil.org</v>
      </c>
      <c r="K700" t="str">
        <f>IF(0 = IFERROR(VLOOKUP(DBL_FullList!I700,ContactsDbl!B:D, 3, FALSE), ""), "", IFERROR(VLOOKUP(DBL_FullList!I700, ContactsDbl!B:D, 3, FALSE), ""))</f>
        <v>http://www.wycliffe.org</v>
      </c>
      <c r="L700">
        <f t="shared" si="21"/>
        <v>2</v>
      </c>
    </row>
    <row r="701" spans="1:12" x14ac:dyDescent="0.25">
      <c r="A701" t="s">
        <v>5267</v>
      </c>
      <c r="B701" t="str">
        <f>IF(ISERROR(VLOOKUP(F701,STEP!A:A, 1, FALSE)), "N", "Y")</f>
        <v>Y</v>
      </c>
      <c r="C701" t="str">
        <f>IF(ISERROR(VLOOKUP(E701, BibleInEveryLanguageTexts!A:A, 1, FALSE)), "N", "Y")</f>
        <v>N</v>
      </c>
      <c r="D701" t="str">
        <f t="shared" si="20"/>
        <v/>
      </c>
      <c r="E701" t="s">
        <v>5268</v>
      </c>
      <c r="F701" t="s">
        <v>3289</v>
      </c>
      <c r="G701" t="s">
        <v>48</v>
      </c>
      <c r="H701" t="s">
        <v>5269</v>
      </c>
      <c r="I701" t="s">
        <v>2661</v>
      </c>
      <c r="J701" t="str">
        <f>IF(0 = IFERROR(VLOOKUP(DBL_FullList!I701, ContactsDbl!B:D, 2, FALSE), ""), "", IFERROR(VLOOKUP(DBL_FullList!I701, ContactsDbl!B:D, 2, FALSE), ""))</f>
        <v>dbladmin_intl@sil.org</v>
      </c>
      <c r="K701" t="str">
        <f>IF(0 = IFERROR(VLOOKUP(DBL_FullList!I701,ContactsDbl!B:D, 3, FALSE), ""), "", IFERROR(VLOOKUP(DBL_FullList!I701, ContactsDbl!B:D, 3, FALSE), ""))</f>
        <v>http://www.wycliffe.org</v>
      </c>
      <c r="L701">
        <f t="shared" si="21"/>
        <v>2</v>
      </c>
    </row>
    <row r="702" spans="1:12" x14ac:dyDescent="0.25">
      <c r="A702" t="s">
        <v>5270</v>
      </c>
      <c r="B702" t="str">
        <f>IF(ISERROR(VLOOKUP(F702,STEP!A:A, 1, FALSE)), "N", "Y")</f>
        <v>N</v>
      </c>
      <c r="C702" t="str">
        <f>IF(ISERROR(VLOOKUP(E702, BibleInEveryLanguageTexts!A:A, 1, FALSE)), "N", "Y")</f>
        <v>N</v>
      </c>
      <c r="D702" t="str">
        <f t="shared" si="20"/>
        <v>X</v>
      </c>
      <c r="E702" t="s">
        <v>5271</v>
      </c>
      <c r="F702" t="s">
        <v>5272</v>
      </c>
      <c r="G702" t="s">
        <v>3221</v>
      </c>
      <c r="H702" t="s">
        <v>5273</v>
      </c>
      <c r="I702" t="s">
        <v>2661</v>
      </c>
      <c r="J702" t="str">
        <f>IF(0 = IFERROR(VLOOKUP(DBL_FullList!I702, ContactsDbl!B:D, 2, FALSE), ""), "", IFERROR(VLOOKUP(DBL_FullList!I702, ContactsDbl!B:D, 2, FALSE), ""))</f>
        <v>dbladmin_intl@sil.org</v>
      </c>
      <c r="K702" t="str">
        <f>IF(0 = IFERROR(VLOOKUP(DBL_FullList!I702,ContactsDbl!B:D, 3, FALSE), ""), "", IFERROR(VLOOKUP(DBL_FullList!I702, ContactsDbl!B:D, 3, FALSE), ""))</f>
        <v>http://www.wycliffe.org</v>
      </c>
      <c r="L702">
        <f t="shared" si="21"/>
        <v>2</v>
      </c>
    </row>
    <row r="703" spans="1:12" x14ac:dyDescent="0.25">
      <c r="A703" t="s">
        <v>5274</v>
      </c>
      <c r="B703" t="str">
        <f>IF(ISERROR(VLOOKUP(F703,STEP!A:A, 1, FALSE)), "N", "Y")</f>
        <v>N</v>
      </c>
      <c r="C703" t="str">
        <f>IF(ISERROR(VLOOKUP(E703, BibleInEveryLanguageTexts!A:A, 1, FALSE)), "N", "Y")</f>
        <v>N</v>
      </c>
      <c r="D703" t="str">
        <f t="shared" si="20"/>
        <v>X</v>
      </c>
      <c r="E703" t="s">
        <v>5275</v>
      </c>
      <c r="F703" t="s">
        <v>5276</v>
      </c>
      <c r="G703" t="s">
        <v>2756</v>
      </c>
      <c r="H703" t="s">
        <v>5277</v>
      </c>
      <c r="I703" t="s">
        <v>2661</v>
      </c>
      <c r="J703" t="str">
        <f>IF(0 = IFERROR(VLOOKUP(DBL_FullList!I703, ContactsDbl!B:D, 2, FALSE), ""), "", IFERROR(VLOOKUP(DBL_FullList!I703, ContactsDbl!B:D, 2, FALSE), ""))</f>
        <v>dbladmin_intl@sil.org</v>
      </c>
      <c r="K703" t="str">
        <f>IF(0 = IFERROR(VLOOKUP(DBL_FullList!I703,ContactsDbl!B:D, 3, FALSE), ""), "", IFERROR(VLOOKUP(DBL_FullList!I703, ContactsDbl!B:D, 3, FALSE), ""))</f>
        <v>http://www.wycliffe.org</v>
      </c>
      <c r="L703">
        <f t="shared" si="21"/>
        <v>2</v>
      </c>
    </row>
    <row r="704" spans="1:12" x14ac:dyDescent="0.25">
      <c r="A704" t="s">
        <v>5278</v>
      </c>
      <c r="B704" t="str">
        <f>IF(ISERROR(VLOOKUP(F704,STEP!A:A, 1, FALSE)), "N", "Y")</f>
        <v>Y</v>
      </c>
      <c r="C704" t="str">
        <f>IF(ISERROR(VLOOKUP(E704, BibleInEveryLanguageTexts!A:A, 1, FALSE)), "N", "Y")</f>
        <v>N</v>
      </c>
      <c r="D704" t="str">
        <f t="shared" si="20"/>
        <v/>
      </c>
      <c r="E704" t="s">
        <v>5279</v>
      </c>
      <c r="F704" t="s">
        <v>5280</v>
      </c>
      <c r="G704" t="s">
        <v>48</v>
      </c>
      <c r="H704" t="s">
        <v>5281</v>
      </c>
      <c r="I704" t="s">
        <v>2661</v>
      </c>
      <c r="J704" t="str">
        <f>IF(0 = IFERROR(VLOOKUP(DBL_FullList!I704, ContactsDbl!B:D, 2, FALSE), ""), "", IFERROR(VLOOKUP(DBL_FullList!I704, ContactsDbl!B:D, 2, FALSE), ""))</f>
        <v>dbladmin_intl@sil.org</v>
      </c>
      <c r="K704" t="str">
        <f>IF(0 = IFERROR(VLOOKUP(DBL_FullList!I704,ContactsDbl!B:D, 3, FALSE), ""), "", IFERROR(VLOOKUP(DBL_FullList!I704, ContactsDbl!B:D, 3, FALSE), ""))</f>
        <v>http://www.wycliffe.org</v>
      </c>
      <c r="L704">
        <f t="shared" si="21"/>
        <v>2</v>
      </c>
    </row>
    <row r="705" spans="1:12" x14ac:dyDescent="0.25">
      <c r="A705" t="s">
        <v>5282</v>
      </c>
      <c r="B705" t="str">
        <f>IF(ISERROR(VLOOKUP(F705,STEP!A:A, 1, FALSE)), "N", "Y")</f>
        <v>N</v>
      </c>
      <c r="C705" t="str">
        <f>IF(ISERROR(VLOOKUP(E705, BibleInEveryLanguageTexts!A:A, 1, FALSE)), "N", "Y")</f>
        <v>N</v>
      </c>
      <c r="D705" t="str">
        <f t="shared" si="20"/>
        <v>X</v>
      </c>
      <c r="E705" t="s">
        <v>5283</v>
      </c>
      <c r="F705" t="s">
        <v>5284</v>
      </c>
      <c r="G705" t="s">
        <v>2793</v>
      </c>
      <c r="H705" t="s">
        <v>5285</v>
      </c>
      <c r="I705" t="s">
        <v>2661</v>
      </c>
      <c r="J705" t="str">
        <f>IF(0 = IFERROR(VLOOKUP(DBL_FullList!I705, ContactsDbl!B:D, 2, FALSE), ""), "", IFERROR(VLOOKUP(DBL_FullList!I705, ContactsDbl!B:D, 2, FALSE), ""))</f>
        <v>dbladmin_intl@sil.org</v>
      </c>
      <c r="K705" t="str">
        <f>IF(0 = IFERROR(VLOOKUP(DBL_FullList!I705,ContactsDbl!B:D, 3, FALSE), ""), "", IFERROR(VLOOKUP(DBL_FullList!I705, ContactsDbl!B:D, 3, FALSE), ""))</f>
        <v>http://www.wycliffe.org</v>
      </c>
      <c r="L705">
        <f t="shared" si="21"/>
        <v>2</v>
      </c>
    </row>
    <row r="706" spans="1:12" x14ac:dyDescent="0.25">
      <c r="A706" t="s">
        <v>5286</v>
      </c>
      <c r="B706" t="str">
        <f>IF(ISERROR(VLOOKUP(F706,STEP!A:A, 1, FALSE)), "N", "Y")</f>
        <v>N</v>
      </c>
      <c r="C706" t="str">
        <f>IF(ISERROR(VLOOKUP(E706, BibleInEveryLanguageTexts!A:A, 1, FALSE)), "N", "Y")</f>
        <v>N</v>
      </c>
      <c r="D706" t="str">
        <f t="shared" si="20"/>
        <v>X</v>
      </c>
      <c r="E706" t="s">
        <v>1690</v>
      </c>
      <c r="F706" t="s">
        <v>5287</v>
      </c>
      <c r="G706" t="s">
        <v>2743</v>
      </c>
      <c r="H706" t="s">
        <v>5288</v>
      </c>
      <c r="I706" t="s">
        <v>1997</v>
      </c>
      <c r="J706" t="str">
        <f>IF(0 = IFERROR(VLOOKUP(DBL_FullList!I706, ContactsDbl!B:D, 2, FALSE), ""), "", IFERROR(VLOOKUP(DBL_FullList!I706, ContactsDbl!B:D, 2, FALSE), ""))</f>
        <v>Lee.Harris@biblica.com</v>
      </c>
      <c r="K706" t="str">
        <f>IF(0 = IFERROR(VLOOKUP(DBL_FullList!I706,ContactsDbl!B:D, 3, FALSE), ""), "", IFERROR(VLOOKUP(DBL_FullList!I706, ContactsDbl!B:D, 3, FALSE), ""))</f>
        <v>http://www.Biblica.com</v>
      </c>
      <c r="L706">
        <f t="shared" si="21"/>
        <v>2</v>
      </c>
    </row>
    <row r="707" spans="1:12" x14ac:dyDescent="0.25">
      <c r="A707" t="s">
        <v>5289</v>
      </c>
      <c r="B707" t="str">
        <f>IF(ISERROR(VLOOKUP(F707,STEP!A:A, 1, FALSE)), "N", "Y")</f>
        <v>N</v>
      </c>
      <c r="C707" t="str">
        <f>IF(ISERROR(VLOOKUP(E707, BibleInEveryLanguageTexts!A:A, 1, FALSE)), "N", "Y")</f>
        <v>N</v>
      </c>
      <c r="D707" t="str">
        <f t="shared" ref="D707:D770" si="22">IF(AND("N" = B707, "N" = C707), "X", "")</f>
        <v>X</v>
      </c>
      <c r="E707" t="s">
        <v>2970</v>
      </c>
      <c r="F707" t="s">
        <v>2971</v>
      </c>
      <c r="G707" t="s">
        <v>2723</v>
      </c>
      <c r="H707" t="s">
        <v>5290</v>
      </c>
      <c r="I707" t="s">
        <v>2661</v>
      </c>
      <c r="J707" t="str">
        <f>IF(0 = IFERROR(VLOOKUP(DBL_FullList!I707, ContactsDbl!B:D, 2, FALSE), ""), "", IFERROR(VLOOKUP(DBL_FullList!I707, ContactsDbl!B:D, 2, FALSE), ""))</f>
        <v>dbladmin_intl@sil.org</v>
      </c>
      <c r="K707" t="str">
        <f>IF(0 = IFERROR(VLOOKUP(DBL_FullList!I707,ContactsDbl!B:D, 3, FALSE), ""), "", IFERROR(VLOOKUP(DBL_FullList!I707, ContactsDbl!B:D, 3, FALSE), ""))</f>
        <v>http://www.wycliffe.org</v>
      </c>
      <c r="L707">
        <f t="shared" ref="L707:L770" si="23">IF("" &lt;&gt; J707, 2, IF("" &lt;&gt; K707, 1, 0))</f>
        <v>2</v>
      </c>
    </row>
    <row r="708" spans="1:12" x14ac:dyDescent="0.25">
      <c r="A708" t="s">
        <v>5291</v>
      </c>
      <c r="B708" t="str">
        <f>IF(ISERROR(VLOOKUP(F708,STEP!A:A, 1, FALSE)), "N", "Y")</f>
        <v>N</v>
      </c>
      <c r="C708" t="str">
        <f>IF(ISERROR(VLOOKUP(E708, BibleInEveryLanguageTexts!A:A, 1, FALSE)), "N", "Y")</f>
        <v>N</v>
      </c>
      <c r="D708" t="str">
        <f t="shared" si="22"/>
        <v>X</v>
      </c>
      <c r="E708" t="s">
        <v>334</v>
      </c>
      <c r="F708" t="s">
        <v>332</v>
      </c>
      <c r="G708" t="s">
        <v>333</v>
      </c>
      <c r="H708" t="s">
        <v>5292</v>
      </c>
      <c r="I708" t="s">
        <v>2534</v>
      </c>
      <c r="J708" t="str">
        <f>IF(0 = IFERROR(VLOOKUP(DBL_FullList!I708, ContactsDbl!B:D, 2, FALSE), ""), "", IFERROR(VLOOKUP(DBL_FullList!I708, ContactsDbl!B:D, 2, FALSE), ""))</f>
        <v>elismar@sbb.org.br</v>
      </c>
      <c r="K708" t="str">
        <f>IF(0 = IFERROR(VLOOKUP(DBL_FullList!I708,ContactsDbl!B:D, 3, FALSE), ""), "", IFERROR(VLOOKUP(DBL_FullList!I708, ContactsDbl!B:D, 3, FALSE), ""))</f>
        <v>http://www.sbb.org.br</v>
      </c>
      <c r="L708">
        <f t="shared" si="23"/>
        <v>2</v>
      </c>
    </row>
    <row r="709" spans="1:12" x14ac:dyDescent="0.25">
      <c r="A709" t="s">
        <v>5293</v>
      </c>
      <c r="B709" t="str">
        <f>IF(ISERROR(VLOOKUP(F709,STEP!A:A, 1, FALSE)), "N", "Y")</f>
        <v>N</v>
      </c>
      <c r="C709" t="str">
        <f>IF(ISERROR(VLOOKUP(E709, BibleInEveryLanguageTexts!A:A, 1, FALSE)), "N", "Y")</f>
        <v>N</v>
      </c>
      <c r="D709" t="str">
        <f t="shared" si="22"/>
        <v>X</v>
      </c>
      <c r="E709" t="s">
        <v>5294</v>
      </c>
      <c r="F709" t="s">
        <v>5295</v>
      </c>
      <c r="G709" t="s">
        <v>48</v>
      </c>
      <c r="H709" t="s">
        <v>5296</v>
      </c>
      <c r="I709" t="s">
        <v>2661</v>
      </c>
      <c r="J709" t="str">
        <f>IF(0 = IFERROR(VLOOKUP(DBL_FullList!I709, ContactsDbl!B:D, 2, FALSE), ""), "", IFERROR(VLOOKUP(DBL_FullList!I709, ContactsDbl!B:D, 2, FALSE), ""))</f>
        <v>dbladmin_intl@sil.org</v>
      </c>
      <c r="K709" t="str">
        <f>IF(0 = IFERROR(VLOOKUP(DBL_FullList!I709,ContactsDbl!B:D, 3, FALSE), ""), "", IFERROR(VLOOKUP(DBL_FullList!I709, ContactsDbl!B:D, 3, FALSE), ""))</f>
        <v>http://www.wycliffe.org</v>
      </c>
      <c r="L709">
        <f t="shared" si="23"/>
        <v>2</v>
      </c>
    </row>
    <row r="710" spans="1:12" x14ac:dyDescent="0.25">
      <c r="A710" t="s">
        <v>5297</v>
      </c>
      <c r="B710" t="str">
        <f>IF(ISERROR(VLOOKUP(F710,STEP!A:A, 1, FALSE)), "N", "Y")</f>
        <v>N</v>
      </c>
      <c r="C710" t="str">
        <f>IF(ISERROR(VLOOKUP(E710, BibleInEveryLanguageTexts!A:A, 1, FALSE)), "N", "Y")</f>
        <v>N</v>
      </c>
      <c r="D710" t="str">
        <f t="shared" si="22"/>
        <v>X</v>
      </c>
      <c r="E710" t="s">
        <v>5298</v>
      </c>
      <c r="F710" t="s">
        <v>5299</v>
      </c>
      <c r="G710" t="s">
        <v>2885</v>
      </c>
      <c r="H710" t="s">
        <v>5300</v>
      </c>
      <c r="I710" t="s">
        <v>2182</v>
      </c>
      <c r="J710" t="str">
        <f>IF(0 = IFERROR(VLOOKUP(DBL_FullList!I710, ContactsDbl!B:D, 2, FALSE), ""), "", IFERROR(VLOOKUP(DBL_FullList!I710, ContactsDbl!B:D, 2, FALSE), ""))</f>
        <v/>
      </c>
      <c r="K710" t="str">
        <f>IF(0 = IFERROR(VLOOKUP(DBL_FullList!I710,ContactsDbl!B:D, 3, FALSE), ""), "", IFERROR(VLOOKUP(DBL_FullList!I710, ContactsDbl!B:D, 3, FALSE), ""))</f>
        <v>http://www.biblesociety-cd.org/</v>
      </c>
      <c r="L710">
        <f t="shared" si="23"/>
        <v>1</v>
      </c>
    </row>
    <row r="711" spans="1:12" x14ac:dyDescent="0.25">
      <c r="A711" t="s">
        <v>5301</v>
      </c>
      <c r="B711" t="str">
        <f>IF(ISERROR(VLOOKUP(F711,STEP!A:A, 1, FALSE)), "N", "Y")</f>
        <v>N</v>
      </c>
      <c r="C711" t="str">
        <f>IF(ISERROR(VLOOKUP(E711, BibleInEveryLanguageTexts!A:A, 1, FALSE)), "N", "Y")</f>
        <v>N</v>
      </c>
      <c r="D711" t="str">
        <f t="shared" si="22"/>
        <v>X</v>
      </c>
      <c r="E711" t="s">
        <v>5302</v>
      </c>
      <c r="F711" t="s">
        <v>5303</v>
      </c>
      <c r="G711" t="s">
        <v>20</v>
      </c>
      <c r="H711" t="s">
        <v>5304</v>
      </c>
      <c r="I711" t="s">
        <v>2329</v>
      </c>
      <c r="J711" t="str">
        <f>IF(0 = IFERROR(VLOOKUP(DBL_FullList!I711, ContactsDbl!B:D, 2, FALSE), ""), "", IFERROR(VLOOKUP(DBL_FullList!I711, ContactsDbl!B:D, 2, FALSE), ""))</f>
        <v/>
      </c>
      <c r="K711" t="str">
        <f>IF(0 = IFERROR(VLOOKUP(DBL_FullList!I711,ContactsDbl!B:D, 3, FALSE), ""), "", IFERROR(VLOOKUP(DBL_FullList!I711, ContactsDbl!B:D, 3, FALSE), ""))</f>
        <v>http://www.bsind.org/</v>
      </c>
      <c r="L711">
        <f t="shared" si="23"/>
        <v>1</v>
      </c>
    </row>
    <row r="712" spans="1:12" x14ac:dyDescent="0.25">
      <c r="A712" t="s">
        <v>5305</v>
      </c>
      <c r="B712" t="str">
        <f>IF(ISERROR(VLOOKUP(F712,STEP!A:A, 1, FALSE)), "N", "Y")</f>
        <v>N</v>
      </c>
      <c r="C712" t="str">
        <f>IF(ISERROR(VLOOKUP(E712, BibleInEveryLanguageTexts!A:A, 1, FALSE)), "N", "Y")</f>
        <v>N</v>
      </c>
      <c r="D712" t="str">
        <f t="shared" si="22"/>
        <v>X</v>
      </c>
      <c r="E712" t="s">
        <v>5306</v>
      </c>
      <c r="F712" t="s">
        <v>5307</v>
      </c>
      <c r="G712" t="s">
        <v>2723</v>
      </c>
      <c r="H712" t="s">
        <v>5308</v>
      </c>
      <c r="I712" t="s">
        <v>2661</v>
      </c>
      <c r="J712" t="str">
        <f>IF(0 = IFERROR(VLOOKUP(DBL_FullList!I712, ContactsDbl!B:D, 2, FALSE), ""), "", IFERROR(VLOOKUP(DBL_FullList!I712, ContactsDbl!B:D, 2, FALSE), ""))</f>
        <v>dbladmin_intl@sil.org</v>
      </c>
      <c r="K712" t="str">
        <f>IF(0 = IFERROR(VLOOKUP(DBL_FullList!I712,ContactsDbl!B:D, 3, FALSE), ""), "", IFERROR(VLOOKUP(DBL_FullList!I712, ContactsDbl!B:D, 3, FALSE), ""))</f>
        <v>http://www.wycliffe.org</v>
      </c>
      <c r="L712">
        <f t="shared" si="23"/>
        <v>2</v>
      </c>
    </row>
    <row r="713" spans="1:12" x14ac:dyDescent="0.25">
      <c r="A713" t="s">
        <v>5309</v>
      </c>
      <c r="B713" t="str">
        <f>IF(ISERROR(VLOOKUP(F713,STEP!A:A, 1, FALSE)), "N", "Y")</f>
        <v>Y</v>
      </c>
      <c r="C713" t="str">
        <f>IF(ISERROR(VLOOKUP(E713, BibleInEveryLanguageTexts!A:A, 1, FALSE)), "N", "Y")</f>
        <v>N</v>
      </c>
      <c r="D713" t="str">
        <f t="shared" si="22"/>
        <v/>
      </c>
      <c r="E713" t="s">
        <v>5310</v>
      </c>
      <c r="F713" t="s">
        <v>5311</v>
      </c>
      <c r="G713" t="s">
        <v>48</v>
      </c>
      <c r="H713" t="s">
        <v>5312</v>
      </c>
      <c r="I713" t="s">
        <v>2661</v>
      </c>
      <c r="J713" t="str">
        <f>IF(0 = IFERROR(VLOOKUP(DBL_FullList!I713, ContactsDbl!B:D, 2, FALSE), ""), "", IFERROR(VLOOKUP(DBL_FullList!I713, ContactsDbl!B:D, 2, FALSE), ""))</f>
        <v>dbladmin_intl@sil.org</v>
      </c>
      <c r="K713" t="str">
        <f>IF(0 = IFERROR(VLOOKUP(DBL_FullList!I713,ContactsDbl!B:D, 3, FALSE), ""), "", IFERROR(VLOOKUP(DBL_FullList!I713, ContactsDbl!B:D, 3, FALSE), ""))</f>
        <v>http://www.wycliffe.org</v>
      </c>
      <c r="L713">
        <f t="shared" si="23"/>
        <v>2</v>
      </c>
    </row>
    <row r="714" spans="1:12" x14ac:dyDescent="0.25">
      <c r="A714" t="s">
        <v>5313</v>
      </c>
      <c r="B714" t="str">
        <f>IF(ISERROR(VLOOKUP(F714,STEP!A:A, 1, FALSE)), "N", "Y")</f>
        <v>N</v>
      </c>
      <c r="C714" t="str">
        <f>IF(ISERROR(VLOOKUP(E714, BibleInEveryLanguageTexts!A:A, 1, FALSE)), "N", "Y")</f>
        <v>N</v>
      </c>
      <c r="D714" t="str">
        <f t="shared" si="22"/>
        <v>X</v>
      </c>
      <c r="E714" t="s">
        <v>5314</v>
      </c>
      <c r="F714" t="s">
        <v>4805</v>
      </c>
      <c r="G714" t="s">
        <v>3074</v>
      </c>
      <c r="H714" t="s">
        <v>5315</v>
      </c>
      <c r="I714" t="s">
        <v>2673</v>
      </c>
      <c r="J714" t="str">
        <f>IF(0 = IFERROR(VLOOKUP(DBL_FullList!I714, ContactsDbl!B:D, 2, FALSE), ""), "", IFERROR(VLOOKUP(DBL_FullList!I714, ContactsDbl!B:D, 2, FALSE), ""))</f>
        <v>gnyirenda@biblesociety-zambia.org</v>
      </c>
      <c r="K714" t="str">
        <f>IF(0 = IFERROR(VLOOKUP(DBL_FullList!I714,ContactsDbl!B:D, 3, FALSE), ""), "", IFERROR(VLOOKUP(DBL_FullList!I714, ContactsDbl!B:D, 3, FALSE), ""))</f>
        <v>www.biblesociety-zambia.org</v>
      </c>
      <c r="L714">
        <f t="shared" si="23"/>
        <v>2</v>
      </c>
    </row>
    <row r="715" spans="1:12" x14ac:dyDescent="0.25">
      <c r="A715" t="s">
        <v>5316</v>
      </c>
      <c r="B715" t="str">
        <f>IF(ISERROR(VLOOKUP(F715,STEP!A:A, 1, FALSE)), "N", "Y")</f>
        <v>N</v>
      </c>
      <c r="C715" t="str">
        <f>IF(ISERROR(VLOOKUP(E715, BibleInEveryLanguageTexts!A:A, 1, FALSE)), "N", "Y")</f>
        <v>N</v>
      </c>
      <c r="D715" t="str">
        <f t="shared" si="22"/>
        <v>X</v>
      </c>
      <c r="E715" t="s">
        <v>5317</v>
      </c>
      <c r="F715" t="s">
        <v>5318</v>
      </c>
      <c r="G715" t="s">
        <v>2738</v>
      </c>
      <c r="H715" t="s">
        <v>5319</v>
      </c>
      <c r="I715" t="s">
        <v>2661</v>
      </c>
      <c r="J715" t="str">
        <f>IF(0 = IFERROR(VLOOKUP(DBL_FullList!I715, ContactsDbl!B:D, 2, FALSE), ""), "", IFERROR(VLOOKUP(DBL_FullList!I715, ContactsDbl!B:D, 2, FALSE), ""))</f>
        <v>dbladmin_intl@sil.org</v>
      </c>
      <c r="K715" t="str">
        <f>IF(0 = IFERROR(VLOOKUP(DBL_FullList!I715,ContactsDbl!B:D, 3, FALSE), ""), "", IFERROR(VLOOKUP(DBL_FullList!I715, ContactsDbl!B:D, 3, FALSE), ""))</f>
        <v>http://www.wycliffe.org</v>
      </c>
      <c r="L715">
        <f t="shared" si="23"/>
        <v>2</v>
      </c>
    </row>
    <row r="716" spans="1:12" x14ac:dyDescent="0.25">
      <c r="A716" t="s">
        <v>5320</v>
      </c>
      <c r="B716" t="str">
        <f>IF(ISERROR(VLOOKUP(F716,STEP!A:A, 1, FALSE)), "N", "Y")</f>
        <v>N</v>
      </c>
      <c r="C716" t="str">
        <f>IF(ISERROR(VLOOKUP(E716, BibleInEveryLanguageTexts!A:A, 1, FALSE)), "N", "Y")</f>
        <v>N</v>
      </c>
      <c r="D716" t="str">
        <f t="shared" si="22"/>
        <v>X</v>
      </c>
      <c r="E716" t="s">
        <v>5321</v>
      </c>
      <c r="F716" t="s">
        <v>5322</v>
      </c>
      <c r="G716" t="s">
        <v>3221</v>
      </c>
      <c r="H716" t="s">
        <v>5323</v>
      </c>
      <c r="I716" t="s">
        <v>2213</v>
      </c>
      <c r="J716" t="str">
        <f>IF(0 = IFERROR(VLOOKUP(DBL_FullList!I716, ContactsDbl!B:D, 2, FALSE), ""), "", IFERROR(VLOOKUP(DBL_FullList!I716, ContactsDbl!B:D, 2, FALSE), ""))</f>
        <v/>
      </c>
      <c r="K716" t="str">
        <f>IF(0 = IFERROR(VLOOKUP(DBL_FullList!I716,ContactsDbl!B:D, 3, FALSE), ""), "", IFERROR(VLOOKUP(DBL_FullList!I716, ContactsDbl!B:D, 3, FALSE), ""))</f>
        <v/>
      </c>
      <c r="L716">
        <f t="shared" si="23"/>
        <v>0</v>
      </c>
    </row>
    <row r="717" spans="1:12" x14ac:dyDescent="0.25">
      <c r="A717" t="s">
        <v>5324</v>
      </c>
      <c r="B717" t="str">
        <f>IF(ISERROR(VLOOKUP(F717,STEP!A:A, 1, FALSE)), "N", "Y")</f>
        <v>N</v>
      </c>
      <c r="C717" t="str">
        <f>IF(ISERROR(VLOOKUP(E717, BibleInEveryLanguageTexts!A:A, 1, FALSE)), "N", "Y")</f>
        <v>N</v>
      </c>
      <c r="D717" t="str">
        <f t="shared" si="22"/>
        <v>X</v>
      </c>
      <c r="E717" t="s">
        <v>4340</v>
      </c>
      <c r="F717" t="s">
        <v>4341</v>
      </c>
      <c r="G717" t="s">
        <v>3663</v>
      </c>
      <c r="H717" t="s">
        <v>5325</v>
      </c>
      <c r="I717" t="s">
        <v>2001</v>
      </c>
      <c r="J717" t="str">
        <f>IF(0 = IFERROR(VLOOKUP(DBL_FullList!I717, ContactsDbl!B:D, 2, FALSE), ""), "", IFERROR(VLOOKUP(DBL_FullList!I717, ContactsDbl!B:D, 2, FALSE), ""))</f>
        <v>toni.petkova11@gmail.com</v>
      </c>
      <c r="K717" t="str">
        <f>IF(0 = IFERROR(VLOOKUP(DBL_FullList!I717,ContactsDbl!B:D, 3, FALSE), ""), "", IFERROR(VLOOKUP(DBL_FullList!I717, ContactsDbl!B:D, 3, FALSE), ""))</f>
        <v>http://www.bibleleague.bg/</v>
      </c>
      <c r="L717">
        <f t="shared" si="23"/>
        <v>2</v>
      </c>
    </row>
    <row r="718" spans="1:12" x14ac:dyDescent="0.25">
      <c r="A718" t="s">
        <v>5326</v>
      </c>
      <c r="B718" t="str">
        <f>IF(ISERROR(VLOOKUP(F718,STEP!A:A, 1, FALSE)), "N", "Y")</f>
        <v>Y</v>
      </c>
      <c r="C718" t="str">
        <f>IF(ISERROR(VLOOKUP(E718, BibleInEveryLanguageTexts!A:A, 1, FALSE)), "N", "Y")</f>
        <v>N</v>
      </c>
      <c r="D718" t="str">
        <f t="shared" si="22"/>
        <v/>
      </c>
      <c r="E718" t="s">
        <v>5327</v>
      </c>
      <c r="F718" t="s">
        <v>5328</v>
      </c>
      <c r="G718" t="s">
        <v>48</v>
      </c>
      <c r="H718" t="s">
        <v>5329</v>
      </c>
      <c r="I718" t="s">
        <v>2512</v>
      </c>
      <c r="J718" t="str">
        <f>IF(0 = IFERROR(VLOOKUP(DBL_FullList!I718, ContactsDbl!B:D, 2, FALSE), ""), "", IFERROR(VLOOKUP(DBL_FullList!I718, ContactsDbl!B:D, 2, FALSE), ""))</f>
        <v/>
      </c>
      <c r="K718" t="str">
        <f>IF(0 = IFERROR(VLOOKUP(DBL_FullList!I718,ContactsDbl!B:D, 3, FALSE), ""), "", IFERROR(VLOOKUP(DBL_FullList!I718, ContactsDbl!B:D, 3, FALSE), ""))</f>
        <v/>
      </c>
      <c r="L718">
        <f t="shared" si="23"/>
        <v>0</v>
      </c>
    </row>
    <row r="719" spans="1:12" x14ac:dyDescent="0.25">
      <c r="A719" t="s">
        <v>5330</v>
      </c>
      <c r="B719" t="str">
        <f>IF(ISERROR(VLOOKUP(F719,STEP!A:A, 1, FALSE)), "N", "Y")</f>
        <v>N</v>
      </c>
      <c r="C719" t="str">
        <f>IF(ISERROR(VLOOKUP(E719, BibleInEveryLanguageTexts!A:A, 1, FALSE)), "N", "Y")</f>
        <v>N</v>
      </c>
      <c r="D719" t="str">
        <f t="shared" si="22"/>
        <v>X</v>
      </c>
      <c r="E719" t="s">
        <v>5331</v>
      </c>
      <c r="F719" t="s">
        <v>175</v>
      </c>
      <c r="G719" t="s">
        <v>5332</v>
      </c>
      <c r="H719" t="s">
        <v>5333</v>
      </c>
      <c r="I719" t="s">
        <v>2556</v>
      </c>
      <c r="J719" t="str">
        <f>IF(0 = IFERROR(VLOOKUP(DBL_FullList!I719, ContactsDbl!B:D, 2, FALSE), ""), "", IFERROR(VLOOKUP(DBL_FullList!I719, ContactsDbl!B:D, 2, FALSE), ""))</f>
        <v>john.kutsko@sbl-site.org</v>
      </c>
      <c r="K719" t="str">
        <f>IF(0 = IFERROR(VLOOKUP(DBL_FullList!I719,ContactsDbl!B:D, 3, FALSE), ""), "", IFERROR(VLOOKUP(DBL_FullList!I719, ContactsDbl!B:D, 3, FALSE), ""))</f>
        <v>http://www.sbl-site.org/</v>
      </c>
      <c r="L719">
        <f t="shared" si="23"/>
        <v>2</v>
      </c>
    </row>
    <row r="720" spans="1:12" x14ac:dyDescent="0.25">
      <c r="A720" t="s">
        <v>5334</v>
      </c>
      <c r="B720" t="str">
        <f>IF(ISERROR(VLOOKUP(F720,STEP!A:A, 1, FALSE)), "N", "Y")</f>
        <v>N</v>
      </c>
      <c r="C720" t="str">
        <f>IF(ISERROR(VLOOKUP(E720, BibleInEveryLanguageTexts!A:A, 1, FALSE)), "N", "Y")</f>
        <v>N</v>
      </c>
      <c r="D720" t="str">
        <f t="shared" si="22"/>
        <v>X</v>
      </c>
      <c r="E720" t="s">
        <v>5335</v>
      </c>
      <c r="F720" t="s">
        <v>5336</v>
      </c>
      <c r="G720" t="s">
        <v>383</v>
      </c>
      <c r="H720" t="s">
        <v>5337</v>
      </c>
      <c r="I720" t="s">
        <v>2661</v>
      </c>
      <c r="J720" t="str">
        <f>IF(0 = IFERROR(VLOOKUP(DBL_FullList!I720, ContactsDbl!B:D, 2, FALSE), ""), "", IFERROR(VLOOKUP(DBL_FullList!I720, ContactsDbl!B:D, 2, FALSE), ""))</f>
        <v>dbladmin_intl@sil.org</v>
      </c>
      <c r="K720" t="str">
        <f>IF(0 = IFERROR(VLOOKUP(DBL_FullList!I720,ContactsDbl!B:D, 3, FALSE), ""), "", IFERROR(VLOOKUP(DBL_FullList!I720, ContactsDbl!B:D, 3, FALSE), ""))</f>
        <v>http://www.wycliffe.org</v>
      </c>
      <c r="L720">
        <f t="shared" si="23"/>
        <v>2</v>
      </c>
    </row>
    <row r="721" spans="1:12" x14ac:dyDescent="0.25">
      <c r="A721" t="s">
        <v>5338</v>
      </c>
      <c r="B721" t="str">
        <f>IF(ISERROR(VLOOKUP(F721,STEP!A:A, 1, FALSE)), "N", "Y")</f>
        <v>Y</v>
      </c>
      <c r="C721" t="str">
        <f>IF(ISERROR(VLOOKUP(E721, BibleInEveryLanguageTexts!A:A, 1, FALSE)), "N", "Y")</f>
        <v>N</v>
      </c>
      <c r="D721" t="str">
        <f t="shared" si="22"/>
        <v/>
      </c>
      <c r="E721" t="s">
        <v>5339</v>
      </c>
      <c r="F721" t="s">
        <v>5340</v>
      </c>
      <c r="G721" t="s">
        <v>48</v>
      </c>
      <c r="H721" t="s">
        <v>5341</v>
      </c>
      <c r="I721" t="s">
        <v>2661</v>
      </c>
      <c r="J721" t="str">
        <f>IF(0 = IFERROR(VLOOKUP(DBL_FullList!I721, ContactsDbl!B:D, 2, FALSE), ""), "", IFERROR(VLOOKUP(DBL_FullList!I721, ContactsDbl!B:D, 2, FALSE), ""))</f>
        <v>dbladmin_intl@sil.org</v>
      </c>
      <c r="K721" t="str">
        <f>IF(0 = IFERROR(VLOOKUP(DBL_FullList!I721,ContactsDbl!B:D, 3, FALSE), ""), "", IFERROR(VLOOKUP(DBL_FullList!I721, ContactsDbl!B:D, 3, FALSE), ""))</f>
        <v>http://www.wycliffe.org</v>
      </c>
      <c r="L721">
        <f t="shared" si="23"/>
        <v>2</v>
      </c>
    </row>
    <row r="722" spans="1:12" x14ac:dyDescent="0.25">
      <c r="A722" t="s">
        <v>5342</v>
      </c>
      <c r="B722" t="str">
        <f>IF(ISERROR(VLOOKUP(F722,STEP!A:A, 1, FALSE)), "N", "Y")</f>
        <v>N</v>
      </c>
      <c r="C722" t="str">
        <f>IF(ISERROR(VLOOKUP(E722, BibleInEveryLanguageTexts!A:A, 1, FALSE)), "N", "Y")</f>
        <v>N</v>
      </c>
      <c r="D722" t="str">
        <f t="shared" si="22"/>
        <v>X</v>
      </c>
      <c r="E722" t="s">
        <v>5343</v>
      </c>
      <c r="F722" t="s">
        <v>5344</v>
      </c>
      <c r="G722" t="s">
        <v>25</v>
      </c>
      <c r="H722" t="s">
        <v>5345</v>
      </c>
      <c r="I722" t="s">
        <v>2661</v>
      </c>
      <c r="J722" t="str">
        <f>IF(0 = IFERROR(VLOOKUP(DBL_FullList!I722, ContactsDbl!B:D, 2, FALSE), ""), "", IFERROR(VLOOKUP(DBL_FullList!I722, ContactsDbl!B:D, 2, FALSE), ""))</f>
        <v>dbladmin_intl@sil.org</v>
      </c>
      <c r="K722" t="str">
        <f>IF(0 = IFERROR(VLOOKUP(DBL_FullList!I722,ContactsDbl!B:D, 3, FALSE), ""), "", IFERROR(VLOOKUP(DBL_FullList!I722, ContactsDbl!B:D, 3, FALSE), ""))</f>
        <v>http://www.wycliffe.org</v>
      </c>
      <c r="L722">
        <f t="shared" si="23"/>
        <v>2</v>
      </c>
    </row>
    <row r="723" spans="1:12" x14ac:dyDescent="0.25">
      <c r="A723" t="s">
        <v>5346</v>
      </c>
      <c r="B723" t="str">
        <f>IF(ISERROR(VLOOKUP(F723,STEP!A:A, 1, FALSE)), "N", "Y")</f>
        <v>N</v>
      </c>
      <c r="C723" t="str">
        <f>IF(ISERROR(VLOOKUP(E723, BibleInEveryLanguageTexts!A:A, 1, FALSE)), "N", "Y")</f>
        <v>N</v>
      </c>
      <c r="D723" t="str">
        <f t="shared" si="22"/>
        <v>X</v>
      </c>
      <c r="E723" t="s">
        <v>5347</v>
      </c>
      <c r="F723" t="s">
        <v>5348</v>
      </c>
      <c r="G723" t="s">
        <v>2858</v>
      </c>
      <c r="H723" t="s">
        <v>5349</v>
      </c>
      <c r="I723" t="s">
        <v>2661</v>
      </c>
      <c r="J723" t="str">
        <f>IF(0 = IFERROR(VLOOKUP(DBL_FullList!I723, ContactsDbl!B:D, 2, FALSE), ""), "", IFERROR(VLOOKUP(DBL_FullList!I723, ContactsDbl!B:D, 2, FALSE), ""))</f>
        <v>dbladmin_intl@sil.org</v>
      </c>
      <c r="K723" t="str">
        <f>IF(0 = IFERROR(VLOOKUP(DBL_FullList!I723,ContactsDbl!B:D, 3, FALSE), ""), "", IFERROR(VLOOKUP(DBL_FullList!I723, ContactsDbl!B:D, 3, FALSE), ""))</f>
        <v>http://www.wycliffe.org</v>
      </c>
      <c r="L723">
        <f t="shared" si="23"/>
        <v>2</v>
      </c>
    </row>
    <row r="724" spans="1:12" x14ac:dyDescent="0.25">
      <c r="A724" t="s">
        <v>5350</v>
      </c>
      <c r="B724" t="str">
        <f>IF(ISERROR(VLOOKUP(F724,STEP!A:A, 1, FALSE)), "N", "Y")</f>
        <v>N</v>
      </c>
      <c r="C724" t="str">
        <f>IF(ISERROR(VLOOKUP(E724, BibleInEveryLanguageTexts!A:A, 1, FALSE)), "N", "Y")</f>
        <v>N</v>
      </c>
      <c r="D724" t="str">
        <f t="shared" si="22"/>
        <v>X</v>
      </c>
      <c r="E724" t="s">
        <v>5351</v>
      </c>
      <c r="F724" t="s">
        <v>5352</v>
      </c>
      <c r="G724" t="s">
        <v>5353</v>
      </c>
      <c r="H724" t="s">
        <v>5354</v>
      </c>
      <c r="I724" t="s">
        <v>2661</v>
      </c>
      <c r="J724" t="str">
        <f>IF(0 = IFERROR(VLOOKUP(DBL_FullList!I724, ContactsDbl!B:D, 2, FALSE), ""), "", IFERROR(VLOOKUP(DBL_FullList!I724, ContactsDbl!B:D, 2, FALSE), ""))</f>
        <v>dbladmin_intl@sil.org</v>
      </c>
      <c r="K724" t="str">
        <f>IF(0 = IFERROR(VLOOKUP(DBL_FullList!I724,ContactsDbl!B:D, 3, FALSE), ""), "", IFERROR(VLOOKUP(DBL_FullList!I724, ContactsDbl!B:D, 3, FALSE), ""))</f>
        <v>http://www.wycliffe.org</v>
      </c>
      <c r="L724">
        <f t="shared" si="23"/>
        <v>2</v>
      </c>
    </row>
    <row r="725" spans="1:12" x14ac:dyDescent="0.25">
      <c r="A725" t="s">
        <v>5355</v>
      </c>
      <c r="B725" t="str">
        <f>IF(ISERROR(VLOOKUP(F725,STEP!A:A, 1, FALSE)), "N", "Y")</f>
        <v>Y</v>
      </c>
      <c r="C725" t="str">
        <f>IF(ISERROR(VLOOKUP(E725, BibleInEveryLanguageTexts!A:A, 1, FALSE)), "N", "Y")</f>
        <v>N</v>
      </c>
      <c r="D725" t="str">
        <f t="shared" si="22"/>
        <v/>
      </c>
      <c r="E725" t="s">
        <v>5356</v>
      </c>
      <c r="F725" t="s">
        <v>5357</v>
      </c>
      <c r="G725" t="s">
        <v>48</v>
      </c>
      <c r="H725" t="s">
        <v>5358</v>
      </c>
      <c r="I725" t="s">
        <v>2661</v>
      </c>
      <c r="J725" t="str">
        <f>IF(0 = IFERROR(VLOOKUP(DBL_FullList!I725, ContactsDbl!B:D, 2, FALSE), ""), "", IFERROR(VLOOKUP(DBL_FullList!I725, ContactsDbl!B:D, 2, FALSE), ""))</f>
        <v>dbladmin_intl@sil.org</v>
      </c>
      <c r="K725" t="str">
        <f>IF(0 = IFERROR(VLOOKUP(DBL_FullList!I725,ContactsDbl!B:D, 3, FALSE), ""), "", IFERROR(VLOOKUP(DBL_FullList!I725, ContactsDbl!B:D, 3, FALSE), ""))</f>
        <v>http://www.wycliffe.org</v>
      </c>
      <c r="L725">
        <f t="shared" si="23"/>
        <v>2</v>
      </c>
    </row>
    <row r="726" spans="1:12" x14ac:dyDescent="0.25">
      <c r="A726" t="s">
        <v>5359</v>
      </c>
      <c r="B726" t="str">
        <f>IF(ISERROR(VLOOKUP(F726,STEP!A:A, 1, FALSE)), "N", "Y")</f>
        <v>N</v>
      </c>
      <c r="C726" t="str">
        <f>IF(ISERROR(VLOOKUP(E726, BibleInEveryLanguageTexts!A:A, 1, FALSE)), "N", "Y")</f>
        <v>N</v>
      </c>
      <c r="D726" t="str">
        <f t="shared" si="22"/>
        <v>X</v>
      </c>
      <c r="E726" t="s">
        <v>5360</v>
      </c>
      <c r="F726" t="s">
        <v>5361</v>
      </c>
      <c r="G726" t="s">
        <v>3984</v>
      </c>
      <c r="H726" t="s">
        <v>5362</v>
      </c>
      <c r="I726" t="s">
        <v>2661</v>
      </c>
      <c r="J726" t="str">
        <f>IF(0 = IFERROR(VLOOKUP(DBL_FullList!I726, ContactsDbl!B:D, 2, FALSE), ""), "", IFERROR(VLOOKUP(DBL_FullList!I726, ContactsDbl!B:D, 2, FALSE), ""))</f>
        <v>dbladmin_intl@sil.org</v>
      </c>
      <c r="K726" t="str">
        <f>IF(0 = IFERROR(VLOOKUP(DBL_FullList!I726,ContactsDbl!B:D, 3, FALSE), ""), "", IFERROR(VLOOKUP(DBL_FullList!I726, ContactsDbl!B:D, 3, FALSE), ""))</f>
        <v>http://www.wycliffe.org</v>
      </c>
      <c r="L726">
        <f t="shared" si="23"/>
        <v>2</v>
      </c>
    </row>
    <row r="727" spans="1:12" x14ac:dyDescent="0.25">
      <c r="A727" t="s">
        <v>5363</v>
      </c>
      <c r="B727" t="str">
        <f>IF(ISERROR(VLOOKUP(F727,STEP!A:A, 1, FALSE)), "N", "Y")</f>
        <v>Y</v>
      </c>
      <c r="C727" t="str">
        <f>IF(ISERROR(VLOOKUP(E727, BibleInEveryLanguageTexts!A:A, 1, FALSE)), "N", "Y")</f>
        <v>N</v>
      </c>
      <c r="D727" t="str">
        <f t="shared" si="22"/>
        <v/>
      </c>
      <c r="E727" t="s">
        <v>5364</v>
      </c>
      <c r="F727" t="s">
        <v>5365</v>
      </c>
      <c r="G727" t="s">
        <v>48</v>
      </c>
      <c r="H727" t="s">
        <v>5366</v>
      </c>
      <c r="I727" t="s">
        <v>2661</v>
      </c>
      <c r="J727" t="str">
        <f>IF(0 = IFERROR(VLOOKUP(DBL_FullList!I727, ContactsDbl!B:D, 2, FALSE), ""), "", IFERROR(VLOOKUP(DBL_FullList!I727, ContactsDbl!B:D, 2, FALSE), ""))</f>
        <v>dbladmin_intl@sil.org</v>
      </c>
      <c r="K727" t="str">
        <f>IF(0 = IFERROR(VLOOKUP(DBL_FullList!I727,ContactsDbl!B:D, 3, FALSE), ""), "", IFERROR(VLOOKUP(DBL_FullList!I727, ContactsDbl!B:D, 3, FALSE), ""))</f>
        <v>http://www.wycliffe.org</v>
      </c>
      <c r="L727">
        <f t="shared" si="23"/>
        <v>2</v>
      </c>
    </row>
    <row r="728" spans="1:12" x14ac:dyDescent="0.25">
      <c r="A728" t="s">
        <v>5367</v>
      </c>
      <c r="B728" t="str">
        <f>IF(ISERROR(VLOOKUP(F728,STEP!A:A, 1, FALSE)), "N", "Y")</f>
        <v>N</v>
      </c>
      <c r="C728" t="str">
        <f>IF(ISERROR(VLOOKUP(E728, BibleInEveryLanguageTexts!A:A, 1, FALSE)), "N", "Y")</f>
        <v>N</v>
      </c>
      <c r="D728" t="str">
        <f t="shared" si="22"/>
        <v>X</v>
      </c>
      <c r="E728" t="s">
        <v>5368</v>
      </c>
      <c r="F728" t="s">
        <v>5369</v>
      </c>
      <c r="G728" t="s">
        <v>3984</v>
      </c>
      <c r="H728" t="s">
        <v>5370</v>
      </c>
      <c r="I728" t="s">
        <v>2661</v>
      </c>
      <c r="J728" t="str">
        <f>IF(0 = IFERROR(VLOOKUP(DBL_FullList!I728, ContactsDbl!B:D, 2, FALSE), ""), "", IFERROR(VLOOKUP(DBL_FullList!I728, ContactsDbl!B:D, 2, FALSE), ""))</f>
        <v>dbladmin_intl@sil.org</v>
      </c>
      <c r="K728" t="str">
        <f>IF(0 = IFERROR(VLOOKUP(DBL_FullList!I728,ContactsDbl!B:D, 3, FALSE), ""), "", IFERROR(VLOOKUP(DBL_FullList!I728, ContactsDbl!B:D, 3, FALSE), ""))</f>
        <v>http://www.wycliffe.org</v>
      </c>
      <c r="L728">
        <f t="shared" si="23"/>
        <v>2</v>
      </c>
    </row>
    <row r="729" spans="1:12" x14ac:dyDescent="0.25">
      <c r="A729" t="s">
        <v>5371</v>
      </c>
      <c r="B729" t="str">
        <f>IF(ISERROR(VLOOKUP(F729,STEP!A:A, 1, FALSE)), "N", "Y")</f>
        <v>N</v>
      </c>
      <c r="C729" t="str">
        <f>IF(ISERROR(VLOOKUP(E729, BibleInEveryLanguageTexts!A:A, 1, FALSE)), "N", "Y")</f>
        <v>N</v>
      </c>
      <c r="D729" t="str">
        <f t="shared" si="22"/>
        <v>X</v>
      </c>
      <c r="E729" t="s">
        <v>3271</v>
      </c>
      <c r="F729" t="s">
        <v>3272</v>
      </c>
      <c r="G729" t="s">
        <v>268</v>
      </c>
      <c r="H729" t="s">
        <v>5372</v>
      </c>
      <c r="I729" t="s">
        <v>3104</v>
      </c>
      <c r="J729" t="str">
        <f>IF(0 = IFERROR(VLOOKUP(DBL_FullList!I729, ContactsDbl!B:D, 2, FALSE), ""), "", IFERROR(VLOOKUP(DBL_FullList!I729, ContactsDbl!B:D, 2, FALSE), ""))</f>
        <v/>
      </c>
      <c r="K729" t="str">
        <f>IF(0 = IFERROR(VLOOKUP(DBL_FullList!I729,ContactsDbl!B:D, 3, FALSE), ""), "", IFERROR(VLOOKUP(DBL_FullList!I729, ContactsDbl!B:D, 3, FALSE), ""))</f>
        <v/>
      </c>
      <c r="L729">
        <f t="shared" si="23"/>
        <v>0</v>
      </c>
    </row>
    <row r="730" spans="1:12" x14ac:dyDescent="0.25">
      <c r="A730" t="s">
        <v>5373</v>
      </c>
      <c r="B730" t="str">
        <f>IF(ISERROR(VLOOKUP(F730,STEP!A:A, 1, FALSE)), "N", "Y")</f>
        <v>N</v>
      </c>
      <c r="C730" t="str">
        <f>IF(ISERROR(VLOOKUP(E730, BibleInEveryLanguageTexts!A:A, 1, FALSE)), "N", "Y")</f>
        <v>N</v>
      </c>
      <c r="D730" t="str">
        <f t="shared" si="22"/>
        <v>X</v>
      </c>
      <c r="E730" t="s">
        <v>5374</v>
      </c>
      <c r="F730" t="s">
        <v>5375</v>
      </c>
      <c r="G730" t="s">
        <v>2984</v>
      </c>
      <c r="H730" t="s">
        <v>5376</v>
      </c>
      <c r="I730" t="s">
        <v>183</v>
      </c>
      <c r="J730" t="str">
        <f>IF(0 = IFERROR(VLOOKUP(DBL_FullList!I730, ContactsDbl!B:D, 2, FALSE), ""), "", IFERROR(VLOOKUP(DBL_FullList!I730, ContactsDbl!B:D, 2, FALSE), ""))</f>
        <v>dbl@biblesocieties.org</v>
      </c>
      <c r="K730" t="str">
        <f>IF(0 = IFERROR(VLOOKUP(DBL_FullList!I730,ContactsDbl!B:D, 3, FALSE), ""), "", IFERROR(VLOOKUP(DBL_FullList!I730, ContactsDbl!B:D, 3, FALSE), ""))</f>
        <v>http://www.unitedbiblesocieties.org/</v>
      </c>
      <c r="L730">
        <f t="shared" si="23"/>
        <v>2</v>
      </c>
    </row>
    <row r="731" spans="1:12" x14ac:dyDescent="0.25">
      <c r="A731" t="s">
        <v>5377</v>
      </c>
      <c r="B731" t="str">
        <f>IF(ISERROR(VLOOKUP(F731,STEP!A:A, 1, FALSE)), "N", "Y")</f>
        <v>N</v>
      </c>
      <c r="C731" t="str">
        <f>IF(ISERROR(VLOOKUP(E731, BibleInEveryLanguageTexts!A:A, 1, FALSE)), "N", "Y")</f>
        <v>N</v>
      </c>
      <c r="D731" t="str">
        <f t="shared" si="22"/>
        <v>X</v>
      </c>
      <c r="E731" t="s">
        <v>5378</v>
      </c>
      <c r="F731" t="s">
        <v>5379</v>
      </c>
      <c r="G731" t="s">
        <v>25</v>
      </c>
      <c r="H731" t="s">
        <v>5380</v>
      </c>
      <c r="I731" t="s">
        <v>2661</v>
      </c>
      <c r="J731" t="str">
        <f>IF(0 = IFERROR(VLOOKUP(DBL_FullList!I731, ContactsDbl!B:D, 2, FALSE), ""), "", IFERROR(VLOOKUP(DBL_FullList!I731, ContactsDbl!B:D, 2, FALSE), ""))</f>
        <v>dbladmin_intl@sil.org</v>
      </c>
      <c r="K731" t="str">
        <f>IF(0 = IFERROR(VLOOKUP(DBL_FullList!I731,ContactsDbl!B:D, 3, FALSE), ""), "", IFERROR(VLOOKUP(DBL_FullList!I731, ContactsDbl!B:D, 3, FALSE), ""))</f>
        <v>http://www.wycliffe.org</v>
      </c>
      <c r="L731">
        <f t="shared" si="23"/>
        <v>2</v>
      </c>
    </row>
    <row r="732" spans="1:12" x14ac:dyDescent="0.25">
      <c r="A732" t="s">
        <v>5381</v>
      </c>
      <c r="B732" t="str">
        <f>IF(ISERROR(VLOOKUP(F732,STEP!A:A, 1, FALSE)), "N", "Y")</f>
        <v>N</v>
      </c>
      <c r="C732" t="str">
        <f>IF(ISERROR(VLOOKUP(E732, BibleInEveryLanguageTexts!A:A, 1, FALSE)), "N", "Y")</f>
        <v>N</v>
      </c>
      <c r="D732" t="str">
        <f t="shared" si="22"/>
        <v>X</v>
      </c>
      <c r="E732" t="s">
        <v>5382</v>
      </c>
      <c r="F732" t="s">
        <v>5383</v>
      </c>
      <c r="G732" t="s">
        <v>20</v>
      </c>
      <c r="H732" t="s">
        <v>5384</v>
      </c>
      <c r="I732" t="s">
        <v>2329</v>
      </c>
      <c r="J732" t="str">
        <f>IF(0 = IFERROR(VLOOKUP(DBL_FullList!I732, ContactsDbl!B:D, 2, FALSE), ""), "", IFERROR(VLOOKUP(DBL_FullList!I732, ContactsDbl!B:D, 2, FALSE), ""))</f>
        <v/>
      </c>
      <c r="K732" t="str">
        <f>IF(0 = IFERROR(VLOOKUP(DBL_FullList!I732,ContactsDbl!B:D, 3, FALSE), ""), "", IFERROR(VLOOKUP(DBL_FullList!I732, ContactsDbl!B:D, 3, FALSE), ""))</f>
        <v>http://www.bsind.org/</v>
      </c>
      <c r="L732">
        <f t="shared" si="23"/>
        <v>1</v>
      </c>
    </row>
    <row r="733" spans="1:12" x14ac:dyDescent="0.25">
      <c r="A733" t="s">
        <v>5385</v>
      </c>
      <c r="B733" t="str">
        <f>IF(ISERROR(VLOOKUP(F733,STEP!A:A, 1, FALSE)), "N", "Y")</f>
        <v>N</v>
      </c>
      <c r="C733" t="str">
        <f>IF(ISERROR(VLOOKUP(E733, BibleInEveryLanguageTexts!A:A, 1, FALSE)), "N", "Y")</f>
        <v>N</v>
      </c>
      <c r="D733" t="str">
        <f t="shared" si="22"/>
        <v>X</v>
      </c>
      <c r="E733" t="s">
        <v>5386</v>
      </c>
      <c r="F733" t="s">
        <v>5387</v>
      </c>
      <c r="G733" t="s">
        <v>11</v>
      </c>
      <c r="H733" t="s">
        <v>5388</v>
      </c>
      <c r="I733" t="s">
        <v>1964</v>
      </c>
      <c r="J733" t="str">
        <f>IF(0 = IFERROR(VLOOKUP(DBL_FullList!I733, ContactsDbl!B:D, 2, FALSE), ""), "", IFERROR(VLOOKUP(DBL_FullList!I733, ContactsDbl!B:D, 2, FALSE), ""))</f>
        <v/>
      </c>
      <c r="K733" t="str">
        <f>IF(0 = IFERROR(VLOOKUP(DBL_FullList!I733,ContactsDbl!B:D, 3, FALSE), ""), "", IFERROR(VLOOKUP(DBL_FullList!I733, ContactsDbl!B:D, 3, FALSE), ""))</f>
        <v>http://www.americanbible.org/</v>
      </c>
      <c r="L733">
        <f t="shared" si="23"/>
        <v>1</v>
      </c>
    </row>
    <row r="734" spans="1:12" x14ac:dyDescent="0.25">
      <c r="A734" t="s">
        <v>5389</v>
      </c>
      <c r="B734" t="str">
        <f>IF(ISERROR(VLOOKUP(F734,STEP!A:A, 1, FALSE)), "N", "Y")</f>
        <v>N</v>
      </c>
      <c r="C734" t="str">
        <f>IF(ISERROR(VLOOKUP(E734, BibleInEveryLanguageTexts!A:A, 1, FALSE)), "N", "Y")</f>
        <v>N</v>
      </c>
      <c r="D734" t="str">
        <f t="shared" si="22"/>
        <v>X</v>
      </c>
      <c r="E734" t="s">
        <v>5390</v>
      </c>
      <c r="F734" t="s">
        <v>5391</v>
      </c>
      <c r="G734" t="s">
        <v>2756</v>
      </c>
      <c r="H734" t="s">
        <v>5392</v>
      </c>
      <c r="I734" t="s">
        <v>2661</v>
      </c>
      <c r="J734" t="str">
        <f>IF(0 = IFERROR(VLOOKUP(DBL_FullList!I734, ContactsDbl!B:D, 2, FALSE), ""), "", IFERROR(VLOOKUP(DBL_FullList!I734, ContactsDbl!B:D, 2, FALSE), ""))</f>
        <v>dbladmin_intl@sil.org</v>
      </c>
      <c r="K734" t="str">
        <f>IF(0 = IFERROR(VLOOKUP(DBL_FullList!I734,ContactsDbl!B:D, 3, FALSE), ""), "", IFERROR(VLOOKUP(DBL_FullList!I734, ContactsDbl!B:D, 3, FALSE), ""))</f>
        <v>http://www.wycliffe.org</v>
      </c>
      <c r="L734">
        <f t="shared" si="23"/>
        <v>2</v>
      </c>
    </row>
    <row r="735" spans="1:12" x14ac:dyDescent="0.25">
      <c r="A735" t="s">
        <v>5393</v>
      </c>
      <c r="B735" t="str">
        <f>IF(ISERROR(VLOOKUP(F735,STEP!A:A, 1, FALSE)), "N", "Y")</f>
        <v>N</v>
      </c>
      <c r="C735" t="str">
        <f>IF(ISERROR(VLOOKUP(E735, BibleInEveryLanguageTexts!A:A, 1, FALSE)), "N", "Y")</f>
        <v>N</v>
      </c>
      <c r="D735" t="str">
        <f t="shared" si="22"/>
        <v>X</v>
      </c>
      <c r="E735" t="s">
        <v>5394</v>
      </c>
      <c r="F735" t="s">
        <v>5395</v>
      </c>
      <c r="G735" t="s">
        <v>2848</v>
      </c>
      <c r="H735" t="s">
        <v>5396</v>
      </c>
      <c r="I735" t="s">
        <v>2661</v>
      </c>
      <c r="J735" t="str">
        <f>IF(0 = IFERROR(VLOOKUP(DBL_FullList!I735, ContactsDbl!B:D, 2, FALSE), ""), "", IFERROR(VLOOKUP(DBL_FullList!I735, ContactsDbl!B:D, 2, FALSE), ""))</f>
        <v>dbladmin_intl@sil.org</v>
      </c>
      <c r="K735" t="str">
        <f>IF(0 = IFERROR(VLOOKUP(DBL_FullList!I735,ContactsDbl!B:D, 3, FALSE), ""), "", IFERROR(VLOOKUP(DBL_FullList!I735, ContactsDbl!B:D, 3, FALSE), ""))</f>
        <v>http://www.wycliffe.org</v>
      </c>
      <c r="L735">
        <f t="shared" si="23"/>
        <v>2</v>
      </c>
    </row>
    <row r="736" spans="1:12" x14ac:dyDescent="0.25">
      <c r="A736" t="s">
        <v>5397</v>
      </c>
      <c r="B736" t="str">
        <f>IF(ISERROR(VLOOKUP(F736,STEP!A:A, 1, FALSE)), "N", "Y")</f>
        <v>N</v>
      </c>
      <c r="C736" t="str">
        <f>IF(ISERROR(VLOOKUP(E736, BibleInEveryLanguageTexts!A:A, 1, FALSE)), "N", "Y")</f>
        <v>N</v>
      </c>
      <c r="D736" t="str">
        <f t="shared" si="22"/>
        <v>X</v>
      </c>
      <c r="E736" t="s">
        <v>5398</v>
      </c>
      <c r="F736" t="s">
        <v>5399</v>
      </c>
      <c r="G736" t="s">
        <v>5400</v>
      </c>
      <c r="H736" t="s">
        <v>5401</v>
      </c>
      <c r="I736" t="s">
        <v>1969</v>
      </c>
      <c r="J736" t="str">
        <f>IF(0 = IFERROR(VLOOKUP(DBL_FullList!I736, ContactsDbl!B:D, 2, FALSE), ""), "", IFERROR(VLOOKUP(DBL_FullList!I736, ContactsDbl!B:D, 2, FALSE), ""))</f>
        <v>information@aramaicbible.org</v>
      </c>
      <c r="K736" t="str">
        <f>IF(0 = IFERROR(VLOOKUP(DBL_FullList!I736,ContactsDbl!B:D, 3, FALSE), ""), "", IFERROR(VLOOKUP(DBL_FullList!I736, ContactsDbl!B:D, 3, FALSE), ""))</f>
        <v>http://www.aramaicbible.org/</v>
      </c>
      <c r="L736">
        <f t="shared" si="23"/>
        <v>2</v>
      </c>
    </row>
    <row r="737" spans="1:12" x14ac:dyDescent="0.25">
      <c r="A737" t="s">
        <v>5402</v>
      </c>
      <c r="B737" t="str">
        <f>IF(ISERROR(VLOOKUP(F737,STEP!A:A, 1, FALSE)), "N", "Y")</f>
        <v>N</v>
      </c>
      <c r="C737" t="str">
        <f>IF(ISERROR(VLOOKUP(E737, BibleInEveryLanguageTexts!A:A, 1, FALSE)), "N", "Y")</f>
        <v>N</v>
      </c>
      <c r="D737" t="str">
        <f t="shared" si="22"/>
        <v>X</v>
      </c>
      <c r="E737" t="s">
        <v>5403</v>
      </c>
      <c r="F737" t="s">
        <v>5404</v>
      </c>
      <c r="G737" t="s">
        <v>20</v>
      </c>
      <c r="H737" t="s">
        <v>5405</v>
      </c>
      <c r="I737" t="s">
        <v>2329</v>
      </c>
      <c r="J737" t="str">
        <f>IF(0 = IFERROR(VLOOKUP(DBL_FullList!I737, ContactsDbl!B:D, 2, FALSE), ""), "", IFERROR(VLOOKUP(DBL_FullList!I737, ContactsDbl!B:D, 2, FALSE), ""))</f>
        <v/>
      </c>
      <c r="K737" t="str">
        <f>IF(0 = IFERROR(VLOOKUP(DBL_FullList!I737,ContactsDbl!B:D, 3, FALSE), ""), "", IFERROR(VLOOKUP(DBL_FullList!I737, ContactsDbl!B:D, 3, FALSE), ""))</f>
        <v>http://www.bsind.org/</v>
      </c>
      <c r="L737">
        <f t="shared" si="23"/>
        <v>1</v>
      </c>
    </row>
    <row r="738" spans="1:12" x14ac:dyDescent="0.25">
      <c r="A738" t="s">
        <v>5406</v>
      </c>
      <c r="B738" t="str">
        <f>IF(ISERROR(VLOOKUP(F738,STEP!A:A, 1, FALSE)), "N", "Y")</f>
        <v>N</v>
      </c>
      <c r="C738" t="str">
        <f>IF(ISERROR(VLOOKUP(E738, BibleInEveryLanguageTexts!A:A, 1, FALSE)), "N", "Y")</f>
        <v>N</v>
      </c>
      <c r="D738" t="str">
        <f t="shared" si="22"/>
        <v>X</v>
      </c>
      <c r="E738" t="s">
        <v>5407</v>
      </c>
      <c r="F738" t="s">
        <v>5408</v>
      </c>
      <c r="G738" t="s">
        <v>2743</v>
      </c>
      <c r="H738" t="s">
        <v>5409</v>
      </c>
      <c r="I738" t="s">
        <v>2661</v>
      </c>
      <c r="J738" t="str">
        <f>IF(0 = IFERROR(VLOOKUP(DBL_FullList!I738, ContactsDbl!B:D, 2, FALSE), ""), "", IFERROR(VLOOKUP(DBL_FullList!I738, ContactsDbl!B:D, 2, FALSE), ""))</f>
        <v>dbladmin_intl@sil.org</v>
      </c>
      <c r="K738" t="str">
        <f>IF(0 = IFERROR(VLOOKUP(DBL_FullList!I738,ContactsDbl!B:D, 3, FALSE), ""), "", IFERROR(VLOOKUP(DBL_FullList!I738, ContactsDbl!B:D, 3, FALSE), ""))</f>
        <v>http://www.wycliffe.org</v>
      </c>
      <c r="L738">
        <f t="shared" si="23"/>
        <v>2</v>
      </c>
    </row>
    <row r="739" spans="1:12" x14ac:dyDescent="0.25">
      <c r="A739" t="s">
        <v>5410</v>
      </c>
      <c r="B739" t="str">
        <f>IF(ISERROR(VLOOKUP(F739,STEP!A:A, 1, FALSE)), "N", "Y")</f>
        <v>N</v>
      </c>
      <c r="C739" t="str">
        <f>IF(ISERROR(VLOOKUP(E739, BibleInEveryLanguageTexts!A:A, 1, FALSE)), "N", "Y")</f>
        <v>N</v>
      </c>
      <c r="D739" t="str">
        <f t="shared" si="22"/>
        <v>X</v>
      </c>
      <c r="E739" t="s">
        <v>5411</v>
      </c>
      <c r="F739" t="s">
        <v>5412</v>
      </c>
      <c r="G739" t="s">
        <v>110</v>
      </c>
      <c r="H739" t="s">
        <v>5413</v>
      </c>
      <c r="I739" t="s">
        <v>2370</v>
      </c>
      <c r="J739" t="str">
        <f>IF(0 = IFERROR(VLOOKUP(DBL_FullList!I739, ContactsDbl!B:D, 2, FALSE), ""), "", IFERROR(VLOOKUP(DBL_FullList!I739, ContactsDbl!B:D, 2, FALSE), ""))</f>
        <v>anwartjen@alkitab.or.id</v>
      </c>
      <c r="K739" t="str">
        <f>IF(0 = IFERROR(VLOOKUP(DBL_FullList!I739,ContactsDbl!B:D, 3, FALSE), ""), "", IFERROR(VLOOKUP(DBL_FullList!I739, ContactsDbl!B:D, 3, FALSE), ""))</f>
        <v>http://www.alkitab.or.id/</v>
      </c>
      <c r="L739">
        <f t="shared" si="23"/>
        <v>2</v>
      </c>
    </row>
    <row r="740" spans="1:12" x14ac:dyDescent="0.25">
      <c r="A740" t="s">
        <v>5414</v>
      </c>
      <c r="B740" t="str">
        <f>IF(ISERROR(VLOOKUP(F740,STEP!A:A, 1, FALSE)), "N", "Y")</f>
        <v>N</v>
      </c>
      <c r="C740" t="str">
        <f>IF(ISERROR(VLOOKUP(E740, BibleInEveryLanguageTexts!A:A, 1, FALSE)), "N", "Y")</f>
        <v>N</v>
      </c>
      <c r="D740" t="str">
        <f t="shared" si="22"/>
        <v>X</v>
      </c>
      <c r="E740" t="s">
        <v>199</v>
      </c>
      <c r="F740" t="s">
        <v>197</v>
      </c>
      <c r="G740" t="s">
        <v>2942</v>
      </c>
      <c r="H740" t="s">
        <v>5415</v>
      </c>
      <c r="I740" t="s">
        <v>183</v>
      </c>
      <c r="J740" t="str">
        <f>IF(0 = IFERROR(VLOOKUP(DBL_FullList!I740, ContactsDbl!B:D, 2, FALSE), ""), "", IFERROR(VLOOKUP(DBL_FullList!I740, ContactsDbl!B:D, 2, FALSE), ""))</f>
        <v>dbl@biblesocieties.org</v>
      </c>
      <c r="K740" t="str">
        <f>IF(0 = IFERROR(VLOOKUP(DBL_FullList!I740,ContactsDbl!B:D, 3, FALSE), ""), "", IFERROR(VLOOKUP(DBL_FullList!I740, ContactsDbl!B:D, 3, FALSE), ""))</f>
        <v>http://www.unitedbiblesocieties.org/</v>
      </c>
      <c r="L740">
        <f t="shared" si="23"/>
        <v>2</v>
      </c>
    </row>
    <row r="741" spans="1:12" x14ac:dyDescent="0.25">
      <c r="A741" t="s">
        <v>5416</v>
      </c>
      <c r="B741" t="str">
        <f>IF(ISERROR(VLOOKUP(F741,STEP!A:A, 1, FALSE)), "N", "Y")</f>
        <v>N</v>
      </c>
      <c r="C741" t="str">
        <f>IF(ISERROR(VLOOKUP(E741, BibleInEveryLanguageTexts!A:A, 1, FALSE)), "N", "Y")</f>
        <v>N</v>
      </c>
      <c r="D741" t="str">
        <f t="shared" si="22"/>
        <v>X</v>
      </c>
      <c r="E741" t="s">
        <v>5168</v>
      </c>
      <c r="F741" t="s">
        <v>5169</v>
      </c>
      <c r="G741" t="s">
        <v>268</v>
      </c>
      <c r="H741" t="s">
        <v>5417</v>
      </c>
      <c r="I741" t="s">
        <v>3104</v>
      </c>
      <c r="J741" t="str">
        <f>IF(0 = IFERROR(VLOOKUP(DBL_FullList!I741, ContactsDbl!B:D, 2, FALSE), ""), "", IFERROR(VLOOKUP(DBL_FullList!I741, ContactsDbl!B:D, 2, FALSE), ""))</f>
        <v/>
      </c>
      <c r="K741" t="str">
        <f>IF(0 = IFERROR(VLOOKUP(DBL_FullList!I741,ContactsDbl!B:D, 3, FALSE), ""), "", IFERROR(VLOOKUP(DBL_FullList!I741, ContactsDbl!B:D, 3, FALSE), ""))</f>
        <v/>
      </c>
      <c r="L741">
        <f t="shared" si="23"/>
        <v>0</v>
      </c>
    </row>
    <row r="742" spans="1:12" x14ac:dyDescent="0.25">
      <c r="A742" s="1" t="s">
        <v>5418</v>
      </c>
      <c r="B742" t="str">
        <f>IF(ISERROR(VLOOKUP(F742,STEP!A:A, 1, FALSE)), "N", "Y")</f>
        <v>N</v>
      </c>
      <c r="C742" t="str">
        <f>IF(ISERROR(VLOOKUP(E742, BibleInEveryLanguageTexts!A:A, 1, FALSE)), "N", "Y")</f>
        <v>N</v>
      </c>
      <c r="D742" t="str">
        <f t="shared" si="22"/>
        <v>X</v>
      </c>
      <c r="E742" t="s">
        <v>3088</v>
      </c>
      <c r="F742" t="s">
        <v>3089</v>
      </c>
      <c r="G742" t="s">
        <v>3090</v>
      </c>
      <c r="H742" t="s">
        <v>5419</v>
      </c>
      <c r="I742" t="s">
        <v>2222</v>
      </c>
      <c r="J742" t="str">
        <f>IF(0 = IFERROR(VLOOKUP(DBL_FullList!I742, ContactsDbl!B:D, 2, FALSE), ""), "", IFERROR(VLOOKUP(DBL_FullList!I742, ContactsDbl!B:D, 2, FALSE), ""))</f>
        <v>info@piplia.fi</v>
      </c>
      <c r="K742" t="str">
        <f>IF(0 = IFERROR(VLOOKUP(DBL_FullList!I742,ContactsDbl!B:D, 3, FALSE), ""), "", IFERROR(VLOOKUP(DBL_FullList!I742, ContactsDbl!B:D, 3, FALSE), ""))</f>
        <v>http://www.bible.fi/</v>
      </c>
      <c r="L742">
        <f t="shared" si="23"/>
        <v>2</v>
      </c>
    </row>
    <row r="743" spans="1:12" x14ac:dyDescent="0.25">
      <c r="A743" t="s">
        <v>5420</v>
      </c>
      <c r="B743" t="str">
        <f>IF(ISERROR(VLOOKUP(F743,STEP!A:A, 1, FALSE)), "N", "Y")</f>
        <v>N</v>
      </c>
      <c r="C743" t="str">
        <f>IF(ISERROR(VLOOKUP(E743, BibleInEveryLanguageTexts!A:A, 1, FALSE)), "N", "Y")</f>
        <v>N</v>
      </c>
      <c r="D743" t="str">
        <f t="shared" si="22"/>
        <v>X</v>
      </c>
      <c r="E743" t="s">
        <v>3030</v>
      </c>
      <c r="F743" t="s">
        <v>3031</v>
      </c>
      <c r="G743" t="s">
        <v>171</v>
      </c>
      <c r="H743" t="s">
        <v>5421</v>
      </c>
      <c r="I743" t="s">
        <v>168</v>
      </c>
      <c r="J743" t="str">
        <f>IF(0 = IFERROR(VLOOKUP(DBL_FullList!I743, ContactsDbl!B:D, 2, FALSE), ""), "", IFERROR(VLOOKUP(DBL_FullList!I743, ContactsDbl!B:D, 2, FALSE), ""))</f>
        <v>admin@biblesociety-ethiopia.org</v>
      </c>
      <c r="K743" t="str">
        <f>IF(0 = IFERROR(VLOOKUP(DBL_FullList!I743,ContactsDbl!B:D, 3, FALSE), ""), "", IFERROR(VLOOKUP(DBL_FullList!I743, ContactsDbl!B:D, 3, FALSE), ""))</f>
        <v>http://biblesociety-ethiopia.org</v>
      </c>
      <c r="L743">
        <f t="shared" si="23"/>
        <v>2</v>
      </c>
    </row>
    <row r="744" spans="1:12" x14ac:dyDescent="0.25">
      <c r="A744" t="s">
        <v>5422</v>
      </c>
      <c r="B744" t="str">
        <f>IF(ISERROR(VLOOKUP(F744,STEP!A:A, 1, FALSE)), "N", "Y")</f>
        <v>N</v>
      </c>
      <c r="C744" t="str">
        <f>IF(ISERROR(VLOOKUP(E744, BibleInEveryLanguageTexts!A:A, 1, FALSE)), "N", "Y")</f>
        <v>N</v>
      </c>
      <c r="D744" t="str">
        <f t="shared" si="22"/>
        <v>X</v>
      </c>
      <c r="E744" t="s">
        <v>5423</v>
      </c>
      <c r="F744" t="s">
        <v>5424</v>
      </c>
      <c r="G744" t="s">
        <v>171</v>
      </c>
      <c r="H744" t="s">
        <v>5425</v>
      </c>
      <c r="I744" t="s">
        <v>168</v>
      </c>
      <c r="J744" t="str">
        <f>IF(0 = IFERROR(VLOOKUP(DBL_FullList!I744, ContactsDbl!B:D, 2, FALSE), ""), "", IFERROR(VLOOKUP(DBL_FullList!I744, ContactsDbl!B:D, 2, FALSE), ""))</f>
        <v>admin@biblesociety-ethiopia.org</v>
      </c>
      <c r="K744" t="str">
        <f>IF(0 = IFERROR(VLOOKUP(DBL_FullList!I744,ContactsDbl!B:D, 3, FALSE), ""), "", IFERROR(VLOOKUP(DBL_FullList!I744, ContactsDbl!B:D, 3, FALSE), ""))</f>
        <v>http://biblesociety-ethiopia.org</v>
      </c>
      <c r="L744">
        <f t="shared" si="23"/>
        <v>2</v>
      </c>
    </row>
    <row r="745" spans="1:12" x14ac:dyDescent="0.25">
      <c r="A745" t="s">
        <v>5426</v>
      </c>
      <c r="B745" t="str">
        <f>IF(ISERROR(VLOOKUP(F745,STEP!A:A, 1, FALSE)), "N", "Y")</f>
        <v>N</v>
      </c>
      <c r="C745" t="str">
        <f>IF(ISERROR(VLOOKUP(E745, BibleInEveryLanguageTexts!A:A, 1, FALSE)), "N", "Y")</f>
        <v>Y</v>
      </c>
      <c r="D745" t="str">
        <f t="shared" si="22"/>
        <v/>
      </c>
      <c r="E745" t="s">
        <v>2700</v>
      </c>
      <c r="F745" t="s">
        <v>3317</v>
      </c>
      <c r="G745" t="s">
        <v>3418</v>
      </c>
      <c r="H745" t="s">
        <v>5427</v>
      </c>
      <c r="I745" t="s">
        <v>2226</v>
      </c>
      <c r="J745" t="str">
        <f>IF(0 = IFERROR(VLOOKUP(DBL_FullList!I745, ContactsDbl!B:D, 2, FALSE), ""), "", IFERROR(VLOOKUP(DBL_FullList!I745, ContactsDbl!B:D, 2, FALSE), ""))</f>
        <v>alliance.biblique@sbf.fr</v>
      </c>
      <c r="K745" t="str">
        <f>IF(0 = IFERROR(VLOOKUP(DBL_FullList!I745,ContactsDbl!B:D, 3, FALSE), ""), "", IFERROR(VLOOKUP(DBL_FullList!I745, ContactsDbl!B:D, 3, FALSE), ""))</f>
        <v>www.alliancebiblique.fr</v>
      </c>
      <c r="L745">
        <f t="shared" si="23"/>
        <v>2</v>
      </c>
    </row>
    <row r="746" spans="1:12" x14ac:dyDescent="0.25">
      <c r="A746" t="s">
        <v>5428</v>
      </c>
      <c r="B746" t="str">
        <f>IF(ISERROR(VLOOKUP(F746,STEP!A:A, 1, FALSE)), "N", "Y")</f>
        <v>N</v>
      </c>
      <c r="C746" t="str">
        <f>IF(ISERROR(VLOOKUP(E746, BibleInEveryLanguageTexts!A:A, 1, FALSE)), "N", "Y")</f>
        <v>N</v>
      </c>
      <c r="D746" t="str">
        <f t="shared" si="22"/>
        <v>X</v>
      </c>
      <c r="E746" t="s">
        <v>5429</v>
      </c>
      <c r="F746" t="s">
        <v>5430</v>
      </c>
      <c r="G746" t="s">
        <v>20</v>
      </c>
      <c r="H746" t="s">
        <v>5431</v>
      </c>
      <c r="I746" t="s">
        <v>2329</v>
      </c>
      <c r="J746" t="str">
        <f>IF(0 = IFERROR(VLOOKUP(DBL_FullList!I746, ContactsDbl!B:D, 2, FALSE), ""), "", IFERROR(VLOOKUP(DBL_FullList!I746, ContactsDbl!B:D, 2, FALSE), ""))</f>
        <v/>
      </c>
      <c r="K746" t="str">
        <f>IF(0 = IFERROR(VLOOKUP(DBL_FullList!I746,ContactsDbl!B:D, 3, FALSE), ""), "", IFERROR(VLOOKUP(DBL_FullList!I746, ContactsDbl!B:D, 3, FALSE), ""))</f>
        <v>http://www.bsind.org/</v>
      </c>
      <c r="L746">
        <f t="shared" si="23"/>
        <v>1</v>
      </c>
    </row>
    <row r="747" spans="1:12" x14ac:dyDescent="0.25">
      <c r="A747" t="s">
        <v>5432</v>
      </c>
      <c r="B747" t="str">
        <f>IF(ISERROR(VLOOKUP(F747,STEP!A:A, 1, FALSE)), "N", "Y")</f>
        <v>N</v>
      </c>
      <c r="C747" t="str">
        <f>IF(ISERROR(VLOOKUP(E747, BibleInEveryLanguageTexts!A:A, 1, FALSE)), "N", "Y")</f>
        <v>N</v>
      </c>
      <c r="D747" t="str">
        <f t="shared" si="22"/>
        <v>X</v>
      </c>
      <c r="E747" t="s">
        <v>5433</v>
      </c>
      <c r="F747" t="s">
        <v>5434</v>
      </c>
      <c r="G747" t="s">
        <v>5239</v>
      </c>
      <c r="H747" t="s">
        <v>5435</v>
      </c>
      <c r="I747" t="s">
        <v>2487</v>
      </c>
      <c r="J747" t="str">
        <f>IF(0 = IFERROR(VLOOKUP(DBL_FullList!I747, ContactsDbl!B:D, 2, FALSE), ""), "", IFERROR(VLOOKUP(DBL_FullList!I747, ContactsDbl!B:D, 2, FALSE), ""))</f>
        <v/>
      </c>
      <c r="K747" t="str">
        <f>IF(0 = IFERROR(VLOOKUP(DBL_FullList!I747,ContactsDbl!B:D, 3, FALSE), ""), "", IFERROR(VLOOKUP(DBL_FullList!I747, ContactsDbl!B:D, 3, FALSE), ""))</f>
        <v>http://www.bibelselskapet.no/</v>
      </c>
      <c r="L747">
        <f t="shared" si="23"/>
        <v>1</v>
      </c>
    </row>
    <row r="748" spans="1:12" x14ac:dyDescent="0.25">
      <c r="A748" t="s">
        <v>5436</v>
      </c>
      <c r="B748" t="str">
        <f>IF(ISERROR(VLOOKUP(F748,STEP!A:A, 1, FALSE)), "N", "Y")</f>
        <v>N</v>
      </c>
      <c r="C748" t="str">
        <f>IF(ISERROR(VLOOKUP(E748, BibleInEveryLanguageTexts!A:A, 1, FALSE)), "N", "Y")</f>
        <v>N</v>
      </c>
      <c r="D748" t="str">
        <f t="shared" si="22"/>
        <v>X</v>
      </c>
      <c r="E748" t="s">
        <v>334</v>
      </c>
      <c r="F748" t="s">
        <v>332</v>
      </c>
      <c r="G748" t="s">
        <v>333</v>
      </c>
      <c r="H748" t="s">
        <v>5437</v>
      </c>
      <c r="I748" t="s">
        <v>2534</v>
      </c>
      <c r="J748" t="str">
        <f>IF(0 = IFERROR(VLOOKUP(DBL_FullList!I748, ContactsDbl!B:D, 2, FALSE), ""), "", IFERROR(VLOOKUP(DBL_FullList!I748, ContactsDbl!B:D, 2, FALSE), ""))</f>
        <v>elismar@sbb.org.br</v>
      </c>
      <c r="K748" t="str">
        <f>IF(0 = IFERROR(VLOOKUP(DBL_FullList!I748,ContactsDbl!B:D, 3, FALSE), ""), "", IFERROR(VLOOKUP(DBL_FullList!I748, ContactsDbl!B:D, 3, FALSE), ""))</f>
        <v>http://www.sbb.org.br</v>
      </c>
      <c r="L748">
        <f t="shared" si="23"/>
        <v>2</v>
      </c>
    </row>
    <row r="749" spans="1:12" x14ac:dyDescent="0.25">
      <c r="A749" t="s">
        <v>5438</v>
      </c>
      <c r="B749" t="str">
        <f>IF(ISERROR(VLOOKUP(F749,STEP!A:A, 1, FALSE)), "N", "Y")</f>
        <v>Y</v>
      </c>
      <c r="C749" t="str">
        <f>IF(ISERROR(VLOOKUP(E749, BibleInEveryLanguageTexts!A:A, 1, FALSE)), "N", "Y")</f>
        <v>N</v>
      </c>
      <c r="D749" t="str">
        <f t="shared" si="22"/>
        <v/>
      </c>
      <c r="E749" t="s">
        <v>4258</v>
      </c>
      <c r="F749" t="s">
        <v>4259</v>
      </c>
      <c r="G749" t="s">
        <v>27</v>
      </c>
      <c r="H749" t="s">
        <v>5439</v>
      </c>
      <c r="I749" t="s">
        <v>3104</v>
      </c>
      <c r="J749" t="str">
        <f>IF(0 = IFERROR(VLOOKUP(DBL_FullList!I749, ContactsDbl!B:D, 2, FALSE), ""), "", IFERROR(VLOOKUP(DBL_FullList!I749, ContactsDbl!B:D, 2, FALSE), ""))</f>
        <v/>
      </c>
      <c r="K749" t="str">
        <f>IF(0 = IFERROR(VLOOKUP(DBL_FullList!I749,ContactsDbl!B:D, 3, FALSE), ""), "", IFERROR(VLOOKUP(DBL_FullList!I749, ContactsDbl!B:D, 3, FALSE), ""))</f>
        <v/>
      </c>
      <c r="L749">
        <f t="shared" si="23"/>
        <v>0</v>
      </c>
    </row>
    <row r="750" spans="1:12" x14ac:dyDescent="0.25">
      <c r="A750" t="s">
        <v>5440</v>
      </c>
      <c r="B750" t="str">
        <f>IF(ISERROR(VLOOKUP(F750,STEP!A:A, 1, FALSE)), "N", "Y")</f>
        <v>N</v>
      </c>
      <c r="C750" t="str">
        <f>IF(ISERROR(VLOOKUP(E750, BibleInEveryLanguageTexts!A:A, 1, FALSE)), "N", "Y")</f>
        <v>N</v>
      </c>
      <c r="D750" t="str">
        <f t="shared" si="22"/>
        <v>X</v>
      </c>
      <c r="E750" t="s">
        <v>5148</v>
      </c>
      <c r="F750" t="s">
        <v>5149</v>
      </c>
      <c r="G750" t="s">
        <v>268</v>
      </c>
      <c r="H750" t="s">
        <v>5150</v>
      </c>
      <c r="I750" t="s">
        <v>2131</v>
      </c>
      <c r="J750" t="str">
        <f>IF(0 = IFERROR(VLOOKUP(DBL_FullList!I750, ContactsDbl!B:D, 2, FALSE), ""), "", IFERROR(VLOOKUP(DBL_FullList!I750, ContactsDbl!B:D, 2, FALSE), ""))</f>
        <v>dbl@biblesociety.ca</v>
      </c>
      <c r="K750" t="str">
        <f>IF(0 = IFERROR(VLOOKUP(DBL_FullList!I750,ContactsDbl!B:D, 3, FALSE), ""), "", IFERROR(VLOOKUP(DBL_FullList!I750, ContactsDbl!B:D, 3, FALSE), ""))</f>
        <v>http://www.biblesociety.ca</v>
      </c>
      <c r="L750">
        <f t="shared" si="23"/>
        <v>2</v>
      </c>
    </row>
    <row r="751" spans="1:12" x14ac:dyDescent="0.25">
      <c r="A751" s="1" t="s">
        <v>5441</v>
      </c>
      <c r="B751" t="str">
        <f>IF(ISERROR(VLOOKUP(F751,STEP!A:A, 1, FALSE)), "N", "Y")</f>
        <v>N</v>
      </c>
      <c r="C751" t="str">
        <f>IF(ISERROR(VLOOKUP(E751, BibleInEveryLanguageTexts!A:A, 1, FALSE)), "N", "Y")</f>
        <v>N</v>
      </c>
      <c r="D751" t="str">
        <f t="shared" si="22"/>
        <v>X</v>
      </c>
      <c r="E751" t="s">
        <v>5442</v>
      </c>
      <c r="F751" t="s">
        <v>5443</v>
      </c>
      <c r="G751" t="s">
        <v>268</v>
      </c>
      <c r="H751" t="s">
        <v>5444</v>
      </c>
      <c r="I751" t="s">
        <v>2131</v>
      </c>
      <c r="J751" t="str">
        <f>IF(0 = IFERROR(VLOOKUP(DBL_FullList!I751, ContactsDbl!B:D, 2, FALSE), ""), "", IFERROR(VLOOKUP(DBL_FullList!I751, ContactsDbl!B:D, 2, FALSE), ""))</f>
        <v>dbl@biblesociety.ca</v>
      </c>
      <c r="K751" t="str">
        <f>IF(0 = IFERROR(VLOOKUP(DBL_FullList!I751,ContactsDbl!B:D, 3, FALSE), ""), "", IFERROR(VLOOKUP(DBL_FullList!I751, ContactsDbl!B:D, 3, FALSE), ""))</f>
        <v>http://www.biblesociety.ca</v>
      </c>
      <c r="L751">
        <f t="shared" si="23"/>
        <v>2</v>
      </c>
    </row>
    <row r="752" spans="1:12" x14ac:dyDescent="0.25">
      <c r="A752" t="s">
        <v>5445</v>
      </c>
      <c r="B752" t="str">
        <f>IF(ISERROR(VLOOKUP(F752,STEP!A:A, 1, FALSE)), "N", "Y")</f>
        <v>N</v>
      </c>
      <c r="C752" t="str">
        <f>IF(ISERROR(VLOOKUP(E752, BibleInEveryLanguageTexts!A:A, 1, FALSE)), "N", "Y")</f>
        <v>N</v>
      </c>
      <c r="D752" t="str">
        <f t="shared" si="22"/>
        <v>X</v>
      </c>
      <c r="E752" t="s">
        <v>5446</v>
      </c>
      <c r="F752" t="s">
        <v>5447</v>
      </c>
      <c r="G752" t="s">
        <v>2880</v>
      </c>
      <c r="H752" t="s">
        <v>5448</v>
      </c>
      <c r="I752" t="s">
        <v>2661</v>
      </c>
      <c r="J752" t="str">
        <f>IF(0 = IFERROR(VLOOKUP(DBL_FullList!I752, ContactsDbl!B:D, 2, FALSE), ""), "", IFERROR(VLOOKUP(DBL_FullList!I752, ContactsDbl!B:D, 2, FALSE), ""))</f>
        <v>dbladmin_intl@sil.org</v>
      </c>
      <c r="K752" t="str">
        <f>IF(0 = IFERROR(VLOOKUP(DBL_FullList!I752,ContactsDbl!B:D, 3, FALSE), ""), "", IFERROR(VLOOKUP(DBL_FullList!I752, ContactsDbl!B:D, 3, FALSE), ""))</f>
        <v>http://www.wycliffe.org</v>
      </c>
      <c r="L752">
        <f t="shared" si="23"/>
        <v>2</v>
      </c>
    </row>
    <row r="753" spans="1:12" x14ac:dyDescent="0.25">
      <c r="A753" t="s">
        <v>5449</v>
      </c>
      <c r="B753" t="str">
        <f>IF(ISERROR(VLOOKUP(F753,STEP!A:A, 1, FALSE)), "N", "Y")</f>
        <v>N</v>
      </c>
      <c r="C753" t="str">
        <f>IF(ISERROR(VLOOKUP(E753, BibleInEveryLanguageTexts!A:A, 1, FALSE)), "N", "Y")</f>
        <v>N</v>
      </c>
      <c r="D753" t="str">
        <f t="shared" si="22"/>
        <v>X</v>
      </c>
      <c r="E753" t="s">
        <v>5450</v>
      </c>
      <c r="F753" t="s">
        <v>5451</v>
      </c>
      <c r="G753" t="s">
        <v>171</v>
      </c>
      <c r="H753" t="s">
        <v>5452</v>
      </c>
      <c r="I753" t="s">
        <v>168</v>
      </c>
      <c r="J753" t="str">
        <f>IF(0 = IFERROR(VLOOKUP(DBL_FullList!I753, ContactsDbl!B:D, 2, FALSE), ""), "", IFERROR(VLOOKUP(DBL_FullList!I753, ContactsDbl!B:D, 2, FALSE), ""))</f>
        <v>admin@biblesociety-ethiopia.org</v>
      </c>
      <c r="K753" t="str">
        <f>IF(0 = IFERROR(VLOOKUP(DBL_FullList!I753,ContactsDbl!B:D, 3, FALSE), ""), "", IFERROR(VLOOKUP(DBL_FullList!I753, ContactsDbl!B:D, 3, FALSE), ""))</f>
        <v>http://biblesociety-ethiopia.org</v>
      </c>
      <c r="L753">
        <f t="shared" si="23"/>
        <v>2</v>
      </c>
    </row>
    <row r="754" spans="1:12" x14ac:dyDescent="0.25">
      <c r="A754" t="s">
        <v>5453</v>
      </c>
      <c r="B754" t="str">
        <f>IF(ISERROR(VLOOKUP(F754,STEP!A:A, 1, FALSE)), "N", "Y")</f>
        <v>N</v>
      </c>
      <c r="C754" t="str">
        <f>IF(ISERROR(VLOOKUP(E754, BibleInEveryLanguageTexts!A:A, 1, FALSE)), "N", "Y")</f>
        <v>N</v>
      </c>
      <c r="D754" t="str">
        <f t="shared" si="22"/>
        <v>X</v>
      </c>
      <c r="E754" t="s">
        <v>5454</v>
      </c>
      <c r="F754" t="s">
        <v>5455</v>
      </c>
      <c r="G754" t="s">
        <v>2997</v>
      </c>
      <c r="H754" t="s">
        <v>5456</v>
      </c>
      <c r="I754" t="s">
        <v>2248</v>
      </c>
      <c r="J754" t="str">
        <f>IF(0 = IFERROR(VLOOKUP(DBL_FullList!I754, ContactsDbl!B:D, 2, FALSE), ""), "", IFERROR(VLOOKUP(DBL_FullList!I754, ContactsDbl!B:D, 2, FALSE), ""))</f>
        <v>dokurugu@biblesociety-ghana.org</v>
      </c>
      <c r="K754" t="str">
        <f>IF(0 = IFERROR(VLOOKUP(DBL_FullList!I754,ContactsDbl!B:D, 3, FALSE), ""), "", IFERROR(VLOOKUP(DBL_FullList!I754, ContactsDbl!B:D, 3, FALSE), ""))</f>
        <v>http://www.biblesociety-ghana.org/</v>
      </c>
      <c r="L754">
        <f t="shared" si="23"/>
        <v>2</v>
      </c>
    </row>
    <row r="755" spans="1:12" x14ac:dyDescent="0.25">
      <c r="A755" t="s">
        <v>5457</v>
      </c>
      <c r="B755" t="str">
        <f>IF(ISERROR(VLOOKUP(F755,STEP!A:A, 1, FALSE)), "N", "Y")</f>
        <v>Y</v>
      </c>
      <c r="C755" t="str">
        <f>IF(ISERROR(VLOOKUP(E755, BibleInEveryLanguageTexts!A:A, 1, FALSE)), "N", "Y")</f>
        <v>N</v>
      </c>
      <c r="D755" t="str">
        <f t="shared" si="22"/>
        <v/>
      </c>
      <c r="E755" t="s">
        <v>5458</v>
      </c>
      <c r="F755" t="s">
        <v>5459</v>
      </c>
      <c r="G755" t="s">
        <v>48</v>
      </c>
      <c r="H755" t="s">
        <v>5460</v>
      </c>
      <c r="I755" t="s">
        <v>2661</v>
      </c>
      <c r="J755" t="str">
        <f>IF(0 = IFERROR(VLOOKUP(DBL_FullList!I755, ContactsDbl!B:D, 2, FALSE), ""), "", IFERROR(VLOOKUP(DBL_FullList!I755, ContactsDbl!B:D, 2, FALSE), ""))</f>
        <v>dbladmin_intl@sil.org</v>
      </c>
      <c r="K755" t="str">
        <f>IF(0 = IFERROR(VLOOKUP(DBL_FullList!I755,ContactsDbl!B:D, 3, FALSE), ""), "", IFERROR(VLOOKUP(DBL_FullList!I755, ContactsDbl!B:D, 3, FALSE), ""))</f>
        <v>http://www.wycliffe.org</v>
      </c>
      <c r="L755">
        <f t="shared" si="23"/>
        <v>2</v>
      </c>
    </row>
    <row r="756" spans="1:12" x14ac:dyDescent="0.25">
      <c r="A756" t="s">
        <v>5461</v>
      </c>
      <c r="B756" t="str">
        <f>IF(ISERROR(VLOOKUP(F756,STEP!A:A, 1, FALSE)), "N", "Y")</f>
        <v>N</v>
      </c>
      <c r="C756" t="str">
        <f>IF(ISERROR(VLOOKUP(E756, BibleInEveryLanguageTexts!A:A, 1, FALSE)), "N", "Y")</f>
        <v>N</v>
      </c>
      <c r="D756" t="str">
        <f t="shared" si="22"/>
        <v>X</v>
      </c>
      <c r="E756" t="s">
        <v>5462</v>
      </c>
      <c r="F756" t="s">
        <v>5463</v>
      </c>
      <c r="G756" t="s">
        <v>3816</v>
      </c>
      <c r="H756" t="s">
        <v>5464</v>
      </c>
      <c r="I756" t="s">
        <v>2599</v>
      </c>
      <c r="J756" t="str">
        <f>IF(0 = IFERROR(VLOOKUP(DBL_FullList!I756, ContactsDbl!B:D, 2, FALSE), ""), "", IFERROR(VLOOKUP(DBL_FullList!I756, ContactsDbl!B:D, 2, FALSE), ""))</f>
        <v>ismailkanani@biblesocieties.org</v>
      </c>
      <c r="K756" t="str">
        <f>IF(0 = IFERROR(VLOOKUP(DBL_FullList!I756,ContactsDbl!B:D, 3, FALSE), ""), "", IFERROR(VLOOKUP(DBL_FullList!I756, ContactsDbl!B:D, 3, FALSE), ""))</f>
        <v>http://biblesociety-sudan.org/</v>
      </c>
      <c r="L756">
        <f t="shared" si="23"/>
        <v>2</v>
      </c>
    </row>
    <row r="757" spans="1:12" x14ac:dyDescent="0.25">
      <c r="A757" t="s">
        <v>5465</v>
      </c>
      <c r="B757" t="str">
        <f>IF(ISERROR(VLOOKUP(F757,STEP!A:A, 1, FALSE)), "N", "Y")</f>
        <v>Y</v>
      </c>
      <c r="C757" t="str">
        <f>IF(ISERROR(VLOOKUP(E757, BibleInEveryLanguageTexts!A:A, 1, FALSE)), "N", "Y")</f>
        <v>N</v>
      </c>
      <c r="D757" t="str">
        <f t="shared" si="22"/>
        <v/>
      </c>
      <c r="E757" t="s">
        <v>5466</v>
      </c>
      <c r="F757" t="s">
        <v>5467</v>
      </c>
      <c r="G757" t="s">
        <v>48</v>
      </c>
      <c r="H757" t="s">
        <v>5468</v>
      </c>
      <c r="I757" t="s">
        <v>2661</v>
      </c>
      <c r="J757" t="str">
        <f>IF(0 = IFERROR(VLOOKUP(DBL_FullList!I757, ContactsDbl!B:D, 2, FALSE), ""), "", IFERROR(VLOOKUP(DBL_FullList!I757, ContactsDbl!B:D, 2, FALSE), ""))</f>
        <v>dbladmin_intl@sil.org</v>
      </c>
      <c r="K757" t="str">
        <f>IF(0 = IFERROR(VLOOKUP(DBL_FullList!I757,ContactsDbl!B:D, 3, FALSE), ""), "", IFERROR(VLOOKUP(DBL_FullList!I757, ContactsDbl!B:D, 3, FALSE), ""))</f>
        <v>http://www.wycliffe.org</v>
      </c>
      <c r="L757">
        <f t="shared" si="23"/>
        <v>2</v>
      </c>
    </row>
    <row r="758" spans="1:12" x14ac:dyDescent="0.25">
      <c r="A758" t="s">
        <v>5469</v>
      </c>
      <c r="B758" t="str">
        <f>IF(ISERROR(VLOOKUP(F758,STEP!A:A, 1, FALSE)), "N", "Y")</f>
        <v>N</v>
      </c>
      <c r="C758" t="str">
        <f>IF(ISERROR(VLOOKUP(E758, BibleInEveryLanguageTexts!A:A, 1, FALSE)), "N", "Y")</f>
        <v>N</v>
      </c>
      <c r="D758" t="str">
        <f t="shared" si="22"/>
        <v>X</v>
      </c>
      <c r="E758" t="s">
        <v>5470</v>
      </c>
      <c r="F758" t="s">
        <v>5471</v>
      </c>
      <c r="G758" t="s">
        <v>2756</v>
      </c>
      <c r="H758" t="s">
        <v>5472</v>
      </c>
      <c r="I758" t="s">
        <v>2126</v>
      </c>
      <c r="J758" t="str">
        <f>IF(0 = IFERROR(VLOOKUP(DBL_FullList!I758, ContactsDbl!B:D, 2, FALSE), ""), "", IFERROR(VLOOKUP(DBL_FullList!I758, ContactsDbl!B:D, 2, FALSE), ""))</f>
        <v>gluke@biblesocieties.org</v>
      </c>
      <c r="K758" t="str">
        <f>IF(0 = IFERROR(VLOOKUP(DBL_FullList!I758,ContactsDbl!B:D, 3, FALSE), ""), "", IFERROR(VLOOKUP(DBL_FullList!I758, ContactsDbl!B:D, 3, FALSE), ""))</f>
        <v>http://www.biblesociety-cameroon.org/</v>
      </c>
      <c r="L758">
        <f t="shared" si="23"/>
        <v>2</v>
      </c>
    </row>
    <row r="759" spans="1:12" x14ac:dyDescent="0.25">
      <c r="A759" t="s">
        <v>5473</v>
      </c>
      <c r="B759" t="str">
        <f>IF(ISERROR(VLOOKUP(F759,STEP!A:A, 1, FALSE)), "N", "Y")</f>
        <v>N</v>
      </c>
      <c r="C759" t="str">
        <f>IF(ISERROR(VLOOKUP(E759, BibleInEveryLanguageTexts!A:A, 1, FALSE)), "N", "Y")</f>
        <v>N</v>
      </c>
      <c r="D759" t="str">
        <f t="shared" si="22"/>
        <v>X</v>
      </c>
      <c r="E759" t="s">
        <v>5474</v>
      </c>
      <c r="F759" t="s">
        <v>5475</v>
      </c>
      <c r="G759" t="s">
        <v>2723</v>
      </c>
      <c r="H759" t="s">
        <v>5476</v>
      </c>
      <c r="I759" t="s">
        <v>2661</v>
      </c>
      <c r="J759" t="str">
        <f>IF(0 = IFERROR(VLOOKUP(DBL_FullList!I759, ContactsDbl!B:D, 2, FALSE), ""), "", IFERROR(VLOOKUP(DBL_FullList!I759, ContactsDbl!B:D, 2, FALSE), ""))</f>
        <v>dbladmin_intl@sil.org</v>
      </c>
      <c r="K759" t="str">
        <f>IF(0 = IFERROR(VLOOKUP(DBL_FullList!I759,ContactsDbl!B:D, 3, FALSE), ""), "", IFERROR(VLOOKUP(DBL_FullList!I759, ContactsDbl!B:D, 3, FALSE), ""))</f>
        <v>http://www.wycliffe.org</v>
      </c>
      <c r="L759">
        <f t="shared" si="23"/>
        <v>2</v>
      </c>
    </row>
    <row r="760" spans="1:12" x14ac:dyDescent="0.25">
      <c r="A760" t="s">
        <v>5477</v>
      </c>
      <c r="B760" t="str">
        <f>IF(ISERROR(VLOOKUP(F760,STEP!A:A, 1, FALSE)), "N", "Y")</f>
        <v>N</v>
      </c>
      <c r="C760" t="str">
        <f>IF(ISERROR(VLOOKUP(E760, BibleInEveryLanguageTexts!A:A, 1, FALSE)), "N", "Y")</f>
        <v>N</v>
      </c>
      <c r="D760" t="str">
        <f t="shared" si="22"/>
        <v>X</v>
      </c>
      <c r="E760" t="s">
        <v>5478</v>
      </c>
      <c r="F760" t="s">
        <v>5479</v>
      </c>
      <c r="G760" t="s">
        <v>2833</v>
      </c>
      <c r="H760" t="s">
        <v>5480</v>
      </c>
      <c r="I760" t="s">
        <v>2647</v>
      </c>
      <c r="J760" t="str">
        <f>IF(0 = IFERROR(VLOOKUP(DBL_FullList!I760, ContactsDbl!B:D, 2, FALSE), ""), "", IFERROR(VLOOKUP(DBL_FullList!I760, ContactsDbl!B:D, 2, FALSE), ""))</f>
        <v>info@biblesociety-uganda.org</v>
      </c>
      <c r="K760" t="str">
        <f>IF(0 = IFERROR(VLOOKUP(DBL_FullList!I760,ContactsDbl!B:D, 3, FALSE), ""), "", IFERROR(VLOOKUP(DBL_FullList!I760, ContactsDbl!B:D, 3, FALSE), ""))</f>
        <v>http://www.biblesociety-uganda.org/</v>
      </c>
      <c r="L760">
        <f t="shared" si="23"/>
        <v>2</v>
      </c>
    </row>
    <row r="761" spans="1:12" x14ac:dyDescent="0.25">
      <c r="A761" t="s">
        <v>5481</v>
      </c>
      <c r="B761" t="str">
        <f>IF(ISERROR(VLOOKUP(F761,STEP!A:A, 1, FALSE)), "N", "Y")</f>
        <v>N</v>
      </c>
      <c r="C761" t="str">
        <f>IF(ISERROR(VLOOKUP(E761, BibleInEveryLanguageTexts!A:A, 1, FALSE)), "N", "Y")</f>
        <v>N</v>
      </c>
      <c r="D761" t="str">
        <f t="shared" si="22"/>
        <v>X</v>
      </c>
      <c r="E761" t="s">
        <v>3787</v>
      </c>
      <c r="F761" t="s">
        <v>3788</v>
      </c>
      <c r="G761" t="s">
        <v>2880</v>
      </c>
      <c r="H761" t="s">
        <v>5482</v>
      </c>
      <c r="I761" t="s">
        <v>2661</v>
      </c>
      <c r="J761" t="str">
        <f>IF(0 = IFERROR(VLOOKUP(DBL_FullList!I761, ContactsDbl!B:D, 2, FALSE), ""), "", IFERROR(VLOOKUP(DBL_FullList!I761, ContactsDbl!B:D, 2, FALSE), ""))</f>
        <v>dbladmin_intl@sil.org</v>
      </c>
      <c r="K761" t="str">
        <f>IF(0 = IFERROR(VLOOKUP(DBL_FullList!I761,ContactsDbl!B:D, 3, FALSE), ""), "", IFERROR(VLOOKUP(DBL_FullList!I761, ContactsDbl!B:D, 3, FALSE), ""))</f>
        <v>http://www.wycliffe.org</v>
      </c>
      <c r="L761">
        <f t="shared" si="23"/>
        <v>2</v>
      </c>
    </row>
    <row r="762" spans="1:12" x14ac:dyDescent="0.25">
      <c r="A762" s="1" t="s">
        <v>5483</v>
      </c>
      <c r="B762" t="str">
        <f>IF(ISERROR(VLOOKUP(F762,STEP!A:A, 1, FALSE)), "N", "Y")</f>
        <v>Y</v>
      </c>
      <c r="C762" t="str">
        <f>IF(ISERROR(VLOOKUP(E762, BibleInEveryLanguageTexts!A:A, 1, FALSE)), "N", "Y")</f>
        <v>N</v>
      </c>
      <c r="D762" t="str">
        <f t="shared" si="22"/>
        <v/>
      </c>
      <c r="E762" t="s">
        <v>5484</v>
      </c>
      <c r="F762" t="s">
        <v>5485</v>
      </c>
      <c r="G762" t="s">
        <v>48</v>
      </c>
      <c r="H762" t="s">
        <v>5486</v>
      </c>
      <c r="I762" t="s">
        <v>2661</v>
      </c>
      <c r="J762" t="str">
        <f>IF(0 = IFERROR(VLOOKUP(DBL_FullList!I762, ContactsDbl!B:D, 2, FALSE), ""), "", IFERROR(VLOOKUP(DBL_FullList!I762, ContactsDbl!B:D, 2, FALSE), ""))</f>
        <v>dbladmin_intl@sil.org</v>
      </c>
      <c r="K762" t="str">
        <f>IF(0 = IFERROR(VLOOKUP(DBL_FullList!I762,ContactsDbl!B:D, 3, FALSE), ""), "", IFERROR(VLOOKUP(DBL_FullList!I762, ContactsDbl!B:D, 3, FALSE), ""))</f>
        <v>http://www.wycliffe.org</v>
      </c>
      <c r="L762">
        <f t="shared" si="23"/>
        <v>2</v>
      </c>
    </row>
    <row r="763" spans="1:12" x14ac:dyDescent="0.25">
      <c r="A763" t="s">
        <v>5487</v>
      </c>
      <c r="B763" t="str">
        <f>IF(ISERROR(VLOOKUP(F763,STEP!A:A, 1, FALSE)), "N", "Y")</f>
        <v>N</v>
      </c>
      <c r="C763" t="str">
        <f>IF(ISERROR(VLOOKUP(E763, BibleInEveryLanguageTexts!A:A, 1, FALSE)), "N", "Y")</f>
        <v>N</v>
      </c>
      <c r="D763" t="str">
        <f t="shared" si="22"/>
        <v>X</v>
      </c>
      <c r="E763" t="s">
        <v>5488</v>
      </c>
      <c r="F763" t="s">
        <v>5489</v>
      </c>
      <c r="G763" t="s">
        <v>2942</v>
      </c>
      <c r="H763" t="s">
        <v>5490</v>
      </c>
      <c r="I763" t="s">
        <v>1975</v>
      </c>
      <c r="J763" t="str">
        <f>IF(0 = IFERROR(VLOOKUP(DBL_FullList!I763, ContactsDbl!B:D, 2, FALSE), ""), "", IFERROR(VLOOKUP(DBL_FullList!I763, ContactsDbl!B:D, 2, FALSE), ""))</f>
        <v/>
      </c>
      <c r="K763" t="str">
        <f>IF(0 = IFERROR(VLOOKUP(DBL_FullList!I763,ContactsDbl!B:D, 3, FALSE), ""), "", IFERROR(VLOOKUP(DBL_FullList!I763, ContactsDbl!B:D, 3, FALSE), ""))</f>
        <v>http://www.sba.org.ar/</v>
      </c>
      <c r="L763">
        <f t="shared" si="23"/>
        <v>1</v>
      </c>
    </row>
    <row r="764" spans="1:12" x14ac:dyDescent="0.25">
      <c r="A764" t="s">
        <v>5491</v>
      </c>
      <c r="B764" t="str">
        <f>IF(ISERROR(VLOOKUP(F764,STEP!A:A, 1, FALSE)), "N", "Y")</f>
        <v>N</v>
      </c>
      <c r="C764" t="str">
        <f>IF(ISERROR(VLOOKUP(E764, BibleInEveryLanguageTexts!A:A, 1, FALSE)), "N", "Y")</f>
        <v>N</v>
      </c>
      <c r="D764" t="str">
        <f t="shared" si="22"/>
        <v>X</v>
      </c>
      <c r="E764" t="s">
        <v>4430</v>
      </c>
      <c r="F764" t="s">
        <v>4431</v>
      </c>
      <c r="G764" t="s">
        <v>4432</v>
      </c>
      <c r="H764" t="s">
        <v>5492</v>
      </c>
      <c r="I764" t="s">
        <v>2102</v>
      </c>
      <c r="J764" t="str">
        <f>IF(0 = IFERROR(VLOOKUP(DBL_FullList!I764, ContactsDbl!B:D, 2, FALSE), ""), "", IFERROR(VLOOKUP(DBL_FullList!I764, ContactsDbl!B:D, 2, FALSE), ""))</f>
        <v>mkatonivere@bible.org.fj</v>
      </c>
      <c r="K764" t="str">
        <f>IF(0 = IFERROR(VLOOKUP(DBL_FullList!I764,ContactsDbl!B:D, 3, FALSE), ""), "", IFERROR(VLOOKUP(DBL_FullList!I764, ContactsDbl!B:D, 3, FALSE), ""))</f>
        <v>http://www.bible.org.fj/</v>
      </c>
      <c r="L764">
        <f t="shared" si="23"/>
        <v>2</v>
      </c>
    </row>
    <row r="765" spans="1:12" x14ac:dyDescent="0.25">
      <c r="A765" t="s">
        <v>5493</v>
      </c>
      <c r="B765" t="str">
        <f>IF(ISERROR(VLOOKUP(F765,STEP!A:A, 1, FALSE)), "N", "Y")</f>
        <v>N</v>
      </c>
      <c r="C765" t="str">
        <f>IF(ISERROR(VLOOKUP(E765, BibleInEveryLanguageTexts!A:A, 1, FALSE)), "N", "Y")</f>
        <v>N</v>
      </c>
      <c r="D765" t="str">
        <f t="shared" si="22"/>
        <v>X</v>
      </c>
      <c r="E765" t="s">
        <v>5494</v>
      </c>
      <c r="F765" t="s">
        <v>5495</v>
      </c>
      <c r="G765" t="s">
        <v>5496</v>
      </c>
      <c r="H765" t="s">
        <v>5497</v>
      </c>
      <c r="I765" t="s">
        <v>2523</v>
      </c>
      <c r="J765" t="str">
        <f>IF(0 = IFERROR(VLOOKUP(DBL_FullList!I765, ContactsDbl!B:D, 2, FALSE), ""), "", IFERROR(VLOOKUP(DBL_FullList!I765, ContactsDbl!B:D, 2, FALSE), ""))</f>
        <v>bsrwanda@biblesociety-rwanda.org</v>
      </c>
      <c r="K765" t="str">
        <f>IF(0 = IFERROR(VLOOKUP(DBL_FullList!I765,ContactsDbl!B:D, 3, FALSE), ""), "", IFERROR(VLOOKUP(DBL_FullList!I765, ContactsDbl!B:D, 3, FALSE), ""))</f>
        <v>http://biblesociety-rwanda.org/</v>
      </c>
      <c r="L765">
        <f t="shared" si="23"/>
        <v>2</v>
      </c>
    </row>
    <row r="766" spans="1:12" x14ac:dyDescent="0.25">
      <c r="A766" t="s">
        <v>5498</v>
      </c>
      <c r="B766" t="str">
        <f>IF(ISERROR(VLOOKUP(F766,STEP!A:A, 1, FALSE)), "N", "Y")</f>
        <v>N</v>
      </c>
      <c r="C766" t="str">
        <f>IF(ISERROR(VLOOKUP(E766, BibleInEveryLanguageTexts!A:A, 1, FALSE)), "N", "Y")</f>
        <v>N</v>
      </c>
      <c r="D766" t="str">
        <f t="shared" si="22"/>
        <v>X</v>
      </c>
      <c r="E766" t="s">
        <v>5499</v>
      </c>
      <c r="F766" t="s">
        <v>5500</v>
      </c>
      <c r="G766" t="s">
        <v>115</v>
      </c>
      <c r="H766" t="s">
        <v>5501</v>
      </c>
      <c r="I766" t="s">
        <v>2661</v>
      </c>
      <c r="J766" t="str">
        <f>IF(0 = IFERROR(VLOOKUP(DBL_FullList!I766, ContactsDbl!B:D, 2, FALSE), ""), "", IFERROR(VLOOKUP(DBL_FullList!I766, ContactsDbl!B:D, 2, FALSE), ""))</f>
        <v>dbladmin_intl@sil.org</v>
      </c>
      <c r="K766" t="str">
        <f>IF(0 = IFERROR(VLOOKUP(DBL_FullList!I766,ContactsDbl!B:D, 3, FALSE), ""), "", IFERROR(VLOOKUP(DBL_FullList!I766, ContactsDbl!B:D, 3, FALSE), ""))</f>
        <v>http://www.wycliffe.org</v>
      </c>
      <c r="L766">
        <f t="shared" si="23"/>
        <v>2</v>
      </c>
    </row>
    <row r="767" spans="1:12" x14ac:dyDescent="0.25">
      <c r="A767" t="s">
        <v>5502</v>
      </c>
      <c r="B767" t="str">
        <f>IF(ISERROR(VLOOKUP(F767,STEP!A:A, 1, FALSE)), "N", "Y")</f>
        <v>N</v>
      </c>
      <c r="C767" t="str">
        <f>IF(ISERROR(VLOOKUP(E767, BibleInEveryLanguageTexts!A:A, 1, FALSE)), "N", "Y")</f>
        <v>N</v>
      </c>
      <c r="D767" t="str">
        <f t="shared" si="22"/>
        <v>X</v>
      </c>
      <c r="E767" t="s">
        <v>5503</v>
      </c>
      <c r="F767" t="s">
        <v>5504</v>
      </c>
      <c r="G767" t="s">
        <v>20</v>
      </c>
      <c r="H767" t="s">
        <v>5505</v>
      </c>
      <c r="I767" t="s">
        <v>2329</v>
      </c>
      <c r="J767" t="str">
        <f>IF(0 = IFERROR(VLOOKUP(DBL_FullList!I767, ContactsDbl!B:D, 2, FALSE), ""), "", IFERROR(VLOOKUP(DBL_FullList!I767, ContactsDbl!B:D, 2, FALSE), ""))</f>
        <v/>
      </c>
      <c r="K767" t="str">
        <f>IF(0 = IFERROR(VLOOKUP(DBL_FullList!I767,ContactsDbl!B:D, 3, FALSE), ""), "", IFERROR(VLOOKUP(DBL_FullList!I767, ContactsDbl!B:D, 3, FALSE), ""))</f>
        <v>http://www.bsind.org/</v>
      </c>
      <c r="L767">
        <f t="shared" si="23"/>
        <v>1</v>
      </c>
    </row>
    <row r="768" spans="1:12" x14ac:dyDescent="0.25">
      <c r="A768" t="s">
        <v>5506</v>
      </c>
      <c r="B768" t="str">
        <f>IF(ISERROR(VLOOKUP(F768,STEP!A:A, 1, FALSE)), "N", "Y")</f>
        <v>N</v>
      </c>
      <c r="C768" t="str">
        <f>IF(ISERROR(VLOOKUP(E768, BibleInEveryLanguageTexts!A:A, 1, FALSE)), "N", "Y")</f>
        <v>N</v>
      </c>
      <c r="D768" t="str">
        <f t="shared" si="22"/>
        <v>X</v>
      </c>
      <c r="E768" t="s">
        <v>5007</v>
      </c>
      <c r="F768" t="s">
        <v>5008</v>
      </c>
      <c r="G768" t="s">
        <v>3074</v>
      </c>
      <c r="H768" t="s">
        <v>5507</v>
      </c>
      <c r="I768" t="s">
        <v>2673</v>
      </c>
      <c r="J768" t="str">
        <f>IF(0 = IFERROR(VLOOKUP(DBL_FullList!I768, ContactsDbl!B:D, 2, FALSE), ""), "", IFERROR(VLOOKUP(DBL_FullList!I768, ContactsDbl!B:D, 2, FALSE), ""))</f>
        <v>gnyirenda@biblesociety-zambia.org</v>
      </c>
      <c r="K768" t="str">
        <f>IF(0 = IFERROR(VLOOKUP(DBL_FullList!I768,ContactsDbl!B:D, 3, FALSE), ""), "", IFERROR(VLOOKUP(DBL_FullList!I768, ContactsDbl!B:D, 3, FALSE), ""))</f>
        <v>www.biblesociety-zambia.org</v>
      </c>
      <c r="L768">
        <f t="shared" si="23"/>
        <v>2</v>
      </c>
    </row>
    <row r="769" spans="1:12" x14ac:dyDescent="0.25">
      <c r="A769" t="s">
        <v>5508</v>
      </c>
      <c r="B769" t="str">
        <f>IF(ISERROR(VLOOKUP(F769,STEP!A:A, 1, FALSE)), "N", "Y")</f>
        <v>N</v>
      </c>
      <c r="C769" t="str">
        <f>IF(ISERROR(VLOOKUP(E769, BibleInEveryLanguageTexts!A:A, 1, FALSE)), "N", "Y")</f>
        <v>N</v>
      </c>
      <c r="D769" t="str">
        <f t="shared" si="22"/>
        <v>X</v>
      </c>
      <c r="E769" t="s">
        <v>5509</v>
      </c>
      <c r="F769" t="s">
        <v>5510</v>
      </c>
      <c r="G769" t="s">
        <v>25</v>
      </c>
      <c r="H769" t="s">
        <v>5511</v>
      </c>
      <c r="I769" t="s">
        <v>2661</v>
      </c>
      <c r="J769" t="str">
        <f>IF(0 = IFERROR(VLOOKUP(DBL_FullList!I769, ContactsDbl!B:D, 2, FALSE), ""), "", IFERROR(VLOOKUP(DBL_FullList!I769, ContactsDbl!B:D, 2, FALSE), ""))</f>
        <v>dbladmin_intl@sil.org</v>
      </c>
      <c r="K769" t="str">
        <f>IF(0 = IFERROR(VLOOKUP(DBL_FullList!I769,ContactsDbl!B:D, 3, FALSE), ""), "", IFERROR(VLOOKUP(DBL_FullList!I769, ContactsDbl!B:D, 3, FALSE), ""))</f>
        <v>http://www.wycliffe.org</v>
      </c>
      <c r="L769">
        <f t="shared" si="23"/>
        <v>2</v>
      </c>
    </row>
    <row r="770" spans="1:12" x14ac:dyDescent="0.25">
      <c r="A770" t="s">
        <v>5512</v>
      </c>
      <c r="B770" t="str">
        <f>IF(ISERROR(VLOOKUP(F770,STEP!A:A, 1, FALSE)), "N", "Y")</f>
        <v>Y</v>
      </c>
      <c r="C770" t="str">
        <f>IF(ISERROR(VLOOKUP(E770, BibleInEveryLanguageTexts!A:A, 1, FALSE)), "N", "Y")</f>
        <v>N</v>
      </c>
      <c r="D770" t="str">
        <f t="shared" si="22"/>
        <v/>
      </c>
      <c r="E770" t="s">
        <v>5513</v>
      </c>
      <c r="F770" t="s">
        <v>5514</v>
      </c>
      <c r="G770" t="s">
        <v>48</v>
      </c>
      <c r="H770" t="s">
        <v>5515</v>
      </c>
      <c r="I770" t="s">
        <v>2661</v>
      </c>
      <c r="J770" t="str">
        <f>IF(0 = IFERROR(VLOOKUP(DBL_FullList!I770, ContactsDbl!B:D, 2, FALSE), ""), "", IFERROR(VLOOKUP(DBL_FullList!I770, ContactsDbl!B:D, 2, FALSE), ""))</f>
        <v>dbladmin_intl@sil.org</v>
      </c>
      <c r="K770" t="str">
        <f>IF(0 = IFERROR(VLOOKUP(DBL_FullList!I770,ContactsDbl!B:D, 3, FALSE), ""), "", IFERROR(VLOOKUP(DBL_FullList!I770, ContactsDbl!B:D, 3, FALSE), ""))</f>
        <v>http://www.wycliffe.org</v>
      </c>
      <c r="L770">
        <f t="shared" si="23"/>
        <v>2</v>
      </c>
    </row>
    <row r="771" spans="1:12" x14ac:dyDescent="0.25">
      <c r="A771" t="s">
        <v>5516</v>
      </c>
      <c r="B771" t="str">
        <f>IF(ISERROR(VLOOKUP(F771,STEP!A:A, 1, FALSE)), "N", "Y")</f>
        <v>Y</v>
      </c>
      <c r="C771" t="str">
        <f>IF(ISERROR(VLOOKUP(E771, BibleInEveryLanguageTexts!A:A, 1, FALSE)), "N", "Y")</f>
        <v>N</v>
      </c>
      <c r="D771" t="str">
        <f t="shared" ref="D771:D834" si="24">IF(AND("N" = B771, "N" = C771), "X", "")</f>
        <v/>
      </c>
      <c r="E771" t="s">
        <v>5517</v>
      </c>
      <c r="F771" t="s">
        <v>5518</v>
      </c>
      <c r="G771" t="s">
        <v>48</v>
      </c>
      <c r="H771" t="s">
        <v>5519</v>
      </c>
      <c r="I771" t="s">
        <v>2512</v>
      </c>
      <c r="J771" t="str">
        <f>IF(0 = IFERROR(VLOOKUP(DBL_FullList!I771, ContactsDbl!B:D, 2, FALSE), ""), "", IFERROR(VLOOKUP(DBL_FullList!I771, ContactsDbl!B:D, 2, FALSE), ""))</f>
        <v/>
      </c>
      <c r="K771" t="str">
        <f>IF(0 = IFERROR(VLOOKUP(DBL_FullList!I771,ContactsDbl!B:D, 3, FALSE), ""), "", IFERROR(VLOOKUP(DBL_FullList!I771, ContactsDbl!B:D, 3, FALSE), ""))</f>
        <v/>
      </c>
      <c r="L771">
        <f t="shared" ref="L771:L834" si="25">IF("" &lt;&gt; J771, 2, IF("" &lt;&gt; K771, 1, 0))</f>
        <v>0</v>
      </c>
    </row>
    <row r="772" spans="1:12" x14ac:dyDescent="0.25">
      <c r="A772" t="s">
        <v>5520</v>
      </c>
      <c r="B772" t="str">
        <f>IF(ISERROR(VLOOKUP(F772,STEP!A:A, 1, FALSE)), "N", "Y")</f>
        <v>N</v>
      </c>
      <c r="C772" t="str">
        <f>IF(ISERROR(VLOOKUP(E772, BibleInEveryLanguageTexts!A:A, 1, FALSE)), "N", "Y")</f>
        <v>N</v>
      </c>
      <c r="D772" t="str">
        <f t="shared" si="24"/>
        <v>X</v>
      </c>
      <c r="E772" t="s">
        <v>2866</v>
      </c>
      <c r="F772" t="s">
        <v>2867</v>
      </c>
      <c r="G772" t="s">
        <v>2733</v>
      </c>
      <c r="H772" t="s">
        <v>5521</v>
      </c>
      <c r="I772" t="s">
        <v>2013</v>
      </c>
      <c r="J772" t="str">
        <f>IF(0 = IFERROR(VLOOKUP(DBL_FullList!I772, ContactsDbl!B:D, 2, FALSE), ""), "", IFERROR(VLOOKUP(DBL_FullList!I772, ContactsDbl!B:D, 2, FALSE), ""))</f>
        <v>fcossio@biblesocieties.org</v>
      </c>
      <c r="K772" t="str">
        <f>IF(0 = IFERROR(VLOOKUP(DBL_FullList!I772,ContactsDbl!B:D, 3, FALSE), ""), "", IFERROR(VLOOKUP(DBL_FullList!I772, ContactsDbl!B:D, 3, FALSE), ""))</f>
        <v>http://sociedadbiblicaboliviana.org</v>
      </c>
      <c r="L772">
        <f t="shared" si="25"/>
        <v>2</v>
      </c>
    </row>
    <row r="773" spans="1:12" x14ac:dyDescent="0.25">
      <c r="A773" t="s">
        <v>5522</v>
      </c>
      <c r="B773" t="str">
        <f>IF(ISERROR(VLOOKUP(F773,STEP!A:A, 1, FALSE)), "N", "Y")</f>
        <v>N</v>
      </c>
      <c r="C773" t="str">
        <f>IF(ISERROR(VLOOKUP(E773, BibleInEveryLanguageTexts!A:A, 1, FALSE)), "N", "Y")</f>
        <v>N</v>
      </c>
      <c r="D773" t="str">
        <f t="shared" si="24"/>
        <v>X</v>
      </c>
      <c r="E773" t="s">
        <v>3825</v>
      </c>
      <c r="F773" t="s">
        <v>3826</v>
      </c>
      <c r="G773" t="s">
        <v>20</v>
      </c>
      <c r="H773" t="s">
        <v>5523</v>
      </c>
      <c r="I773" t="s">
        <v>2329</v>
      </c>
      <c r="J773" t="str">
        <f>IF(0 = IFERROR(VLOOKUP(DBL_FullList!I773, ContactsDbl!B:D, 2, FALSE), ""), "", IFERROR(VLOOKUP(DBL_FullList!I773, ContactsDbl!B:D, 2, FALSE), ""))</f>
        <v/>
      </c>
      <c r="K773" t="str">
        <f>IF(0 = IFERROR(VLOOKUP(DBL_FullList!I773,ContactsDbl!B:D, 3, FALSE), ""), "", IFERROR(VLOOKUP(DBL_FullList!I773, ContactsDbl!B:D, 3, FALSE), ""))</f>
        <v>http://www.bsind.org/</v>
      </c>
      <c r="L773">
        <f t="shared" si="25"/>
        <v>1</v>
      </c>
    </row>
    <row r="774" spans="1:12" x14ac:dyDescent="0.25">
      <c r="A774" t="s">
        <v>5524</v>
      </c>
      <c r="B774" t="str">
        <f>IF(ISERROR(VLOOKUP(F774,STEP!A:A, 1, FALSE)), "N", "Y")</f>
        <v>Y</v>
      </c>
      <c r="C774" t="str">
        <f>IF(ISERROR(VLOOKUP(E774, BibleInEveryLanguageTexts!A:A, 1, FALSE)), "N", "Y")</f>
        <v>N</v>
      </c>
      <c r="D774" t="str">
        <f t="shared" si="24"/>
        <v/>
      </c>
      <c r="E774" t="s">
        <v>5525</v>
      </c>
      <c r="F774" t="s">
        <v>5526</v>
      </c>
      <c r="G774" t="s">
        <v>48</v>
      </c>
      <c r="H774" t="s">
        <v>5527</v>
      </c>
      <c r="I774" t="s">
        <v>2661</v>
      </c>
      <c r="J774" t="str">
        <f>IF(0 = IFERROR(VLOOKUP(DBL_FullList!I774, ContactsDbl!B:D, 2, FALSE), ""), "", IFERROR(VLOOKUP(DBL_FullList!I774, ContactsDbl!B:D, 2, FALSE), ""))</f>
        <v>dbladmin_intl@sil.org</v>
      </c>
      <c r="K774" t="str">
        <f>IF(0 = IFERROR(VLOOKUP(DBL_FullList!I774,ContactsDbl!B:D, 3, FALSE), ""), "", IFERROR(VLOOKUP(DBL_FullList!I774, ContactsDbl!B:D, 3, FALSE), ""))</f>
        <v>http://www.wycliffe.org</v>
      </c>
      <c r="L774">
        <f t="shared" si="25"/>
        <v>2</v>
      </c>
    </row>
    <row r="775" spans="1:12" x14ac:dyDescent="0.25">
      <c r="A775" t="s">
        <v>5528</v>
      </c>
      <c r="B775" t="str">
        <f>IF(ISERROR(VLOOKUP(F775,STEP!A:A, 1, FALSE)), "N", "Y")</f>
        <v>Y</v>
      </c>
      <c r="C775" t="str">
        <f>IF(ISERROR(VLOOKUP(E775, BibleInEveryLanguageTexts!A:A, 1, FALSE)), "N", "Y")</f>
        <v>N</v>
      </c>
      <c r="D775" t="str">
        <f t="shared" si="24"/>
        <v/>
      </c>
      <c r="E775" t="s">
        <v>5529</v>
      </c>
      <c r="F775" t="s">
        <v>5530</v>
      </c>
      <c r="G775" t="s">
        <v>48</v>
      </c>
      <c r="H775" t="s">
        <v>5531</v>
      </c>
      <c r="I775" t="s">
        <v>2661</v>
      </c>
      <c r="J775" t="str">
        <f>IF(0 = IFERROR(VLOOKUP(DBL_FullList!I775, ContactsDbl!B:D, 2, FALSE), ""), "", IFERROR(VLOOKUP(DBL_FullList!I775, ContactsDbl!B:D, 2, FALSE), ""))</f>
        <v>dbladmin_intl@sil.org</v>
      </c>
      <c r="K775" t="str">
        <f>IF(0 = IFERROR(VLOOKUP(DBL_FullList!I775,ContactsDbl!B:D, 3, FALSE), ""), "", IFERROR(VLOOKUP(DBL_FullList!I775, ContactsDbl!B:D, 3, FALSE), ""))</f>
        <v>http://www.wycliffe.org</v>
      </c>
      <c r="L775">
        <f t="shared" si="25"/>
        <v>2</v>
      </c>
    </row>
    <row r="776" spans="1:12" x14ac:dyDescent="0.25">
      <c r="A776" t="s">
        <v>5532</v>
      </c>
      <c r="B776" t="str">
        <f>IF(ISERROR(VLOOKUP(F776,STEP!A:A, 1, FALSE)), "N", "Y")</f>
        <v>N</v>
      </c>
      <c r="C776" t="str">
        <f>IF(ISERROR(VLOOKUP(E776, BibleInEveryLanguageTexts!A:A, 1, FALSE)), "N", "Y")</f>
        <v>N</v>
      </c>
      <c r="D776" t="str">
        <f t="shared" si="24"/>
        <v>X</v>
      </c>
      <c r="E776" t="s">
        <v>3258</v>
      </c>
      <c r="F776" t="s">
        <v>3259</v>
      </c>
      <c r="G776" t="s">
        <v>35</v>
      </c>
      <c r="H776" t="s">
        <v>5533</v>
      </c>
      <c r="I776" t="s">
        <v>2095</v>
      </c>
      <c r="J776" t="str">
        <f>IF(0 = IFERROR(VLOOKUP(DBL_FullList!I776, ContactsDbl!B:D, 2, FALSE), ""), "", IFERROR(VLOOKUP(DBL_FullList!I776, ContactsDbl!B:D, 2, FALSE), ""))</f>
        <v>serbianbs@sbb.rs</v>
      </c>
      <c r="K776" t="str">
        <f>IF(0 = IFERROR(VLOOKUP(DBL_FullList!I776,ContactsDbl!B:D, 3, FALSE), ""), "", IFERROR(VLOOKUP(DBL_FullList!I776, ContactsDbl!B:D, 3, FALSE), ""))</f>
        <v>http://www.biblijskodrustvo.org.rs</v>
      </c>
      <c r="L776">
        <f t="shared" si="25"/>
        <v>2</v>
      </c>
    </row>
    <row r="777" spans="1:12" x14ac:dyDescent="0.25">
      <c r="A777" t="s">
        <v>5534</v>
      </c>
      <c r="B777" t="str">
        <f>IF(ISERROR(VLOOKUP(F777,STEP!A:A, 1, FALSE)), "N", "Y")</f>
        <v>N</v>
      </c>
      <c r="C777" t="str">
        <f>IF(ISERROR(VLOOKUP(E777, BibleInEveryLanguageTexts!A:A, 1, FALSE)), "N", "Y")</f>
        <v>N</v>
      </c>
      <c r="D777" t="str">
        <f t="shared" si="24"/>
        <v>X</v>
      </c>
      <c r="E777" t="s">
        <v>5535</v>
      </c>
      <c r="F777" t="s">
        <v>5536</v>
      </c>
      <c r="G777" t="s">
        <v>20</v>
      </c>
      <c r="H777" t="s">
        <v>5537</v>
      </c>
      <c r="I777" t="s">
        <v>2329</v>
      </c>
      <c r="J777" t="str">
        <f>IF(0 = IFERROR(VLOOKUP(DBL_FullList!I777, ContactsDbl!B:D, 2, FALSE), ""), "", IFERROR(VLOOKUP(DBL_FullList!I777, ContactsDbl!B:D, 2, FALSE), ""))</f>
        <v/>
      </c>
      <c r="K777" t="str">
        <f>IF(0 = IFERROR(VLOOKUP(DBL_FullList!I777,ContactsDbl!B:D, 3, FALSE), ""), "", IFERROR(VLOOKUP(DBL_FullList!I777, ContactsDbl!B:D, 3, FALSE), ""))</f>
        <v>http://www.bsind.org/</v>
      </c>
      <c r="L777">
        <f t="shared" si="25"/>
        <v>1</v>
      </c>
    </row>
    <row r="778" spans="1:12" x14ac:dyDescent="0.25">
      <c r="A778" t="s">
        <v>5538</v>
      </c>
      <c r="B778" t="str">
        <f>IF(ISERROR(VLOOKUP(F778,STEP!A:A, 1, FALSE)), "N", "Y")</f>
        <v>N</v>
      </c>
      <c r="C778" t="str">
        <f>IF(ISERROR(VLOOKUP(E778, BibleInEveryLanguageTexts!A:A, 1, FALSE)), "N", "Y")</f>
        <v>N</v>
      </c>
      <c r="D778" t="str">
        <f t="shared" si="24"/>
        <v>X</v>
      </c>
      <c r="E778" t="s">
        <v>5539</v>
      </c>
      <c r="F778" t="s">
        <v>5540</v>
      </c>
      <c r="G778" t="s">
        <v>25</v>
      </c>
      <c r="H778" t="s">
        <v>5539</v>
      </c>
      <c r="I778" t="s">
        <v>2032</v>
      </c>
      <c r="J778" t="str">
        <f>IF(0 = IFERROR(VLOOKUP(DBL_FullList!I778, ContactsDbl!B:D, 2, FALSE), ""), "", IFERROR(VLOOKUP(DBL_FullList!I778, ContactsDbl!B:D, 2, FALSE), ""))</f>
        <v>paul.eckert@biblesociety.org.au</v>
      </c>
      <c r="K778" t="str">
        <f>IF(0 = IFERROR(VLOOKUP(DBL_FullList!I778,ContactsDbl!B:D, 3, FALSE), ""), "", IFERROR(VLOOKUP(DBL_FullList!I778, ContactsDbl!B:D, 3, FALSE), ""))</f>
        <v>http://www.biblesociety.org.au</v>
      </c>
      <c r="L778">
        <f t="shared" si="25"/>
        <v>2</v>
      </c>
    </row>
    <row r="779" spans="1:12" x14ac:dyDescent="0.25">
      <c r="A779" t="s">
        <v>5541</v>
      </c>
      <c r="B779" t="str">
        <f>IF(ISERROR(VLOOKUP(F779,STEP!A:A, 1, FALSE)), "N", "Y")</f>
        <v>N</v>
      </c>
      <c r="C779" t="str">
        <f>IF(ISERROR(VLOOKUP(E779, BibleInEveryLanguageTexts!A:A, 1, FALSE)), "N", "Y")</f>
        <v>N</v>
      </c>
      <c r="D779" t="str">
        <f t="shared" si="24"/>
        <v>X</v>
      </c>
      <c r="E779" t="s">
        <v>5433</v>
      </c>
      <c r="F779" t="s">
        <v>5434</v>
      </c>
      <c r="G779" t="s">
        <v>5239</v>
      </c>
      <c r="H779" t="s">
        <v>5542</v>
      </c>
      <c r="I779" t="s">
        <v>2487</v>
      </c>
      <c r="J779" t="str">
        <f>IF(0 = IFERROR(VLOOKUP(DBL_FullList!I779, ContactsDbl!B:D, 2, FALSE), ""), "", IFERROR(VLOOKUP(DBL_FullList!I779, ContactsDbl!B:D, 2, FALSE), ""))</f>
        <v/>
      </c>
      <c r="K779" t="str">
        <f>IF(0 = IFERROR(VLOOKUP(DBL_FullList!I779,ContactsDbl!B:D, 3, FALSE), ""), "", IFERROR(VLOOKUP(DBL_FullList!I779, ContactsDbl!B:D, 3, FALSE), ""))</f>
        <v>http://www.bibelselskapet.no/</v>
      </c>
      <c r="L779">
        <f t="shared" si="25"/>
        <v>1</v>
      </c>
    </row>
    <row r="780" spans="1:12" x14ac:dyDescent="0.25">
      <c r="A780" t="s">
        <v>5543</v>
      </c>
      <c r="B780" t="str">
        <f>IF(ISERROR(VLOOKUP(F780,STEP!A:A, 1, FALSE)), "N", "Y")</f>
        <v>N</v>
      </c>
      <c r="C780" t="str">
        <f>IF(ISERROR(VLOOKUP(E780, BibleInEveryLanguageTexts!A:A, 1, FALSE)), "N", "Y")</f>
        <v>N</v>
      </c>
      <c r="D780" t="str">
        <f t="shared" si="24"/>
        <v>X</v>
      </c>
      <c r="E780" t="s">
        <v>5544</v>
      </c>
      <c r="F780" t="s">
        <v>5545</v>
      </c>
      <c r="G780" t="s">
        <v>3074</v>
      </c>
      <c r="H780" t="s">
        <v>5546</v>
      </c>
      <c r="I780" t="s">
        <v>2673</v>
      </c>
      <c r="J780" t="str">
        <f>IF(0 = IFERROR(VLOOKUP(DBL_FullList!I780, ContactsDbl!B:D, 2, FALSE), ""), "", IFERROR(VLOOKUP(DBL_FullList!I780, ContactsDbl!B:D, 2, FALSE), ""))</f>
        <v>gnyirenda@biblesociety-zambia.org</v>
      </c>
      <c r="K780" t="str">
        <f>IF(0 = IFERROR(VLOOKUP(DBL_FullList!I780,ContactsDbl!B:D, 3, FALSE), ""), "", IFERROR(VLOOKUP(DBL_FullList!I780, ContactsDbl!B:D, 3, FALSE), ""))</f>
        <v>www.biblesociety-zambia.org</v>
      </c>
      <c r="L780">
        <f t="shared" si="25"/>
        <v>2</v>
      </c>
    </row>
    <row r="781" spans="1:12" x14ac:dyDescent="0.25">
      <c r="A781" t="s">
        <v>5547</v>
      </c>
      <c r="B781" t="str">
        <f>IF(ISERROR(VLOOKUP(F781,STEP!A:A, 1, FALSE)), "N", "Y")</f>
        <v>Y</v>
      </c>
      <c r="C781" t="str">
        <f>IF(ISERROR(VLOOKUP(E781, BibleInEveryLanguageTexts!A:A, 1, FALSE)), "N", "Y")</f>
        <v>N</v>
      </c>
      <c r="D781" t="str">
        <f t="shared" si="24"/>
        <v/>
      </c>
      <c r="E781" t="s">
        <v>5548</v>
      </c>
      <c r="F781" t="s">
        <v>5549</v>
      </c>
      <c r="G781" t="s">
        <v>48</v>
      </c>
      <c r="H781" t="s">
        <v>5550</v>
      </c>
      <c r="I781" t="s">
        <v>2661</v>
      </c>
      <c r="J781" t="str">
        <f>IF(0 = IFERROR(VLOOKUP(DBL_FullList!I781, ContactsDbl!B:D, 2, FALSE), ""), "", IFERROR(VLOOKUP(DBL_FullList!I781, ContactsDbl!B:D, 2, FALSE), ""))</f>
        <v>dbladmin_intl@sil.org</v>
      </c>
      <c r="K781" t="str">
        <f>IF(0 = IFERROR(VLOOKUP(DBL_FullList!I781,ContactsDbl!B:D, 3, FALSE), ""), "", IFERROR(VLOOKUP(DBL_FullList!I781, ContactsDbl!B:D, 3, FALSE), ""))</f>
        <v>http://www.wycliffe.org</v>
      </c>
      <c r="L781">
        <f t="shared" si="25"/>
        <v>2</v>
      </c>
    </row>
    <row r="782" spans="1:12" x14ac:dyDescent="0.25">
      <c r="A782" t="s">
        <v>5551</v>
      </c>
      <c r="B782" t="str">
        <f>IF(ISERROR(VLOOKUP(F782,STEP!A:A, 1, FALSE)), "N", "Y")</f>
        <v>N</v>
      </c>
      <c r="C782" t="str">
        <f>IF(ISERROR(VLOOKUP(E782, BibleInEveryLanguageTexts!A:A, 1, FALSE)), "N", "Y")</f>
        <v>N</v>
      </c>
      <c r="D782" t="str">
        <f t="shared" si="24"/>
        <v>X</v>
      </c>
      <c r="E782" t="s">
        <v>5552</v>
      </c>
      <c r="F782" t="s">
        <v>5553</v>
      </c>
      <c r="G782" t="s">
        <v>2756</v>
      </c>
      <c r="H782" t="s">
        <v>5554</v>
      </c>
      <c r="I782" t="s">
        <v>2126</v>
      </c>
      <c r="J782" t="str">
        <f>IF(0 = IFERROR(VLOOKUP(DBL_FullList!I782, ContactsDbl!B:D, 2, FALSE), ""), "", IFERROR(VLOOKUP(DBL_FullList!I782, ContactsDbl!B:D, 2, FALSE), ""))</f>
        <v>gluke@biblesocieties.org</v>
      </c>
      <c r="K782" t="str">
        <f>IF(0 = IFERROR(VLOOKUP(DBL_FullList!I782,ContactsDbl!B:D, 3, FALSE), ""), "", IFERROR(VLOOKUP(DBL_FullList!I782, ContactsDbl!B:D, 3, FALSE), ""))</f>
        <v>http://www.biblesociety-cameroon.org/</v>
      </c>
      <c r="L782">
        <f t="shared" si="25"/>
        <v>2</v>
      </c>
    </row>
    <row r="783" spans="1:12" x14ac:dyDescent="0.25">
      <c r="A783" t="s">
        <v>5555</v>
      </c>
      <c r="B783" t="str">
        <f>IF(ISERROR(VLOOKUP(F783,STEP!A:A, 1, FALSE)), "N", "Y")</f>
        <v>Y</v>
      </c>
      <c r="C783" t="str">
        <f>IF(ISERROR(VLOOKUP(E783, BibleInEveryLanguageTexts!A:A, 1, FALSE)), "N", "Y")</f>
        <v>N</v>
      </c>
      <c r="D783" t="str">
        <f t="shared" si="24"/>
        <v/>
      </c>
      <c r="E783" t="s">
        <v>5556</v>
      </c>
      <c r="F783" t="s">
        <v>5557</v>
      </c>
      <c r="G783" t="s">
        <v>48</v>
      </c>
      <c r="H783" t="s">
        <v>5558</v>
      </c>
      <c r="I783" t="s">
        <v>2661</v>
      </c>
      <c r="J783" t="str">
        <f>IF(0 = IFERROR(VLOOKUP(DBL_FullList!I783, ContactsDbl!B:D, 2, FALSE), ""), "", IFERROR(VLOOKUP(DBL_FullList!I783, ContactsDbl!B:D, 2, FALSE), ""))</f>
        <v>dbladmin_intl@sil.org</v>
      </c>
      <c r="K783" t="str">
        <f>IF(0 = IFERROR(VLOOKUP(DBL_FullList!I783,ContactsDbl!B:D, 3, FALSE), ""), "", IFERROR(VLOOKUP(DBL_FullList!I783, ContactsDbl!B:D, 3, FALSE), ""))</f>
        <v>http://www.wycliffe.org</v>
      </c>
      <c r="L783">
        <f t="shared" si="25"/>
        <v>2</v>
      </c>
    </row>
    <row r="784" spans="1:12" x14ac:dyDescent="0.25">
      <c r="A784" t="s">
        <v>5559</v>
      </c>
      <c r="B784" t="str">
        <f>IF(ISERROR(VLOOKUP(F784,STEP!A:A, 1, FALSE)), "N", "Y")</f>
        <v>N</v>
      </c>
      <c r="C784" t="str">
        <f>IF(ISERROR(VLOOKUP(E784, BibleInEveryLanguageTexts!A:A, 1, FALSE)), "N", "Y")</f>
        <v>N</v>
      </c>
      <c r="D784" t="str">
        <f t="shared" si="24"/>
        <v>X</v>
      </c>
      <c r="E784" t="s">
        <v>5560</v>
      </c>
      <c r="F784" t="s">
        <v>5561</v>
      </c>
      <c r="G784" t="s">
        <v>2908</v>
      </c>
      <c r="H784" t="s">
        <v>5562</v>
      </c>
      <c r="I784" t="s">
        <v>2673</v>
      </c>
      <c r="J784" t="str">
        <f>IF(0 = IFERROR(VLOOKUP(DBL_FullList!I784, ContactsDbl!B:D, 2, FALSE), ""), "", IFERROR(VLOOKUP(DBL_FullList!I784, ContactsDbl!B:D, 2, FALSE), ""))</f>
        <v>gnyirenda@biblesociety-zambia.org</v>
      </c>
      <c r="K784" t="str">
        <f>IF(0 = IFERROR(VLOOKUP(DBL_FullList!I784,ContactsDbl!B:D, 3, FALSE), ""), "", IFERROR(VLOOKUP(DBL_FullList!I784, ContactsDbl!B:D, 3, FALSE), ""))</f>
        <v>www.biblesociety-zambia.org</v>
      </c>
      <c r="L784">
        <f t="shared" si="25"/>
        <v>2</v>
      </c>
    </row>
    <row r="785" spans="1:12" x14ac:dyDescent="0.25">
      <c r="A785" t="s">
        <v>5563</v>
      </c>
      <c r="B785" t="str">
        <f>IF(ISERROR(VLOOKUP(F785,STEP!A:A, 1, FALSE)), "N", "Y")</f>
        <v>N</v>
      </c>
      <c r="C785" t="str">
        <f>IF(ISERROR(VLOOKUP(E785, BibleInEveryLanguageTexts!A:A, 1, FALSE)), "N", "Y")</f>
        <v>N</v>
      </c>
      <c r="D785" t="str">
        <f t="shared" si="24"/>
        <v>X</v>
      </c>
      <c r="E785" t="s">
        <v>5564</v>
      </c>
      <c r="F785" t="s">
        <v>5565</v>
      </c>
      <c r="G785" t="s">
        <v>2885</v>
      </c>
      <c r="H785" t="s">
        <v>5566</v>
      </c>
      <c r="I785" t="s">
        <v>2182</v>
      </c>
      <c r="J785" t="str">
        <f>IF(0 = IFERROR(VLOOKUP(DBL_FullList!I785, ContactsDbl!B:D, 2, FALSE), ""), "", IFERROR(VLOOKUP(DBL_FullList!I785, ContactsDbl!B:D, 2, FALSE), ""))</f>
        <v/>
      </c>
      <c r="K785" t="str">
        <f>IF(0 = IFERROR(VLOOKUP(DBL_FullList!I785,ContactsDbl!B:D, 3, FALSE), ""), "", IFERROR(VLOOKUP(DBL_FullList!I785, ContactsDbl!B:D, 3, FALSE), ""))</f>
        <v>http://www.biblesociety-cd.org/</v>
      </c>
      <c r="L785">
        <f t="shared" si="25"/>
        <v>1</v>
      </c>
    </row>
    <row r="786" spans="1:12" x14ac:dyDescent="0.25">
      <c r="A786" t="s">
        <v>5567</v>
      </c>
      <c r="B786" t="str">
        <f>IF(ISERROR(VLOOKUP(F786,STEP!A:A, 1, FALSE)), "N", "Y")</f>
        <v>Y</v>
      </c>
      <c r="C786" t="str">
        <f>IF(ISERROR(VLOOKUP(E786, BibleInEveryLanguageTexts!A:A, 1, FALSE)), "N", "Y")</f>
        <v>N</v>
      </c>
      <c r="D786" t="str">
        <f t="shared" si="24"/>
        <v/>
      </c>
      <c r="E786" t="s">
        <v>5568</v>
      </c>
      <c r="F786" t="s">
        <v>5569</v>
      </c>
      <c r="G786" t="s">
        <v>48</v>
      </c>
      <c r="H786" t="s">
        <v>5570</v>
      </c>
      <c r="I786" t="s">
        <v>2661</v>
      </c>
      <c r="J786" t="str">
        <f>IF(0 = IFERROR(VLOOKUP(DBL_FullList!I786, ContactsDbl!B:D, 2, FALSE), ""), "", IFERROR(VLOOKUP(DBL_FullList!I786, ContactsDbl!B:D, 2, FALSE), ""))</f>
        <v>dbladmin_intl@sil.org</v>
      </c>
      <c r="K786" t="str">
        <f>IF(0 = IFERROR(VLOOKUP(DBL_FullList!I786,ContactsDbl!B:D, 3, FALSE), ""), "", IFERROR(VLOOKUP(DBL_FullList!I786, ContactsDbl!B:D, 3, FALSE), ""))</f>
        <v>http://www.wycliffe.org</v>
      </c>
      <c r="L786">
        <f t="shared" si="25"/>
        <v>2</v>
      </c>
    </row>
    <row r="787" spans="1:12" x14ac:dyDescent="0.25">
      <c r="A787" t="s">
        <v>5571</v>
      </c>
      <c r="B787" t="str">
        <f>IF(ISERROR(VLOOKUP(F787,STEP!A:A, 1, FALSE)), "N", "Y")</f>
        <v>N</v>
      </c>
      <c r="C787" t="str">
        <f>IF(ISERROR(VLOOKUP(E787, BibleInEveryLanguageTexts!A:A, 1, FALSE)), "N", "Y")</f>
        <v>Y</v>
      </c>
      <c r="D787" t="str">
        <f t="shared" si="24"/>
        <v/>
      </c>
      <c r="E787" t="s">
        <v>155</v>
      </c>
      <c r="F787" t="s">
        <v>154</v>
      </c>
      <c r="G787" t="s">
        <v>20</v>
      </c>
      <c r="H787" t="s">
        <v>5572</v>
      </c>
      <c r="I787" t="s">
        <v>2329</v>
      </c>
      <c r="J787" t="str">
        <f>IF(0 = IFERROR(VLOOKUP(DBL_FullList!I787, ContactsDbl!B:D, 2, FALSE), ""), "", IFERROR(VLOOKUP(DBL_FullList!I787, ContactsDbl!B:D, 2, FALSE), ""))</f>
        <v/>
      </c>
      <c r="K787" t="str">
        <f>IF(0 = IFERROR(VLOOKUP(DBL_FullList!I787,ContactsDbl!B:D, 3, FALSE), ""), "", IFERROR(VLOOKUP(DBL_FullList!I787, ContactsDbl!B:D, 3, FALSE), ""))</f>
        <v>http://www.bsind.org/</v>
      </c>
      <c r="L787">
        <f t="shared" si="25"/>
        <v>1</v>
      </c>
    </row>
    <row r="788" spans="1:12" x14ac:dyDescent="0.25">
      <c r="A788" t="s">
        <v>5573</v>
      </c>
      <c r="B788" t="str">
        <f>IF(ISERROR(VLOOKUP(F788,STEP!A:A, 1, FALSE)), "N", "Y")</f>
        <v>Y</v>
      </c>
      <c r="C788" t="str">
        <f>IF(ISERROR(VLOOKUP(E788, BibleInEveryLanguageTexts!A:A, 1, FALSE)), "N", "Y")</f>
        <v>N</v>
      </c>
      <c r="D788" t="str">
        <f t="shared" si="24"/>
        <v/>
      </c>
      <c r="E788" t="s">
        <v>4312</v>
      </c>
      <c r="F788" t="s">
        <v>4313</v>
      </c>
      <c r="G788" t="s">
        <v>2997</v>
      </c>
      <c r="H788" t="s">
        <v>4312</v>
      </c>
      <c r="I788" t="s">
        <v>2248</v>
      </c>
      <c r="J788" t="str">
        <f>IF(0 = IFERROR(VLOOKUP(DBL_FullList!I788, ContactsDbl!B:D, 2, FALSE), ""), "", IFERROR(VLOOKUP(DBL_FullList!I788, ContactsDbl!B:D, 2, FALSE), ""))</f>
        <v>dokurugu@biblesociety-ghana.org</v>
      </c>
      <c r="K788" t="str">
        <f>IF(0 = IFERROR(VLOOKUP(DBL_FullList!I788,ContactsDbl!B:D, 3, FALSE), ""), "", IFERROR(VLOOKUP(DBL_FullList!I788, ContactsDbl!B:D, 3, FALSE), ""))</f>
        <v>http://www.biblesociety-ghana.org/</v>
      </c>
      <c r="L788">
        <f t="shared" si="25"/>
        <v>2</v>
      </c>
    </row>
    <row r="789" spans="1:12" x14ac:dyDescent="0.25">
      <c r="A789" t="s">
        <v>5574</v>
      </c>
      <c r="B789" t="str">
        <f>IF(ISERROR(VLOOKUP(F789,STEP!A:A, 1, FALSE)), "N", "Y")</f>
        <v>N</v>
      </c>
      <c r="C789" t="str">
        <f>IF(ISERROR(VLOOKUP(E789, BibleInEveryLanguageTexts!A:A, 1, FALSE)), "N", "Y")</f>
        <v>N</v>
      </c>
      <c r="D789" t="str">
        <f t="shared" si="24"/>
        <v>X</v>
      </c>
      <c r="E789" t="s">
        <v>5049</v>
      </c>
      <c r="F789" t="s">
        <v>5050</v>
      </c>
      <c r="G789" t="s">
        <v>3133</v>
      </c>
      <c r="H789" t="s">
        <v>5575</v>
      </c>
      <c r="I789" t="s">
        <v>2661</v>
      </c>
      <c r="J789" t="str">
        <f>IF(0 = IFERROR(VLOOKUP(DBL_FullList!I789, ContactsDbl!B:D, 2, FALSE), ""), "", IFERROR(VLOOKUP(DBL_FullList!I789, ContactsDbl!B:D, 2, FALSE), ""))</f>
        <v>dbladmin_intl@sil.org</v>
      </c>
      <c r="K789" t="str">
        <f>IF(0 = IFERROR(VLOOKUP(DBL_FullList!I789,ContactsDbl!B:D, 3, FALSE), ""), "", IFERROR(VLOOKUP(DBL_FullList!I789, ContactsDbl!B:D, 3, FALSE), ""))</f>
        <v>http://www.wycliffe.org</v>
      </c>
      <c r="L789">
        <f t="shared" si="25"/>
        <v>2</v>
      </c>
    </row>
    <row r="790" spans="1:12" x14ac:dyDescent="0.25">
      <c r="A790" t="s">
        <v>5576</v>
      </c>
      <c r="B790" t="str">
        <f>IF(ISERROR(VLOOKUP(F790,STEP!A:A, 1, FALSE)), "N", "Y")</f>
        <v>Y</v>
      </c>
      <c r="C790" t="str">
        <f>IF(ISERROR(VLOOKUP(E790, BibleInEveryLanguageTexts!A:A, 1, FALSE)), "N", "Y")</f>
        <v>N</v>
      </c>
      <c r="D790" t="str">
        <f t="shared" si="24"/>
        <v/>
      </c>
      <c r="E790" t="s">
        <v>5577</v>
      </c>
      <c r="F790" t="s">
        <v>5578</v>
      </c>
      <c r="G790" t="s">
        <v>48</v>
      </c>
      <c r="H790" t="s">
        <v>5579</v>
      </c>
      <c r="I790" t="s">
        <v>2661</v>
      </c>
      <c r="J790" t="str">
        <f>IF(0 = IFERROR(VLOOKUP(DBL_FullList!I790, ContactsDbl!B:D, 2, FALSE), ""), "", IFERROR(VLOOKUP(DBL_FullList!I790, ContactsDbl!B:D, 2, FALSE), ""))</f>
        <v>dbladmin_intl@sil.org</v>
      </c>
      <c r="K790" t="str">
        <f>IF(0 = IFERROR(VLOOKUP(DBL_FullList!I790,ContactsDbl!B:D, 3, FALSE), ""), "", IFERROR(VLOOKUP(DBL_FullList!I790, ContactsDbl!B:D, 3, FALSE), ""))</f>
        <v>http://www.wycliffe.org</v>
      </c>
      <c r="L790">
        <f t="shared" si="25"/>
        <v>2</v>
      </c>
    </row>
    <row r="791" spans="1:12" x14ac:dyDescent="0.25">
      <c r="A791" t="s">
        <v>5580</v>
      </c>
      <c r="B791" t="str">
        <f>IF(ISERROR(VLOOKUP(F791,STEP!A:A, 1, FALSE)), "N", "Y")</f>
        <v>Y</v>
      </c>
      <c r="C791" t="str">
        <f>IF(ISERROR(VLOOKUP(E791, BibleInEveryLanguageTexts!A:A, 1, FALSE)), "N", "Y")</f>
        <v>N</v>
      </c>
      <c r="D791" t="str">
        <f t="shared" si="24"/>
        <v/>
      </c>
      <c r="E791" t="s">
        <v>5581</v>
      </c>
      <c r="F791" t="s">
        <v>5582</v>
      </c>
      <c r="G791" t="s">
        <v>48</v>
      </c>
      <c r="H791" t="s">
        <v>5583</v>
      </c>
      <c r="I791" t="s">
        <v>2661</v>
      </c>
      <c r="J791" t="str">
        <f>IF(0 = IFERROR(VLOOKUP(DBL_FullList!I791, ContactsDbl!B:D, 2, FALSE), ""), "", IFERROR(VLOOKUP(DBL_FullList!I791, ContactsDbl!B:D, 2, FALSE), ""))</f>
        <v>dbladmin_intl@sil.org</v>
      </c>
      <c r="K791" t="str">
        <f>IF(0 = IFERROR(VLOOKUP(DBL_FullList!I791,ContactsDbl!B:D, 3, FALSE), ""), "", IFERROR(VLOOKUP(DBL_FullList!I791, ContactsDbl!B:D, 3, FALSE), ""))</f>
        <v>http://www.wycliffe.org</v>
      </c>
      <c r="L791">
        <f t="shared" si="25"/>
        <v>2</v>
      </c>
    </row>
    <row r="792" spans="1:12" x14ac:dyDescent="0.25">
      <c r="A792" t="s">
        <v>5584</v>
      </c>
      <c r="B792" t="str">
        <f>IF(ISERROR(VLOOKUP(F792,STEP!A:A, 1, FALSE)), "N", "Y")</f>
        <v>N</v>
      </c>
      <c r="C792" t="str">
        <f>IF(ISERROR(VLOOKUP(E792, BibleInEveryLanguageTexts!A:A, 1, FALSE)), "N", "Y")</f>
        <v>N</v>
      </c>
      <c r="D792" t="str">
        <f t="shared" si="24"/>
        <v>X</v>
      </c>
      <c r="E792" t="s">
        <v>5585</v>
      </c>
      <c r="F792" t="s">
        <v>5586</v>
      </c>
      <c r="G792" t="s">
        <v>2723</v>
      </c>
      <c r="H792" t="s">
        <v>5587</v>
      </c>
      <c r="I792" t="s">
        <v>2661</v>
      </c>
      <c r="J792" t="str">
        <f>IF(0 = IFERROR(VLOOKUP(DBL_FullList!I792, ContactsDbl!B:D, 2, FALSE), ""), "", IFERROR(VLOOKUP(DBL_FullList!I792, ContactsDbl!B:D, 2, FALSE), ""))</f>
        <v>dbladmin_intl@sil.org</v>
      </c>
      <c r="K792" t="str">
        <f>IF(0 = IFERROR(VLOOKUP(DBL_FullList!I792,ContactsDbl!B:D, 3, FALSE), ""), "", IFERROR(VLOOKUP(DBL_FullList!I792, ContactsDbl!B:D, 3, FALSE), ""))</f>
        <v>http://www.wycliffe.org</v>
      </c>
      <c r="L792">
        <f t="shared" si="25"/>
        <v>2</v>
      </c>
    </row>
    <row r="793" spans="1:12" x14ac:dyDescent="0.25">
      <c r="A793" t="s">
        <v>5588</v>
      </c>
      <c r="B793" t="str">
        <f>IF(ISERROR(VLOOKUP(F793,STEP!A:A, 1, FALSE)), "N", "Y")</f>
        <v>N</v>
      </c>
      <c r="C793" t="str">
        <f>IF(ISERROR(VLOOKUP(E793, BibleInEveryLanguageTexts!A:A, 1, FALSE)), "N", "Y")</f>
        <v>N</v>
      </c>
      <c r="D793" t="str">
        <f t="shared" si="24"/>
        <v>X</v>
      </c>
      <c r="E793" t="s">
        <v>5589</v>
      </c>
      <c r="F793" t="s">
        <v>5590</v>
      </c>
      <c r="G793" t="s">
        <v>5239</v>
      </c>
      <c r="H793" t="s">
        <v>5591</v>
      </c>
      <c r="I793" t="s">
        <v>2487</v>
      </c>
      <c r="J793" t="str">
        <f>IF(0 = IFERROR(VLOOKUP(DBL_FullList!I793, ContactsDbl!B:D, 2, FALSE), ""), "", IFERROR(VLOOKUP(DBL_FullList!I793, ContactsDbl!B:D, 2, FALSE), ""))</f>
        <v/>
      </c>
      <c r="K793" t="str">
        <f>IF(0 = IFERROR(VLOOKUP(DBL_FullList!I793,ContactsDbl!B:D, 3, FALSE), ""), "", IFERROR(VLOOKUP(DBL_FullList!I793, ContactsDbl!B:D, 3, FALSE), ""))</f>
        <v>http://www.bibelselskapet.no/</v>
      </c>
      <c r="L793">
        <f t="shared" si="25"/>
        <v>1</v>
      </c>
    </row>
    <row r="794" spans="1:12" x14ac:dyDescent="0.25">
      <c r="A794" t="s">
        <v>5592</v>
      </c>
      <c r="B794" t="str">
        <f>IF(ISERROR(VLOOKUP(F794,STEP!A:A, 1, FALSE)), "N", "Y")</f>
        <v>N</v>
      </c>
      <c r="C794" t="str">
        <f>IF(ISERROR(VLOOKUP(E794, BibleInEveryLanguageTexts!A:A, 1, FALSE)), "N", "Y")</f>
        <v>N</v>
      </c>
      <c r="D794" t="str">
        <f t="shared" si="24"/>
        <v>X</v>
      </c>
      <c r="E794" t="s">
        <v>5593</v>
      </c>
      <c r="F794" t="s">
        <v>5594</v>
      </c>
      <c r="G794" t="s">
        <v>2997</v>
      </c>
      <c r="H794" t="s">
        <v>5595</v>
      </c>
      <c r="I794" t="s">
        <v>2661</v>
      </c>
      <c r="J794" t="str">
        <f>IF(0 = IFERROR(VLOOKUP(DBL_FullList!I794, ContactsDbl!B:D, 2, FALSE), ""), "", IFERROR(VLOOKUP(DBL_FullList!I794, ContactsDbl!B:D, 2, FALSE), ""))</f>
        <v>dbladmin_intl@sil.org</v>
      </c>
      <c r="K794" t="str">
        <f>IF(0 = IFERROR(VLOOKUP(DBL_FullList!I794,ContactsDbl!B:D, 3, FALSE), ""), "", IFERROR(VLOOKUP(DBL_FullList!I794, ContactsDbl!B:D, 3, FALSE), ""))</f>
        <v>http://www.wycliffe.org</v>
      </c>
      <c r="L794">
        <f t="shared" si="25"/>
        <v>2</v>
      </c>
    </row>
    <row r="795" spans="1:12" x14ac:dyDescent="0.25">
      <c r="A795" t="s">
        <v>5596</v>
      </c>
      <c r="B795" t="str">
        <f>IF(ISERROR(VLOOKUP(F795,STEP!A:A, 1, FALSE)), "N", "Y")</f>
        <v>N</v>
      </c>
      <c r="C795" t="str">
        <f>IF(ISERROR(VLOOKUP(E795, BibleInEveryLanguageTexts!A:A, 1, FALSE)), "N", "Y")</f>
        <v>N</v>
      </c>
      <c r="D795" t="str">
        <f t="shared" si="24"/>
        <v>X</v>
      </c>
      <c r="E795" t="s">
        <v>5597</v>
      </c>
      <c r="F795" t="s">
        <v>5598</v>
      </c>
      <c r="G795" t="s">
        <v>5085</v>
      </c>
      <c r="H795" t="s">
        <v>5599</v>
      </c>
      <c r="I795" t="s">
        <v>2661</v>
      </c>
      <c r="J795" t="str">
        <f>IF(0 = IFERROR(VLOOKUP(DBL_FullList!I795, ContactsDbl!B:D, 2, FALSE), ""), "", IFERROR(VLOOKUP(DBL_FullList!I795, ContactsDbl!B:D, 2, FALSE), ""))</f>
        <v>dbladmin_intl@sil.org</v>
      </c>
      <c r="K795" t="str">
        <f>IF(0 = IFERROR(VLOOKUP(DBL_FullList!I795,ContactsDbl!B:D, 3, FALSE), ""), "", IFERROR(VLOOKUP(DBL_FullList!I795, ContactsDbl!B:D, 3, FALSE), ""))</f>
        <v>http://www.wycliffe.org</v>
      </c>
      <c r="L795">
        <f t="shared" si="25"/>
        <v>2</v>
      </c>
    </row>
    <row r="796" spans="1:12" x14ac:dyDescent="0.25">
      <c r="A796" t="s">
        <v>5600</v>
      </c>
      <c r="B796" t="str">
        <f>IF(ISERROR(VLOOKUP(F796,STEP!A:A, 1, FALSE)), "N", "Y")</f>
        <v>N</v>
      </c>
      <c r="C796" t="str">
        <f>IF(ISERROR(VLOOKUP(E796, BibleInEveryLanguageTexts!A:A, 1, FALSE)), "N", "Y")</f>
        <v>N</v>
      </c>
      <c r="D796" t="str">
        <f t="shared" si="24"/>
        <v>X</v>
      </c>
      <c r="E796" t="s">
        <v>5601</v>
      </c>
      <c r="F796" t="s">
        <v>5602</v>
      </c>
      <c r="G796" t="s">
        <v>2756</v>
      </c>
      <c r="H796" t="s">
        <v>5603</v>
      </c>
      <c r="I796" t="s">
        <v>2126</v>
      </c>
      <c r="J796" t="str">
        <f>IF(0 = IFERROR(VLOOKUP(DBL_FullList!I796, ContactsDbl!B:D, 2, FALSE), ""), "", IFERROR(VLOOKUP(DBL_FullList!I796, ContactsDbl!B:D, 2, FALSE), ""))</f>
        <v>gluke@biblesocieties.org</v>
      </c>
      <c r="K796" t="str">
        <f>IF(0 = IFERROR(VLOOKUP(DBL_FullList!I796,ContactsDbl!B:D, 3, FALSE), ""), "", IFERROR(VLOOKUP(DBL_FullList!I796, ContactsDbl!B:D, 3, FALSE), ""))</f>
        <v>http://www.biblesociety-cameroon.org/</v>
      </c>
      <c r="L796">
        <f t="shared" si="25"/>
        <v>2</v>
      </c>
    </row>
    <row r="797" spans="1:12" x14ac:dyDescent="0.25">
      <c r="A797" t="s">
        <v>5604</v>
      </c>
      <c r="B797" t="str">
        <f>IF(ISERROR(VLOOKUP(F797,STEP!A:A, 1, FALSE)), "N", "Y")</f>
        <v>N</v>
      </c>
      <c r="C797" t="str">
        <f>IF(ISERROR(VLOOKUP(E797, BibleInEveryLanguageTexts!A:A, 1, FALSE)), "N", "Y")</f>
        <v>Y</v>
      </c>
      <c r="D797" t="str">
        <f t="shared" si="24"/>
        <v/>
      </c>
      <c r="E797" t="s">
        <v>2704</v>
      </c>
      <c r="F797" t="s">
        <v>3193</v>
      </c>
      <c r="G797" t="s">
        <v>3194</v>
      </c>
      <c r="H797" t="s">
        <v>5605</v>
      </c>
      <c r="I797" t="s">
        <v>1997</v>
      </c>
      <c r="J797" t="str">
        <f>IF(0 = IFERROR(VLOOKUP(DBL_FullList!I797, ContactsDbl!B:D, 2, FALSE), ""), "", IFERROR(VLOOKUP(DBL_FullList!I797, ContactsDbl!B:D, 2, FALSE), ""))</f>
        <v>Lee.Harris@biblica.com</v>
      </c>
      <c r="K797" t="str">
        <f>IF(0 = IFERROR(VLOOKUP(DBL_FullList!I797,ContactsDbl!B:D, 3, FALSE), ""), "", IFERROR(VLOOKUP(DBL_FullList!I797, ContactsDbl!B:D, 3, FALSE), ""))</f>
        <v>http://www.Biblica.com</v>
      </c>
      <c r="L797">
        <f t="shared" si="25"/>
        <v>2</v>
      </c>
    </row>
    <row r="798" spans="1:12" x14ac:dyDescent="0.25">
      <c r="A798" t="s">
        <v>5606</v>
      </c>
      <c r="B798" t="str">
        <f>IF(ISERROR(VLOOKUP(F798,STEP!A:A, 1, FALSE)), "N", "Y")</f>
        <v>N</v>
      </c>
      <c r="C798" t="str">
        <f>IF(ISERROR(VLOOKUP(E798, BibleInEveryLanguageTexts!A:A, 1, FALSE)), "N", "Y")</f>
        <v>N</v>
      </c>
      <c r="D798" t="str">
        <f t="shared" si="24"/>
        <v>X</v>
      </c>
      <c r="E798" t="s">
        <v>5607</v>
      </c>
      <c r="F798" t="s">
        <v>5608</v>
      </c>
      <c r="G798" t="s">
        <v>2858</v>
      </c>
      <c r="H798" t="s">
        <v>5609</v>
      </c>
      <c r="I798" t="s">
        <v>2505</v>
      </c>
      <c r="J798" t="str">
        <f>IF(0 = IFERROR(VLOOKUP(DBL_FullList!I798, ContactsDbl!B:D, 2, FALSE), ""), "", IFERROR(VLOOKUP(DBL_FullList!I798, ContactsDbl!B:D, 2, FALSE), ""))</f>
        <v/>
      </c>
      <c r="K798" t="str">
        <f>IF(0 = IFERROR(VLOOKUP(DBL_FullList!I798,ContactsDbl!B:D, 3, FALSE), ""), "", IFERROR(VLOOKUP(DBL_FullList!I798, ContactsDbl!B:D, 3, FALSE), ""))</f>
        <v>http://www.bible.org.ph/</v>
      </c>
      <c r="L798">
        <f t="shared" si="25"/>
        <v>1</v>
      </c>
    </row>
    <row r="799" spans="1:12" x14ac:dyDescent="0.25">
      <c r="A799" t="s">
        <v>5610</v>
      </c>
      <c r="B799" t="str">
        <f>IF(ISERROR(VLOOKUP(F799,STEP!A:A, 1, FALSE)), "N", "Y")</f>
        <v>N</v>
      </c>
      <c r="C799" t="str">
        <f>IF(ISERROR(VLOOKUP(E799, BibleInEveryLanguageTexts!A:A, 1, FALSE)), "N", "Y")</f>
        <v>N</v>
      </c>
      <c r="D799" t="str">
        <f t="shared" si="24"/>
        <v>X</v>
      </c>
      <c r="E799" t="s">
        <v>5611</v>
      </c>
      <c r="F799" t="s">
        <v>5612</v>
      </c>
      <c r="G799" t="s">
        <v>306</v>
      </c>
      <c r="H799" t="s">
        <v>5613</v>
      </c>
      <c r="I799" t="s">
        <v>2106</v>
      </c>
      <c r="J799" t="str">
        <f>IF(0 = IFERROR(VLOOKUP(DBL_FullList!I799, ContactsDbl!B:D, 2, FALSE), ""), "", IFERROR(VLOOKUP(DBL_FullList!I799, ContactsDbl!B:D, 2, FALSE), ""))</f>
        <v>info@biblesociety-tanzania.org</v>
      </c>
      <c r="K799" t="str">
        <f>IF(0 = IFERROR(VLOOKUP(DBL_FullList!I799,ContactsDbl!B:D, 3, FALSE), ""), "", IFERROR(VLOOKUP(DBL_FullList!I799, ContactsDbl!B:D, 3, FALSE), ""))</f>
        <v>http://biblesociety-tanzania.org/</v>
      </c>
      <c r="L799">
        <f t="shared" si="25"/>
        <v>2</v>
      </c>
    </row>
    <row r="800" spans="1:12" x14ac:dyDescent="0.25">
      <c r="A800" t="s">
        <v>5614</v>
      </c>
      <c r="B800" t="str">
        <f>IF(ISERROR(VLOOKUP(F800,STEP!A:A, 1, FALSE)), "N", "Y")</f>
        <v>N</v>
      </c>
      <c r="C800" t="str">
        <f>IF(ISERROR(VLOOKUP(E800, BibleInEveryLanguageTexts!A:A, 1, FALSE)), "N", "Y")</f>
        <v>N</v>
      </c>
      <c r="D800" t="str">
        <f t="shared" si="24"/>
        <v>X</v>
      </c>
      <c r="E800" t="s">
        <v>1698</v>
      </c>
      <c r="F800" t="s">
        <v>4065</v>
      </c>
      <c r="G800" t="s">
        <v>2858</v>
      </c>
      <c r="H800" t="s">
        <v>5615</v>
      </c>
      <c r="I800" t="s">
        <v>2505</v>
      </c>
      <c r="J800" t="str">
        <f>IF(0 = IFERROR(VLOOKUP(DBL_FullList!I800, ContactsDbl!B:D, 2, FALSE), ""), "", IFERROR(VLOOKUP(DBL_FullList!I800, ContactsDbl!B:D, 2, FALSE), ""))</f>
        <v/>
      </c>
      <c r="K800" t="str">
        <f>IF(0 = IFERROR(VLOOKUP(DBL_FullList!I800,ContactsDbl!B:D, 3, FALSE), ""), "", IFERROR(VLOOKUP(DBL_FullList!I800, ContactsDbl!B:D, 3, FALSE), ""))</f>
        <v>http://www.bible.org.ph/</v>
      </c>
      <c r="L800">
        <f t="shared" si="25"/>
        <v>1</v>
      </c>
    </row>
    <row r="801" spans="1:12" x14ac:dyDescent="0.25">
      <c r="A801" s="1" t="s">
        <v>5616</v>
      </c>
      <c r="B801" t="str">
        <f>IF(ISERROR(VLOOKUP(F801,STEP!A:A, 1, FALSE)), "N", "Y")</f>
        <v>Y</v>
      </c>
      <c r="C801" t="str">
        <f>IF(ISERROR(VLOOKUP(E801, BibleInEveryLanguageTexts!A:A, 1, FALSE)), "N", "Y")</f>
        <v>N</v>
      </c>
      <c r="D801" t="str">
        <f t="shared" si="24"/>
        <v/>
      </c>
      <c r="E801" t="s">
        <v>4258</v>
      </c>
      <c r="F801" t="s">
        <v>4259</v>
      </c>
      <c r="G801" t="s">
        <v>27</v>
      </c>
      <c r="H801" t="s">
        <v>5617</v>
      </c>
      <c r="I801" t="s">
        <v>3104</v>
      </c>
      <c r="J801" t="str">
        <f>IF(0 = IFERROR(VLOOKUP(DBL_FullList!I801, ContactsDbl!B:D, 2, FALSE), ""), "", IFERROR(VLOOKUP(DBL_FullList!I801, ContactsDbl!B:D, 2, FALSE), ""))</f>
        <v/>
      </c>
      <c r="K801" t="str">
        <f>IF(0 = IFERROR(VLOOKUP(DBL_FullList!I801,ContactsDbl!B:D, 3, FALSE), ""), "", IFERROR(VLOOKUP(DBL_FullList!I801, ContactsDbl!B:D, 3, FALSE), ""))</f>
        <v/>
      </c>
      <c r="L801">
        <f t="shared" si="25"/>
        <v>0</v>
      </c>
    </row>
    <row r="802" spans="1:12" x14ac:dyDescent="0.25">
      <c r="A802" t="s">
        <v>5618</v>
      </c>
      <c r="B802" t="str">
        <f>IF(ISERROR(VLOOKUP(F802,STEP!A:A, 1, FALSE)), "N", "Y")</f>
        <v>N</v>
      </c>
      <c r="C802" t="str">
        <f>IF(ISERROR(VLOOKUP(E802, BibleInEveryLanguageTexts!A:A, 1, FALSE)), "N", "Y")</f>
        <v>N</v>
      </c>
      <c r="D802" t="str">
        <f t="shared" si="24"/>
        <v>X</v>
      </c>
      <c r="E802" t="s">
        <v>5619</v>
      </c>
      <c r="F802" t="s">
        <v>5620</v>
      </c>
      <c r="G802" t="s">
        <v>171</v>
      </c>
      <c r="H802" t="s">
        <v>5621</v>
      </c>
      <c r="I802" t="s">
        <v>168</v>
      </c>
      <c r="J802" t="str">
        <f>IF(0 = IFERROR(VLOOKUP(DBL_FullList!I802, ContactsDbl!B:D, 2, FALSE), ""), "", IFERROR(VLOOKUP(DBL_FullList!I802, ContactsDbl!B:D, 2, FALSE), ""))</f>
        <v>admin@biblesociety-ethiopia.org</v>
      </c>
      <c r="K802" t="str">
        <f>IF(0 = IFERROR(VLOOKUP(DBL_FullList!I802,ContactsDbl!B:D, 3, FALSE), ""), "", IFERROR(VLOOKUP(DBL_FullList!I802, ContactsDbl!B:D, 3, FALSE), ""))</f>
        <v>http://biblesociety-ethiopia.org</v>
      </c>
      <c r="L802">
        <f t="shared" si="25"/>
        <v>2</v>
      </c>
    </row>
    <row r="803" spans="1:12" x14ac:dyDescent="0.25">
      <c r="A803" t="s">
        <v>5622</v>
      </c>
      <c r="B803" t="str">
        <f>IF(ISERROR(VLOOKUP(F803,STEP!A:A, 1, FALSE)), "N", "Y")</f>
        <v>N</v>
      </c>
      <c r="C803" t="str">
        <f>IF(ISERROR(VLOOKUP(E803, BibleInEveryLanguageTexts!A:A, 1, FALSE)), "N", "Y")</f>
        <v>N</v>
      </c>
      <c r="D803" t="str">
        <f t="shared" si="24"/>
        <v>X</v>
      </c>
      <c r="E803" t="s">
        <v>5623</v>
      </c>
      <c r="F803" t="s">
        <v>5624</v>
      </c>
      <c r="G803" t="s">
        <v>2743</v>
      </c>
      <c r="H803" t="s">
        <v>5625</v>
      </c>
      <c r="I803" t="s">
        <v>1997</v>
      </c>
      <c r="J803" t="str">
        <f>IF(0 = IFERROR(VLOOKUP(DBL_FullList!I803, ContactsDbl!B:D, 2, FALSE), ""), "", IFERROR(VLOOKUP(DBL_FullList!I803, ContactsDbl!B:D, 2, FALSE), ""))</f>
        <v>Lee.Harris@biblica.com</v>
      </c>
      <c r="K803" t="str">
        <f>IF(0 = IFERROR(VLOOKUP(DBL_FullList!I803,ContactsDbl!B:D, 3, FALSE), ""), "", IFERROR(VLOOKUP(DBL_FullList!I803, ContactsDbl!B:D, 3, FALSE), ""))</f>
        <v>http://www.Biblica.com</v>
      </c>
      <c r="L803">
        <f t="shared" si="25"/>
        <v>2</v>
      </c>
    </row>
    <row r="804" spans="1:12" x14ac:dyDescent="0.25">
      <c r="A804" t="s">
        <v>5626</v>
      </c>
      <c r="B804" t="str">
        <f>IF(ISERROR(VLOOKUP(F804,STEP!A:A, 1, FALSE)), "N", "Y")</f>
        <v>N</v>
      </c>
      <c r="C804" t="str">
        <f>IF(ISERROR(VLOOKUP(E804, BibleInEveryLanguageTexts!A:A, 1, FALSE)), "N", "Y")</f>
        <v>N</v>
      </c>
      <c r="D804" t="str">
        <f t="shared" si="24"/>
        <v>X</v>
      </c>
      <c r="E804" t="s">
        <v>5627</v>
      </c>
      <c r="F804" t="s">
        <v>5628</v>
      </c>
      <c r="G804" t="s">
        <v>2838</v>
      </c>
      <c r="H804" t="s">
        <v>5629</v>
      </c>
      <c r="I804" t="s">
        <v>2661</v>
      </c>
      <c r="J804" t="str">
        <f>IF(0 = IFERROR(VLOOKUP(DBL_FullList!I804, ContactsDbl!B:D, 2, FALSE), ""), "", IFERROR(VLOOKUP(DBL_FullList!I804, ContactsDbl!B:D, 2, FALSE), ""))</f>
        <v>dbladmin_intl@sil.org</v>
      </c>
      <c r="K804" t="str">
        <f>IF(0 = IFERROR(VLOOKUP(DBL_FullList!I804,ContactsDbl!B:D, 3, FALSE), ""), "", IFERROR(VLOOKUP(DBL_FullList!I804, ContactsDbl!B:D, 3, FALSE), ""))</f>
        <v>http://www.wycliffe.org</v>
      </c>
      <c r="L804">
        <f t="shared" si="25"/>
        <v>2</v>
      </c>
    </row>
    <row r="805" spans="1:12" x14ac:dyDescent="0.25">
      <c r="A805" s="1" t="s">
        <v>5630</v>
      </c>
      <c r="B805" t="str">
        <f>IF(ISERROR(VLOOKUP(F805,STEP!A:A, 1, FALSE)), "N", "Y")</f>
        <v>N</v>
      </c>
      <c r="C805" t="str">
        <f>IF(ISERROR(VLOOKUP(E805, BibleInEveryLanguageTexts!A:A, 1, FALSE)), "N", "Y")</f>
        <v>N</v>
      </c>
      <c r="D805" t="str">
        <f t="shared" si="24"/>
        <v>X</v>
      </c>
      <c r="E805" t="s">
        <v>5631</v>
      </c>
      <c r="F805" t="s">
        <v>5632</v>
      </c>
      <c r="G805" t="s">
        <v>48</v>
      </c>
      <c r="H805" t="s">
        <v>5633</v>
      </c>
      <c r="I805" t="s">
        <v>2661</v>
      </c>
      <c r="J805" t="str">
        <f>IF(0 = IFERROR(VLOOKUP(DBL_FullList!I805, ContactsDbl!B:D, 2, FALSE), ""), "", IFERROR(VLOOKUP(DBL_FullList!I805, ContactsDbl!B:D, 2, FALSE), ""))</f>
        <v>dbladmin_intl@sil.org</v>
      </c>
      <c r="K805" t="str">
        <f>IF(0 = IFERROR(VLOOKUP(DBL_FullList!I805,ContactsDbl!B:D, 3, FALSE), ""), "", IFERROR(VLOOKUP(DBL_FullList!I805, ContactsDbl!B:D, 3, FALSE), ""))</f>
        <v>http://www.wycliffe.org</v>
      </c>
      <c r="L805">
        <f t="shared" si="25"/>
        <v>2</v>
      </c>
    </row>
    <row r="806" spans="1:12" x14ac:dyDescent="0.25">
      <c r="A806" t="s">
        <v>5634</v>
      </c>
      <c r="B806" t="str">
        <f>IF(ISERROR(VLOOKUP(F806,STEP!A:A, 1, FALSE)), "N", "Y")</f>
        <v>Y</v>
      </c>
      <c r="C806" t="str">
        <f>IF(ISERROR(VLOOKUP(E806, BibleInEveryLanguageTexts!A:A, 1, FALSE)), "N", "Y")</f>
        <v>N</v>
      </c>
      <c r="D806" t="str">
        <f t="shared" si="24"/>
        <v/>
      </c>
      <c r="E806" t="s">
        <v>5635</v>
      </c>
      <c r="F806" t="s">
        <v>5636</v>
      </c>
      <c r="G806" t="s">
        <v>48</v>
      </c>
      <c r="H806" t="s">
        <v>5637</v>
      </c>
      <c r="I806" t="s">
        <v>2661</v>
      </c>
      <c r="J806" t="str">
        <f>IF(0 = IFERROR(VLOOKUP(DBL_FullList!I806, ContactsDbl!B:D, 2, FALSE), ""), "", IFERROR(VLOOKUP(DBL_FullList!I806, ContactsDbl!B:D, 2, FALSE), ""))</f>
        <v>dbladmin_intl@sil.org</v>
      </c>
      <c r="K806" t="str">
        <f>IF(0 = IFERROR(VLOOKUP(DBL_FullList!I806,ContactsDbl!B:D, 3, FALSE), ""), "", IFERROR(VLOOKUP(DBL_FullList!I806, ContactsDbl!B:D, 3, FALSE), ""))</f>
        <v>http://www.wycliffe.org</v>
      </c>
      <c r="L806">
        <f t="shared" si="25"/>
        <v>2</v>
      </c>
    </row>
    <row r="807" spans="1:12" x14ac:dyDescent="0.25">
      <c r="A807" t="s">
        <v>5638</v>
      </c>
      <c r="B807" t="str">
        <f>IF(ISERROR(VLOOKUP(F807,STEP!A:A, 1, FALSE)), "N", "Y")</f>
        <v>Y</v>
      </c>
      <c r="C807" t="str">
        <f>IF(ISERROR(VLOOKUP(E807, BibleInEveryLanguageTexts!A:A, 1, FALSE)), "N", "Y")</f>
        <v>N</v>
      </c>
      <c r="D807" t="str">
        <f t="shared" si="24"/>
        <v/>
      </c>
      <c r="E807" t="s">
        <v>5639</v>
      </c>
      <c r="F807" t="s">
        <v>5640</v>
      </c>
      <c r="G807" t="s">
        <v>48</v>
      </c>
      <c r="H807" t="s">
        <v>5641</v>
      </c>
      <c r="I807" t="s">
        <v>2661</v>
      </c>
      <c r="J807" t="str">
        <f>IF(0 = IFERROR(VLOOKUP(DBL_FullList!I807, ContactsDbl!B:D, 2, FALSE), ""), "", IFERROR(VLOOKUP(DBL_FullList!I807, ContactsDbl!B:D, 2, FALSE), ""))</f>
        <v>dbladmin_intl@sil.org</v>
      </c>
      <c r="K807" t="str">
        <f>IF(0 = IFERROR(VLOOKUP(DBL_FullList!I807,ContactsDbl!B:D, 3, FALSE), ""), "", IFERROR(VLOOKUP(DBL_FullList!I807, ContactsDbl!B:D, 3, FALSE), ""))</f>
        <v>http://www.wycliffe.org</v>
      </c>
      <c r="L807">
        <f t="shared" si="25"/>
        <v>2</v>
      </c>
    </row>
    <row r="808" spans="1:12" x14ac:dyDescent="0.25">
      <c r="A808" t="s">
        <v>5642</v>
      </c>
      <c r="B808" t="str">
        <f>IF(ISERROR(VLOOKUP(F808,STEP!A:A, 1, FALSE)), "N", "Y")</f>
        <v>N</v>
      </c>
      <c r="C808" t="str">
        <f>IF(ISERROR(VLOOKUP(E808, BibleInEveryLanguageTexts!A:A, 1, FALSE)), "N", "Y")</f>
        <v>N</v>
      </c>
      <c r="D808" t="str">
        <f t="shared" si="24"/>
        <v>X</v>
      </c>
      <c r="E808" t="s">
        <v>5643</v>
      </c>
      <c r="F808" t="s">
        <v>5644</v>
      </c>
      <c r="G808" t="s">
        <v>20</v>
      </c>
      <c r="H808" t="s">
        <v>5645</v>
      </c>
      <c r="I808" t="s">
        <v>2329</v>
      </c>
      <c r="J808" t="str">
        <f>IF(0 = IFERROR(VLOOKUP(DBL_FullList!I808, ContactsDbl!B:D, 2, FALSE), ""), "", IFERROR(VLOOKUP(DBL_FullList!I808, ContactsDbl!B:D, 2, FALSE), ""))</f>
        <v/>
      </c>
      <c r="K808" t="str">
        <f>IF(0 = IFERROR(VLOOKUP(DBL_FullList!I808,ContactsDbl!B:D, 3, FALSE), ""), "", IFERROR(VLOOKUP(DBL_FullList!I808, ContactsDbl!B:D, 3, FALSE), ""))</f>
        <v>http://www.bsind.org/</v>
      </c>
      <c r="L808">
        <f t="shared" si="25"/>
        <v>1</v>
      </c>
    </row>
    <row r="809" spans="1:12" x14ac:dyDescent="0.25">
      <c r="A809" t="s">
        <v>5646</v>
      </c>
      <c r="B809" t="str">
        <f>IF(ISERROR(VLOOKUP(F809,STEP!A:A, 1, FALSE)), "N", "Y")</f>
        <v>N</v>
      </c>
      <c r="C809" t="str">
        <f>IF(ISERROR(VLOOKUP(E809, BibleInEveryLanguageTexts!A:A, 1, FALSE)), "N", "Y")</f>
        <v>N</v>
      </c>
      <c r="D809" t="str">
        <f t="shared" si="24"/>
        <v>X</v>
      </c>
      <c r="E809" t="s">
        <v>5647</v>
      </c>
      <c r="F809" t="s">
        <v>5648</v>
      </c>
      <c r="G809" t="s">
        <v>2723</v>
      </c>
      <c r="H809" t="s">
        <v>5649</v>
      </c>
      <c r="I809" t="s">
        <v>2661</v>
      </c>
      <c r="J809" t="str">
        <f>IF(0 = IFERROR(VLOOKUP(DBL_FullList!I809, ContactsDbl!B:D, 2, FALSE), ""), "", IFERROR(VLOOKUP(DBL_FullList!I809, ContactsDbl!B:D, 2, FALSE), ""))</f>
        <v>dbladmin_intl@sil.org</v>
      </c>
      <c r="K809" t="str">
        <f>IF(0 = IFERROR(VLOOKUP(DBL_FullList!I809,ContactsDbl!B:D, 3, FALSE), ""), "", IFERROR(VLOOKUP(DBL_FullList!I809, ContactsDbl!B:D, 3, FALSE), ""))</f>
        <v>http://www.wycliffe.org</v>
      </c>
      <c r="L809">
        <f t="shared" si="25"/>
        <v>2</v>
      </c>
    </row>
    <row r="810" spans="1:12" x14ac:dyDescent="0.25">
      <c r="A810" t="s">
        <v>5650</v>
      </c>
      <c r="B810" t="str">
        <f>IF(ISERROR(VLOOKUP(F810,STEP!A:A, 1, FALSE)), "N", "Y")</f>
        <v>N</v>
      </c>
      <c r="C810" t="str">
        <f>IF(ISERROR(VLOOKUP(E810, BibleInEveryLanguageTexts!A:A, 1, FALSE)), "N", "Y")</f>
        <v>N</v>
      </c>
      <c r="D810" t="str">
        <f t="shared" si="24"/>
        <v>X</v>
      </c>
      <c r="E810" t="s">
        <v>334</v>
      </c>
      <c r="F810" t="s">
        <v>332</v>
      </c>
      <c r="G810" t="s">
        <v>333</v>
      </c>
      <c r="H810" t="s">
        <v>5651</v>
      </c>
      <c r="I810" t="s">
        <v>2534</v>
      </c>
      <c r="J810" t="str">
        <f>IF(0 = IFERROR(VLOOKUP(DBL_FullList!I810, ContactsDbl!B:D, 2, FALSE), ""), "", IFERROR(VLOOKUP(DBL_FullList!I810, ContactsDbl!B:D, 2, FALSE), ""))</f>
        <v>elismar@sbb.org.br</v>
      </c>
      <c r="K810" t="str">
        <f>IF(0 = IFERROR(VLOOKUP(DBL_FullList!I810,ContactsDbl!B:D, 3, FALSE), ""), "", IFERROR(VLOOKUP(DBL_FullList!I810, ContactsDbl!B:D, 3, FALSE), ""))</f>
        <v>http://www.sbb.org.br</v>
      </c>
      <c r="L810">
        <f t="shared" si="25"/>
        <v>2</v>
      </c>
    </row>
    <row r="811" spans="1:12" x14ac:dyDescent="0.25">
      <c r="A811" t="s">
        <v>5652</v>
      </c>
      <c r="B811" t="str">
        <f>IF(ISERROR(VLOOKUP(F811,STEP!A:A, 1, FALSE)), "N", "Y")</f>
        <v>N</v>
      </c>
      <c r="C811" t="str">
        <f>IF(ISERROR(VLOOKUP(E811, BibleInEveryLanguageTexts!A:A, 1, FALSE)), "N", "Y")</f>
        <v>N</v>
      </c>
      <c r="D811" t="str">
        <f t="shared" si="24"/>
        <v>X</v>
      </c>
      <c r="E811" t="s">
        <v>5653</v>
      </c>
      <c r="F811" t="s">
        <v>5654</v>
      </c>
      <c r="G811" t="s">
        <v>48</v>
      </c>
      <c r="H811" t="s">
        <v>5655</v>
      </c>
      <c r="I811" t="s">
        <v>2661</v>
      </c>
      <c r="J811" t="str">
        <f>IF(0 = IFERROR(VLOOKUP(DBL_FullList!I811, ContactsDbl!B:D, 2, FALSE), ""), "", IFERROR(VLOOKUP(DBL_FullList!I811, ContactsDbl!B:D, 2, FALSE), ""))</f>
        <v>dbladmin_intl@sil.org</v>
      </c>
      <c r="K811" t="str">
        <f>IF(0 = IFERROR(VLOOKUP(DBL_FullList!I811,ContactsDbl!B:D, 3, FALSE), ""), "", IFERROR(VLOOKUP(DBL_FullList!I811, ContactsDbl!B:D, 3, FALSE), ""))</f>
        <v>http://www.wycliffe.org</v>
      </c>
      <c r="L811">
        <f t="shared" si="25"/>
        <v>2</v>
      </c>
    </row>
    <row r="812" spans="1:12" x14ac:dyDescent="0.25">
      <c r="A812" t="s">
        <v>5656</v>
      </c>
      <c r="B812" t="str">
        <f>IF(ISERROR(VLOOKUP(F812,STEP!A:A, 1, FALSE)), "N", "Y")</f>
        <v>N</v>
      </c>
      <c r="C812" t="str">
        <f>IF(ISERROR(VLOOKUP(E812, BibleInEveryLanguageTexts!A:A, 1, FALSE)), "N", "Y")</f>
        <v>N</v>
      </c>
      <c r="D812" t="str">
        <f t="shared" si="24"/>
        <v>X</v>
      </c>
      <c r="E812" t="s">
        <v>5657</v>
      </c>
      <c r="F812" t="s">
        <v>5658</v>
      </c>
      <c r="G812" t="s">
        <v>110</v>
      </c>
      <c r="H812" t="s">
        <v>5659</v>
      </c>
      <c r="I812" t="s">
        <v>2370</v>
      </c>
      <c r="J812" t="str">
        <f>IF(0 = IFERROR(VLOOKUP(DBL_FullList!I812, ContactsDbl!B:D, 2, FALSE), ""), "", IFERROR(VLOOKUP(DBL_FullList!I812, ContactsDbl!B:D, 2, FALSE), ""))</f>
        <v>anwartjen@alkitab.or.id</v>
      </c>
      <c r="K812" t="str">
        <f>IF(0 = IFERROR(VLOOKUP(DBL_FullList!I812,ContactsDbl!B:D, 3, FALSE), ""), "", IFERROR(VLOOKUP(DBL_FullList!I812, ContactsDbl!B:D, 3, FALSE), ""))</f>
        <v>http://www.alkitab.or.id/</v>
      </c>
      <c r="L812">
        <f t="shared" si="25"/>
        <v>2</v>
      </c>
    </row>
    <row r="813" spans="1:12" x14ac:dyDescent="0.25">
      <c r="A813" t="s">
        <v>5660</v>
      </c>
      <c r="B813" t="str">
        <f>IF(ISERROR(VLOOKUP(F813,STEP!A:A, 1, FALSE)), "N", "Y")</f>
        <v>Y</v>
      </c>
      <c r="C813" t="str">
        <f>IF(ISERROR(VLOOKUP(E813, BibleInEveryLanguageTexts!A:A, 1, FALSE)), "N", "Y")</f>
        <v>N</v>
      </c>
      <c r="D813" t="str">
        <f t="shared" si="24"/>
        <v/>
      </c>
      <c r="E813" t="s">
        <v>5661</v>
      </c>
      <c r="F813" t="s">
        <v>5662</v>
      </c>
      <c r="G813" t="s">
        <v>48</v>
      </c>
      <c r="H813" t="s">
        <v>5663</v>
      </c>
      <c r="I813" t="s">
        <v>2661</v>
      </c>
      <c r="J813" t="str">
        <f>IF(0 = IFERROR(VLOOKUP(DBL_FullList!I813, ContactsDbl!B:D, 2, FALSE), ""), "", IFERROR(VLOOKUP(DBL_FullList!I813, ContactsDbl!B:D, 2, FALSE), ""))</f>
        <v>dbladmin_intl@sil.org</v>
      </c>
      <c r="K813" t="str">
        <f>IF(0 = IFERROR(VLOOKUP(DBL_FullList!I813,ContactsDbl!B:D, 3, FALSE), ""), "", IFERROR(VLOOKUP(DBL_FullList!I813, ContactsDbl!B:D, 3, FALSE), ""))</f>
        <v>http://www.wycliffe.org</v>
      </c>
      <c r="L813">
        <f t="shared" si="25"/>
        <v>2</v>
      </c>
    </row>
    <row r="814" spans="1:12" x14ac:dyDescent="0.25">
      <c r="A814" t="s">
        <v>5664</v>
      </c>
      <c r="B814" t="str">
        <f>IF(ISERROR(VLOOKUP(F814,STEP!A:A, 1, FALSE)), "N", "Y")</f>
        <v>Y</v>
      </c>
      <c r="C814" t="str">
        <f>IF(ISERROR(VLOOKUP(E814, BibleInEveryLanguageTexts!A:A, 1, FALSE)), "N", "Y")</f>
        <v>N</v>
      </c>
      <c r="D814" t="str">
        <f t="shared" si="24"/>
        <v/>
      </c>
      <c r="E814" t="s">
        <v>4258</v>
      </c>
      <c r="F814" t="s">
        <v>4259</v>
      </c>
      <c r="G814" t="s">
        <v>27</v>
      </c>
      <c r="H814" t="s">
        <v>5665</v>
      </c>
      <c r="I814" t="s">
        <v>3104</v>
      </c>
      <c r="J814" t="str">
        <f>IF(0 = IFERROR(VLOOKUP(DBL_FullList!I814, ContactsDbl!B:D, 2, FALSE), ""), "", IFERROR(VLOOKUP(DBL_FullList!I814, ContactsDbl!B:D, 2, FALSE), ""))</f>
        <v/>
      </c>
      <c r="K814" t="str">
        <f>IF(0 = IFERROR(VLOOKUP(DBL_FullList!I814,ContactsDbl!B:D, 3, FALSE), ""), "", IFERROR(VLOOKUP(DBL_FullList!I814, ContactsDbl!B:D, 3, FALSE), ""))</f>
        <v/>
      </c>
      <c r="L814">
        <f t="shared" si="25"/>
        <v>0</v>
      </c>
    </row>
    <row r="815" spans="1:12" x14ac:dyDescent="0.25">
      <c r="A815" t="s">
        <v>5666</v>
      </c>
      <c r="B815" t="str">
        <f>IF(ISERROR(VLOOKUP(F815,STEP!A:A, 1, FALSE)), "N", "Y")</f>
        <v>N</v>
      </c>
      <c r="C815" t="str">
        <f>IF(ISERROR(VLOOKUP(E815, BibleInEveryLanguageTexts!A:A, 1, FALSE)), "N", "Y")</f>
        <v>N</v>
      </c>
      <c r="D815" t="str">
        <f t="shared" si="24"/>
        <v>X</v>
      </c>
      <c r="E815" t="s">
        <v>5667</v>
      </c>
      <c r="F815" t="s">
        <v>5668</v>
      </c>
      <c r="G815" t="s">
        <v>3074</v>
      </c>
      <c r="H815" t="s">
        <v>5669</v>
      </c>
      <c r="I815" t="s">
        <v>2673</v>
      </c>
      <c r="J815" t="str">
        <f>IF(0 = IFERROR(VLOOKUP(DBL_FullList!I815, ContactsDbl!B:D, 2, FALSE), ""), "", IFERROR(VLOOKUP(DBL_FullList!I815, ContactsDbl!B:D, 2, FALSE), ""))</f>
        <v>gnyirenda@biblesociety-zambia.org</v>
      </c>
      <c r="K815" t="str">
        <f>IF(0 = IFERROR(VLOOKUP(DBL_FullList!I815,ContactsDbl!B:D, 3, FALSE), ""), "", IFERROR(VLOOKUP(DBL_FullList!I815, ContactsDbl!B:D, 3, FALSE), ""))</f>
        <v>www.biblesociety-zambia.org</v>
      </c>
      <c r="L815">
        <f t="shared" si="25"/>
        <v>2</v>
      </c>
    </row>
    <row r="816" spans="1:12" x14ac:dyDescent="0.25">
      <c r="A816" t="s">
        <v>5670</v>
      </c>
      <c r="B816" t="str">
        <f>IF(ISERROR(VLOOKUP(F816,STEP!A:A, 1, FALSE)), "N", "Y")</f>
        <v>Y</v>
      </c>
      <c r="C816" t="str">
        <f>IF(ISERROR(VLOOKUP(E816, BibleInEveryLanguageTexts!A:A, 1, FALSE)), "N", "Y")</f>
        <v>N</v>
      </c>
      <c r="D816" t="str">
        <f t="shared" si="24"/>
        <v/>
      </c>
      <c r="E816" t="s">
        <v>5671</v>
      </c>
      <c r="F816" t="s">
        <v>5672</v>
      </c>
      <c r="G816" t="s">
        <v>48</v>
      </c>
      <c r="H816" t="s">
        <v>5673</v>
      </c>
      <c r="I816" t="s">
        <v>2661</v>
      </c>
      <c r="J816" t="str">
        <f>IF(0 = IFERROR(VLOOKUP(DBL_FullList!I816, ContactsDbl!B:D, 2, FALSE), ""), "", IFERROR(VLOOKUP(DBL_FullList!I816, ContactsDbl!B:D, 2, FALSE), ""))</f>
        <v>dbladmin_intl@sil.org</v>
      </c>
      <c r="K816" t="str">
        <f>IF(0 = IFERROR(VLOOKUP(DBL_FullList!I816,ContactsDbl!B:D, 3, FALSE), ""), "", IFERROR(VLOOKUP(DBL_FullList!I816, ContactsDbl!B:D, 3, FALSE), ""))</f>
        <v>http://www.wycliffe.org</v>
      </c>
      <c r="L816">
        <f t="shared" si="25"/>
        <v>2</v>
      </c>
    </row>
    <row r="817" spans="1:12" x14ac:dyDescent="0.25">
      <c r="A817" t="s">
        <v>5674</v>
      </c>
      <c r="B817" t="str">
        <f>IF(ISERROR(VLOOKUP(F817,STEP!A:A, 1, FALSE)), "N", "Y")</f>
        <v>N</v>
      </c>
      <c r="C817" t="str">
        <f>IF(ISERROR(VLOOKUP(E817, BibleInEveryLanguageTexts!A:A, 1, FALSE)), "N", "Y")</f>
        <v>N</v>
      </c>
      <c r="D817" t="str">
        <f t="shared" si="24"/>
        <v>X</v>
      </c>
      <c r="E817" t="s">
        <v>5675</v>
      </c>
      <c r="F817" t="s">
        <v>3502</v>
      </c>
      <c r="G817" t="s">
        <v>3133</v>
      </c>
      <c r="H817" t="s">
        <v>5676</v>
      </c>
      <c r="I817" t="s">
        <v>2264</v>
      </c>
      <c r="J817" t="str">
        <f>IF(0 = IFERROR(VLOOKUP(DBL_FullList!I817, ContactsDbl!B:D, 2, FALSE), ""), "", IFERROR(VLOOKUP(DBL_FullList!I817, ContactsDbl!B:D, 2, FALSE), ""))</f>
        <v/>
      </c>
      <c r="K817" t="str">
        <f>IF(0 = IFERROR(VLOOKUP(DBL_FullList!I817,ContactsDbl!B:D, 3, FALSE), ""), "", IFERROR(VLOOKUP(DBL_FullList!I817, ContactsDbl!B:D, 3, FALSE), ""))</f>
        <v>http://www.sbiblica.org</v>
      </c>
      <c r="L817">
        <f t="shared" si="25"/>
        <v>1</v>
      </c>
    </row>
    <row r="818" spans="1:12" x14ac:dyDescent="0.25">
      <c r="A818" t="s">
        <v>5677</v>
      </c>
      <c r="B818" t="str">
        <f>IF(ISERROR(VLOOKUP(F818,STEP!A:A, 1, FALSE)), "N", "Y")</f>
        <v>N</v>
      </c>
      <c r="C818" t="str">
        <f>IF(ISERROR(VLOOKUP(E818, BibleInEveryLanguageTexts!A:A, 1, FALSE)), "N", "Y")</f>
        <v>N</v>
      </c>
      <c r="D818" t="str">
        <f t="shared" si="24"/>
        <v>X</v>
      </c>
      <c r="E818" t="s">
        <v>2806</v>
      </c>
      <c r="F818" t="s">
        <v>2807</v>
      </c>
      <c r="G818" t="s">
        <v>2808</v>
      </c>
      <c r="H818" t="s">
        <v>5678</v>
      </c>
      <c r="I818" t="s">
        <v>2065</v>
      </c>
      <c r="J818" t="str">
        <f>IF(0 = IFERROR(VLOOKUP(DBL_FullList!I818, ContactsDbl!B:D, 2, FALSE), ""), "", IFERROR(VLOOKUP(DBL_FullList!I818, ContactsDbl!B:D, 2, FALSE), ""))</f>
        <v>BSMongolia@gmail.com</v>
      </c>
      <c r="K818" t="str">
        <f>IF(0 = IFERROR(VLOOKUP(DBL_FullList!I818,ContactsDbl!B:D, 3, FALSE), ""), "", IFERROR(VLOOKUP(DBL_FullList!I818, ContactsDbl!B:D, 3, FALSE), ""))</f>
        <v>http://biblesocietymongolia.org/bsmhome.shtml</v>
      </c>
      <c r="L818">
        <f t="shared" si="25"/>
        <v>2</v>
      </c>
    </row>
    <row r="819" spans="1:12" x14ac:dyDescent="0.25">
      <c r="A819" t="s">
        <v>5679</v>
      </c>
      <c r="B819" t="str">
        <f>IF(ISERROR(VLOOKUP(F819,STEP!A:A, 1, FALSE)), "N", "Y")</f>
        <v>N</v>
      </c>
      <c r="C819" t="str">
        <f>IF(ISERROR(VLOOKUP(E819, BibleInEveryLanguageTexts!A:A, 1, FALSE)), "N", "Y")</f>
        <v>N</v>
      </c>
      <c r="D819" t="str">
        <f t="shared" si="24"/>
        <v>X</v>
      </c>
      <c r="E819" t="s">
        <v>5680</v>
      </c>
      <c r="F819" t="s">
        <v>5681</v>
      </c>
      <c r="G819" t="s">
        <v>115</v>
      </c>
      <c r="H819" t="s">
        <v>5682</v>
      </c>
      <c r="I819" t="s">
        <v>2661</v>
      </c>
      <c r="J819" t="str">
        <f>IF(0 = IFERROR(VLOOKUP(DBL_FullList!I819, ContactsDbl!B:D, 2, FALSE), ""), "", IFERROR(VLOOKUP(DBL_FullList!I819, ContactsDbl!B:D, 2, FALSE), ""))</f>
        <v>dbladmin_intl@sil.org</v>
      </c>
      <c r="K819" t="str">
        <f>IF(0 = IFERROR(VLOOKUP(DBL_FullList!I819,ContactsDbl!B:D, 3, FALSE), ""), "", IFERROR(VLOOKUP(DBL_FullList!I819, ContactsDbl!B:D, 3, FALSE), ""))</f>
        <v>http://www.wycliffe.org</v>
      </c>
      <c r="L819">
        <f t="shared" si="25"/>
        <v>2</v>
      </c>
    </row>
    <row r="820" spans="1:12" x14ac:dyDescent="0.25">
      <c r="A820" t="s">
        <v>5683</v>
      </c>
      <c r="B820" t="str">
        <f>IF(ISERROR(VLOOKUP(F820,STEP!A:A, 1, FALSE)), "N", "Y")</f>
        <v>Y</v>
      </c>
      <c r="C820" t="str">
        <f>IF(ISERROR(VLOOKUP(E820, BibleInEveryLanguageTexts!A:A, 1, FALSE)), "N", "Y")</f>
        <v>N</v>
      </c>
      <c r="D820" t="str">
        <f t="shared" si="24"/>
        <v/>
      </c>
      <c r="E820" t="s">
        <v>5684</v>
      </c>
      <c r="F820" t="s">
        <v>5685</v>
      </c>
      <c r="G820" t="s">
        <v>48</v>
      </c>
      <c r="H820" t="s">
        <v>5686</v>
      </c>
      <c r="I820" t="s">
        <v>2661</v>
      </c>
      <c r="J820" t="str">
        <f>IF(0 = IFERROR(VLOOKUP(DBL_FullList!I820, ContactsDbl!B:D, 2, FALSE), ""), "", IFERROR(VLOOKUP(DBL_FullList!I820, ContactsDbl!B:D, 2, FALSE), ""))</f>
        <v>dbladmin_intl@sil.org</v>
      </c>
      <c r="K820" t="str">
        <f>IF(0 = IFERROR(VLOOKUP(DBL_FullList!I820,ContactsDbl!B:D, 3, FALSE), ""), "", IFERROR(VLOOKUP(DBL_FullList!I820, ContactsDbl!B:D, 3, FALSE), ""))</f>
        <v>http://www.wycliffe.org</v>
      </c>
      <c r="L820">
        <f t="shared" si="25"/>
        <v>2</v>
      </c>
    </row>
    <row r="821" spans="1:12" x14ac:dyDescent="0.25">
      <c r="A821" t="s">
        <v>5687</v>
      </c>
      <c r="B821" t="str">
        <f>IF(ISERROR(VLOOKUP(F821,STEP!A:A, 1, FALSE)), "N", "Y")</f>
        <v>N</v>
      </c>
      <c r="C821" t="str">
        <f>IF(ISERROR(VLOOKUP(E821, BibleInEveryLanguageTexts!A:A, 1, FALSE)), "N", "Y")</f>
        <v>N</v>
      </c>
      <c r="D821" t="str">
        <f t="shared" si="24"/>
        <v>X</v>
      </c>
      <c r="E821" t="s">
        <v>5680</v>
      </c>
      <c r="F821" t="s">
        <v>5681</v>
      </c>
      <c r="G821" t="s">
        <v>115</v>
      </c>
      <c r="H821" t="s">
        <v>5688</v>
      </c>
      <c r="I821" t="s">
        <v>2661</v>
      </c>
      <c r="J821" t="str">
        <f>IF(0 = IFERROR(VLOOKUP(DBL_FullList!I821, ContactsDbl!B:D, 2, FALSE), ""), "", IFERROR(VLOOKUP(DBL_FullList!I821, ContactsDbl!B:D, 2, FALSE), ""))</f>
        <v>dbladmin_intl@sil.org</v>
      </c>
      <c r="K821" t="str">
        <f>IF(0 = IFERROR(VLOOKUP(DBL_FullList!I821,ContactsDbl!B:D, 3, FALSE), ""), "", IFERROR(VLOOKUP(DBL_FullList!I821, ContactsDbl!B:D, 3, FALSE), ""))</f>
        <v>http://www.wycliffe.org</v>
      </c>
      <c r="L821">
        <f t="shared" si="25"/>
        <v>2</v>
      </c>
    </row>
    <row r="822" spans="1:12" x14ac:dyDescent="0.25">
      <c r="A822" t="s">
        <v>5689</v>
      </c>
      <c r="B822" t="str">
        <f>IF(ISERROR(VLOOKUP(F822,STEP!A:A, 1, FALSE)), "N", "Y")</f>
        <v>N</v>
      </c>
      <c r="C822" t="str">
        <f>IF(ISERROR(VLOOKUP(E822, BibleInEveryLanguageTexts!A:A, 1, FALSE)), "N", "Y")</f>
        <v>N</v>
      </c>
      <c r="D822" t="str">
        <f t="shared" si="24"/>
        <v>X</v>
      </c>
      <c r="E822" t="s">
        <v>5690</v>
      </c>
      <c r="F822" t="s">
        <v>5691</v>
      </c>
      <c r="G822" t="s">
        <v>2738</v>
      </c>
      <c r="H822" t="s">
        <v>5692</v>
      </c>
      <c r="I822" t="s">
        <v>2661</v>
      </c>
      <c r="J822" t="str">
        <f>IF(0 = IFERROR(VLOOKUP(DBL_FullList!I822, ContactsDbl!B:D, 2, FALSE), ""), "", IFERROR(VLOOKUP(DBL_FullList!I822, ContactsDbl!B:D, 2, FALSE), ""))</f>
        <v>dbladmin_intl@sil.org</v>
      </c>
      <c r="K822" t="str">
        <f>IF(0 = IFERROR(VLOOKUP(DBL_FullList!I822,ContactsDbl!B:D, 3, FALSE), ""), "", IFERROR(VLOOKUP(DBL_FullList!I822, ContactsDbl!B:D, 3, FALSE), ""))</f>
        <v>http://www.wycliffe.org</v>
      </c>
      <c r="L822">
        <f t="shared" si="25"/>
        <v>2</v>
      </c>
    </row>
    <row r="823" spans="1:12" x14ac:dyDescent="0.25">
      <c r="A823" t="s">
        <v>5693</v>
      </c>
      <c r="B823" t="str">
        <f>IF(ISERROR(VLOOKUP(F823,STEP!A:A, 1, FALSE)), "N", "Y")</f>
        <v>N</v>
      </c>
      <c r="C823" t="str">
        <f>IF(ISERROR(VLOOKUP(E823, BibleInEveryLanguageTexts!A:A, 1, FALSE)), "N", "Y")</f>
        <v>N</v>
      </c>
      <c r="D823" t="str">
        <f t="shared" si="24"/>
        <v>X</v>
      </c>
      <c r="E823" t="s">
        <v>5694</v>
      </c>
      <c r="F823" t="s">
        <v>5495</v>
      </c>
      <c r="G823" t="s">
        <v>5496</v>
      </c>
      <c r="H823" t="s">
        <v>5695</v>
      </c>
      <c r="I823" t="s">
        <v>2523</v>
      </c>
      <c r="J823" t="str">
        <f>IF(0 = IFERROR(VLOOKUP(DBL_FullList!I823, ContactsDbl!B:D, 2, FALSE), ""), "", IFERROR(VLOOKUP(DBL_FullList!I823, ContactsDbl!B:D, 2, FALSE), ""))</f>
        <v>bsrwanda@biblesociety-rwanda.org</v>
      </c>
      <c r="K823" t="str">
        <f>IF(0 = IFERROR(VLOOKUP(DBL_FullList!I823,ContactsDbl!B:D, 3, FALSE), ""), "", IFERROR(VLOOKUP(DBL_FullList!I823, ContactsDbl!B:D, 3, FALSE), ""))</f>
        <v>http://biblesociety-rwanda.org/</v>
      </c>
      <c r="L823">
        <f t="shared" si="25"/>
        <v>2</v>
      </c>
    </row>
    <row r="824" spans="1:12" x14ac:dyDescent="0.25">
      <c r="A824" t="s">
        <v>5696</v>
      </c>
      <c r="B824" t="str">
        <f>IF(ISERROR(VLOOKUP(F824,STEP!A:A, 1, FALSE)), "N", "Y")</f>
        <v>N</v>
      </c>
      <c r="C824" t="str">
        <f>IF(ISERROR(VLOOKUP(E824, BibleInEveryLanguageTexts!A:A, 1, FALSE)), "N", "Y")</f>
        <v>N</v>
      </c>
      <c r="D824" t="str">
        <f t="shared" si="24"/>
        <v>X</v>
      </c>
      <c r="E824" t="s">
        <v>5494</v>
      </c>
      <c r="F824" t="s">
        <v>5495</v>
      </c>
      <c r="G824" t="s">
        <v>5496</v>
      </c>
      <c r="H824" t="s">
        <v>5697</v>
      </c>
      <c r="I824" t="s">
        <v>2523</v>
      </c>
      <c r="J824" t="str">
        <f>IF(0 = IFERROR(VLOOKUP(DBL_FullList!I824, ContactsDbl!B:D, 2, FALSE), ""), "", IFERROR(VLOOKUP(DBL_FullList!I824, ContactsDbl!B:D, 2, FALSE), ""))</f>
        <v>bsrwanda@biblesociety-rwanda.org</v>
      </c>
      <c r="K824" t="str">
        <f>IF(0 = IFERROR(VLOOKUP(DBL_FullList!I824,ContactsDbl!B:D, 3, FALSE), ""), "", IFERROR(VLOOKUP(DBL_FullList!I824, ContactsDbl!B:D, 3, FALSE), ""))</f>
        <v>http://biblesociety-rwanda.org/</v>
      </c>
      <c r="L824">
        <f t="shared" si="25"/>
        <v>2</v>
      </c>
    </row>
    <row r="825" spans="1:12" x14ac:dyDescent="0.25">
      <c r="A825" t="s">
        <v>5698</v>
      </c>
      <c r="B825" t="str">
        <f>IF(ISERROR(VLOOKUP(F825,STEP!A:A, 1, FALSE)), "N", "Y")</f>
        <v>N</v>
      </c>
      <c r="C825" t="str">
        <f>IF(ISERROR(VLOOKUP(E825, BibleInEveryLanguageTexts!A:A, 1, FALSE)), "N", "Y")</f>
        <v>N</v>
      </c>
      <c r="D825" t="str">
        <f t="shared" si="24"/>
        <v>X</v>
      </c>
      <c r="E825" t="s">
        <v>5699</v>
      </c>
      <c r="F825" t="s">
        <v>5700</v>
      </c>
      <c r="G825" t="s">
        <v>2984</v>
      </c>
      <c r="H825" t="s">
        <v>5701</v>
      </c>
      <c r="I825" t="s">
        <v>2456</v>
      </c>
      <c r="J825" t="str">
        <f>IF(0 = IFERROR(VLOOKUP(DBL_FullList!I825, ContactsDbl!B:D, 2, FALSE), ""), "", IFERROR(VLOOKUP(DBL_FullList!I825, ContactsDbl!B:D, 2, FALSE), ""))</f>
        <v/>
      </c>
      <c r="K825" t="str">
        <f>IF(0 = IFERROR(VLOOKUP(DBL_FullList!I825,ContactsDbl!B:D, 3, FALSE), ""), "", IFERROR(VLOOKUP(DBL_FullList!I825, ContactsDbl!B:D, 3, FALSE), ""))</f>
        <v>http://www.myanmarbible.com/</v>
      </c>
      <c r="L825">
        <f t="shared" si="25"/>
        <v>1</v>
      </c>
    </row>
    <row r="826" spans="1:12" x14ac:dyDescent="0.25">
      <c r="A826" t="s">
        <v>5702</v>
      </c>
      <c r="B826" t="str">
        <f>IF(ISERROR(VLOOKUP(F826,STEP!A:A, 1, FALSE)), "N", "Y")</f>
        <v>N</v>
      </c>
      <c r="C826" t="str">
        <f>IF(ISERROR(VLOOKUP(E826, BibleInEveryLanguageTexts!A:A, 1, FALSE)), "N", "Y")</f>
        <v>N</v>
      </c>
      <c r="D826" t="str">
        <f t="shared" si="24"/>
        <v>X</v>
      </c>
      <c r="E826" t="s">
        <v>5703</v>
      </c>
      <c r="F826" t="s">
        <v>5704</v>
      </c>
      <c r="G826" t="s">
        <v>171</v>
      </c>
      <c r="H826" t="s">
        <v>5705</v>
      </c>
      <c r="I826" t="s">
        <v>168</v>
      </c>
      <c r="J826" t="str">
        <f>IF(0 = IFERROR(VLOOKUP(DBL_FullList!I826, ContactsDbl!B:D, 2, FALSE), ""), "", IFERROR(VLOOKUP(DBL_FullList!I826, ContactsDbl!B:D, 2, FALSE), ""))</f>
        <v>admin@biblesociety-ethiopia.org</v>
      </c>
      <c r="K826" t="str">
        <f>IF(0 = IFERROR(VLOOKUP(DBL_FullList!I826,ContactsDbl!B:D, 3, FALSE), ""), "", IFERROR(VLOOKUP(DBL_FullList!I826, ContactsDbl!B:D, 3, FALSE), ""))</f>
        <v>http://biblesociety-ethiopia.org</v>
      </c>
      <c r="L826">
        <f t="shared" si="25"/>
        <v>2</v>
      </c>
    </row>
    <row r="827" spans="1:12" x14ac:dyDescent="0.25">
      <c r="A827" t="s">
        <v>5706</v>
      </c>
      <c r="B827" t="str">
        <f>IF(ISERROR(VLOOKUP(F827,STEP!A:A, 1, FALSE)), "N", "Y")</f>
        <v>N</v>
      </c>
      <c r="C827" t="str">
        <f>IF(ISERROR(VLOOKUP(E827, BibleInEveryLanguageTexts!A:A, 1, FALSE)), "N", "Y")</f>
        <v>Y</v>
      </c>
      <c r="D827" t="str">
        <f t="shared" si="24"/>
        <v/>
      </c>
      <c r="E827" t="s">
        <v>2704</v>
      </c>
      <c r="F827" t="s">
        <v>3193</v>
      </c>
      <c r="G827" t="s">
        <v>3194</v>
      </c>
      <c r="H827" t="s">
        <v>5707</v>
      </c>
      <c r="I827" t="s">
        <v>2118</v>
      </c>
      <c r="J827" t="str">
        <f>IF(0 = IFERROR(VLOOKUP(DBL_FullList!I827, ContactsDbl!B:D, 2, FALSE), ""), "", IFERROR(VLOOKUP(DBL_FullList!I827, ContactsDbl!B:D, 2, FALSE), ""))</f>
        <v>russkayabiblia@gmail.com</v>
      </c>
      <c r="K827" t="str">
        <f>IF(0 = IFERROR(VLOOKUP(DBL_FullList!I827,ContactsDbl!B:D, 3, FALSE), ""), "", IFERROR(VLOOKUP(DBL_FullList!I827, ContactsDbl!B:D, 3, FALSE), ""))</f>
        <v>http://www.russianbible.ru/</v>
      </c>
      <c r="L827">
        <f t="shared" si="25"/>
        <v>2</v>
      </c>
    </row>
    <row r="828" spans="1:12" x14ac:dyDescent="0.25">
      <c r="A828" t="s">
        <v>5708</v>
      </c>
      <c r="B828" t="str">
        <f>IF(ISERROR(VLOOKUP(F828,STEP!A:A, 1, FALSE)), "N", "Y")</f>
        <v>N</v>
      </c>
      <c r="C828" t="str">
        <f>IF(ISERROR(VLOOKUP(E828, BibleInEveryLanguageTexts!A:A, 1, FALSE)), "N", "Y")</f>
        <v>N</v>
      </c>
      <c r="D828" t="str">
        <f t="shared" si="24"/>
        <v>X</v>
      </c>
      <c r="E828" t="s">
        <v>3775</v>
      </c>
      <c r="F828" t="s">
        <v>3776</v>
      </c>
      <c r="G828" t="s">
        <v>3852</v>
      </c>
      <c r="H828" t="s">
        <v>5709</v>
      </c>
      <c r="I828" t="s">
        <v>2280</v>
      </c>
      <c r="J828" t="str">
        <f>IF(0 = IFERROR(VLOOKUP(DBL_FullList!I828, ContactsDbl!B:D, 2, FALSE), ""), "", IFERROR(VLOOKUP(DBL_FullList!I828, ContactsDbl!B:D, 2, FALSE), ""))</f>
        <v>ignatius@hkbs.org.hk</v>
      </c>
      <c r="K828" t="str">
        <f>IF(0 = IFERROR(VLOOKUP(DBL_FullList!I828,ContactsDbl!B:D, 3, FALSE), ""), "", IFERROR(VLOOKUP(DBL_FullList!I828, ContactsDbl!B:D, 3, FALSE), ""))</f>
        <v>www.hkbs.org.hk</v>
      </c>
      <c r="L828">
        <f t="shared" si="25"/>
        <v>2</v>
      </c>
    </row>
    <row r="829" spans="1:12" x14ac:dyDescent="0.25">
      <c r="A829" t="s">
        <v>5710</v>
      </c>
      <c r="B829" t="str">
        <f>IF(ISERROR(VLOOKUP(F829,STEP!A:A, 1, FALSE)), "N", "Y")</f>
        <v>N</v>
      </c>
      <c r="C829" t="str">
        <f>IF(ISERROR(VLOOKUP(E829, BibleInEveryLanguageTexts!A:A, 1, FALSE)), "N", "Y")</f>
        <v>N</v>
      </c>
      <c r="D829" t="str">
        <f t="shared" si="24"/>
        <v>X</v>
      </c>
      <c r="E829" t="s">
        <v>5711</v>
      </c>
      <c r="F829" t="s">
        <v>5712</v>
      </c>
      <c r="G829" t="s">
        <v>4739</v>
      </c>
      <c r="H829" t="s">
        <v>5713</v>
      </c>
      <c r="I829" t="s">
        <v>1997</v>
      </c>
      <c r="J829" t="str">
        <f>IF(0 = IFERROR(VLOOKUP(DBL_FullList!I829, ContactsDbl!B:D, 2, FALSE), ""), "", IFERROR(VLOOKUP(DBL_FullList!I829, ContactsDbl!B:D, 2, FALSE), ""))</f>
        <v>Lee.Harris@biblica.com</v>
      </c>
      <c r="K829" t="str">
        <f>IF(0 = IFERROR(VLOOKUP(DBL_FullList!I829,ContactsDbl!B:D, 3, FALSE), ""), "", IFERROR(VLOOKUP(DBL_FullList!I829, ContactsDbl!B:D, 3, FALSE), ""))</f>
        <v>http://www.Biblica.com</v>
      </c>
      <c r="L829">
        <f t="shared" si="25"/>
        <v>2</v>
      </c>
    </row>
    <row r="830" spans="1:12" x14ac:dyDescent="0.25">
      <c r="A830" t="s">
        <v>5714</v>
      </c>
      <c r="B830" t="str">
        <f>IF(ISERROR(VLOOKUP(F830,STEP!A:A, 1, FALSE)), "N", "Y")</f>
        <v>N</v>
      </c>
      <c r="C830" t="str">
        <f>IF(ISERROR(VLOOKUP(E830, BibleInEveryLanguageTexts!A:A, 1, FALSE)), "N", "Y")</f>
        <v>N</v>
      </c>
      <c r="D830" t="str">
        <f t="shared" si="24"/>
        <v>X</v>
      </c>
      <c r="E830" t="s">
        <v>5715</v>
      </c>
      <c r="F830" t="s">
        <v>5716</v>
      </c>
      <c r="G830" t="s">
        <v>139</v>
      </c>
      <c r="H830" t="s">
        <v>5717</v>
      </c>
      <c r="I830" t="s">
        <v>2106</v>
      </c>
      <c r="J830" t="str">
        <f>IF(0 = IFERROR(VLOOKUP(DBL_FullList!I830, ContactsDbl!B:D, 2, FALSE), ""), "", IFERROR(VLOOKUP(DBL_FullList!I830, ContactsDbl!B:D, 2, FALSE), ""))</f>
        <v>info@biblesociety-tanzania.org</v>
      </c>
      <c r="K830" t="str">
        <f>IF(0 = IFERROR(VLOOKUP(DBL_FullList!I830,ContactsDbl!B:D, 3, FALSE), ""), "", IFERROR(VLOOKUP(DBL_FullList!I830, ContactsDbl!B:D, 3, FALSE), ""))</f>
        <v>http://biblesociety-tanzania.org/</v>
      </c>
      <c r="L830">
        <f t="shared" si="25"/>
        <v>2</v>
      </c>
    </row>
    <row r="831" spans="1:12" x14ac:dyDescent="0.25">
      <c r="A831" t="s">
        <v>5718</v>
      </c>
      <c r="B831" t="str">
        <f>IF(ISERROR(VLOOKUP(F831,STEP!A:A, 1, FALSE)), "N", "Y")</f>
        <v>N</v>
      </c>
      <c r="C831" t="str">
        <f>IF(ISERROR(VLOOKUP(E831, BibleInEveryLanguageTexts!A:A, 1, FALSE)), "N", "Y")</f>
        <v>N</v>
      </c>
      <c r="D831" t="str">
        <f t="shared" si="24"/>
        <v>X</v>
      </c>
      <c r="E831" t="s">
        <v>5719</v>
      </c>
      <c r="F831" t="s">
        <v>5720</v>
      </c>
      <c r="G831" t="s">
        <v>139</v>
      </c>
      <c r="H831" t="s">
        <v>5721</v>
      </c>
      <c r="I831" t="s">
        <v>2106</v>
      </c>
      <c r="J831" t="str">
        <f>IF(0 = IFERROR(VLOOKUP(DBL_FullList!I831, ContactsDbl!B:D, 2, FALSE), ""), "", IFERROR(VLOOKUP(DBL_FullList!I831, ContactsDbl!B:D, 2, FALSE), ""))</f>
        <v>info@biblesociety-tanzania.org</v>
      </c>
      <c r="K831" t="str">
        <f>IF(0 = IFERROR(VLOOKUP(DBL_FullList!I831,ContactsDbl!B:D, 3, FALSE), ""), "", IFERROR(VLOOKUP(DBL_FullList!I831, ContactsDbl!B:D, 3, FALSE), ""))</f>
        <v>http://biblesociety-tanzania.org/</v>
      </c>
      <c r="L831">
        <f t="shared" si="25"/>
        <v>2</v>
      </c>
    </row>
    <row r="832" spans="1:12" x14ac:dyDescent="0.25">
      <c r="A832" t="s">
        <v>5722</v>
      </c>
      <c r="B832" t="str">
        <f>IF(ISERROR(VLOOKUP(F832,STEP!A:A, 1, FALSE)), "N", "Y")</f>
        <v>N</v>
      </c>
      <c r="C832" t="str">
        <f>IF(ISERROR(VLOOKUP(E832, BibleInEveryLanguageTexts!A:A, 1, FALSE)), "N", "Y")</f>
        <v>N</v>
      </c>
      <c r="D832" t="str">
        <f t="shared" si="24"/>
        <v>X</v>
      </c>
      <c r="E832" t="s">
        <v>5723</v>
      </c>
      <c r="F832" t="s">
        <v>5724</v>
      </c>
      <c r="G832" t="s">
        <v>2815</v>
      </c>
      <c r="H832" t="s">
        <v>5725</v>
      </c>
      <c r="I832" t="s">
        <v>2106</v>
      </c>
      <c r="J832" t="str">
        <f>IF(0 = IFERROR(VLOOKUP(DBL_FullList!I832, ContactsDbl!B:D, 2, FALSE), ""), "", IFERROR(VLOOKUP(DBL_FullList!I832, ContactsDbl!B:D, 2, FALSE), ""))</f>
        <v>info@biblesociety-tanzania.org</v>
      </c>
      <c r="K832" t="str">
        <f>IF(0 = IFERROR(VLOOKUP(DBL_FullList!I832,ContactsDbl!B:D, 3, FALSE), ""), "", IFERROR(VLOOKUP(DBL_FullList!I832, ContactsDbl!B:D, 3, FALSE), ""))</f>
        <v>http://biblesociety-tanzania.org/</v>
      </c>
      <c r="L832">
        <f t="shared" si="25"/>
        <v>2</v>
      </c>
    </row>
    <row r="833" spans="1:12" x14ac:dyDescent="0.25">
      <c r="A833" t="s">
        <v>5726</v>
      </c>
      <c r="B833" t="str">
        <f>IF(ISERROR(VLOOKUP(F833,STEP!A:A, 1, FALSE)), "N", "Y")</f>
        <v>N</v>
      </c>
      <c r="C833" t="str">
        <f>IF(ISERROR(VLOOKUP(E833, BibleInEveryLanguageTexts!A:A, 1, FALSE)), "N", "Y")</f>
        <v>N</v>
      </c>
      <c r="D833" t="str">
        <f t="shared" si="24"/>
        <v>X</v>
      </c>
      <c r="E833" t="s">
        <v>5727</v>
      </c>
      <c r="F833" t="s">
        <v>5728</v>
      </c>
      <c r="G833" t="s">
        <v>139</v>
      </c>
      <c r="H833" t="s">
        <v>5729</v>
      </c>
      <c r="I833" t="s">
        <v>2106</v>
      </c>
      <c r="J833" t="str">
        <f>IF(0 = IFERROR(VLOOKUP(DBL_FullList!I833, ContactsDbl!B:D, 2, FALSE), ""), "", IFERROR(VLOOKUP(DBL_FullList!I833, ContactsDbl!B:D, 2, FALSE), ""))</f>
        <v>info@biblesociety-tanzania.org</v>
      </c>
      <c r="K833" t="str">
        <f>IF(0 = IFERROR(VLOOKUP(DBL_FullList!I833,ContactsDbl!B:D, 3, FALSE), ""), "", IFERROR(VLOOKUP(DBL_FullList!I833, ContactsDbl!B:D, 3, FALSE), ""))</f>
        <v>http://biblesociety-tanzania.org/</v>
      </c>
      <c r="L833">
        <f t="shared" si="25"/>
        <v>2</v>
      </c>
    </row>
    <row r="834" spans="1:12" x14ac:dyDescent="0.25">
      <c r="A834" t="s">
        <v>5730</v>
      </c>
      <c r="B834" t="str">
        <f>IF(ISERROR(VLOOKUP(F834,STEP!A:A, 1, FALSE)), "N", "Y")</f>
        <v>N</v>
      </c>
      <c r="C834" t="str">
        <f>IF(ISERROR(VLOOKUP(E834, BibleInEveryLanguageTexts!A:A, 1, FALSE)), "N", "Y")</f>
        <v>N</v>
      </c>
      <c r="D834" t="str">
        <f t="shared" si="24"/>
        <v>X</v>
      </c>
      <c r="E834" t="s">
        <v>5731</v>
      </c>
      <c r="F834" t="s">
        <v>5732</v>
      </c>
      <c r="G834" t="s">
        <v>139</v>
      </c>
      <c r="H834" t="s">
        <v>5733</v>
      </c>
      <c r="I834" t="s">
        <v>2106</v>
      </c>
      <c r="J834" t="str">
        <f>IF(0 = IFERROR(VLOOKUP(DBL_FullList!I834, ContactsDbl!B:D, 2, FALSE), ""), "", IFERROR(VLOOKUP(DBL_FullList!I834, ContactsDbl!B:D, 2, FALSE), ""))</f>
        <v>info@biblesociety-tanzania.org</v>
      </c>
      <c r="K834" t="str">
        <f>IF(0 = IFERROR(VLOOKUP(DBL_FullList!I834,ContactsDbl!B:D, 3, FALSE), ""), "", IFERROR(VLOOKUP(DBL_FullList!I834, ContactsDbl!B:D, 3, FALSE), ""))</f>
        <v>http://biblesociety-tanzania.org/</v>
      </c>
      <c r="L834">
        <f t="shared" si="25"/>
        <v>2</v>
      </c>
    </row>
    <row r="835" spans="1:12" x14ac:dyDescent="0.25">
      <c r="A835" t="s">
        <v>5734</v>
      </c>
      <c r="B835" t="str">
        <f>IF(ISERROR(VLOOKUP(F835,STEP!A:A, 1, FALSE)), "N", "Y")</f>
        <v>N</v>
      </c>
      <c r="C835" t="str">
        <f>IF(ISERROR(VLOOKUP(E835, BibleInEveryLanguageTexts!A:A, 1, FALSE)), "N", "Y")</f>
        <v>N</v>
      </c>
      <c r="D835" t="str">
        <f t="shared" ref="D835:D898" si="26">IF(AND("N" = B835, "N" = C835), "X", "")</f>
        <v>X</v>
      </c>
      <c r="E835" t="s">
        <v>5735</v>
      </c>
      <c r="F835" t="s">
        <v>5736</v>
      </c>
      <c r="G835" t="s">
        <v>139</v>
      </c>
      <c r="H835" t="s">
        <v>5737</v>
      </c>
      <c r="I835" t="s">
        <v>2106</v>
      </c>
      <c r="J835" t="str">
        <f>IF(0 = IFERROR(VLOOKUP(DBL_FullList!I835, ContactsDbl!B:D, 2, FALSE), ""), "", IFERROR(VLOOKUP(DBL_FullList!I835, ContactsDbl!B:D, 2, FALSE), ""))</f>
        <v>info@biblesociety-tanzania.org</v>
      </c>
      <c r="K835" t="str">
        <f>IF(0 = IFERROR(VLOOKUP(DBL_FullList!I835,ContactsDbl!B:D, 3, FALSE), ""), "", IFERROR(VLOOKUP(DBL_FullList!I835, ContactsDbl!B:D, 3, FALSE), ""))</f>
        <v>http://biblesociety-tanzania.org/</v>
      </c>
      <c r="L835">
        <f t="shared" ref="L835:L898" si="27">IF("" &lt;&gt; J835, 2, IF("" &lt;&gt; K835, 1, 0))</f>
        <v>2</v>
      </c>
    </row>
    <row r="836" spans="1:12" x14ac:dyDescent="0.25">
      <c r="A836" t="s">
        <v>5738</v>
      </c>
      <c r="B836" t="str">
        <f>IF(ISERROR(VLOOKUP(F836,STEP!A:A, 1, FALSE)), "N", "Y")</f>
        <v>N</v>
      </c>
      <c r="C836" t="str">
        <f>IF(ISERROR(VLOOKUP(E836, BibleInEveryLanguageTexts!A:A, 1, FALSE)), "N", "Y")</f>
        <v>N</v>
      </c>
      <c r="D836" t="str">
        <f t="shared" si="26"/>
        <v>X</v>
      </c>
      <c r="E836" t="s">
        <v>5739</v>
      </c>
      <c r="F836" t="s">
        <v>5740</v>
      </c>
      <c r="G836" t="s">
        <v>139</v>
      </c>
      <c r="H836" t="s">
        <v>5741</v>
      </c>
      <c r="I836" t="s">
        <v>2106</v>
      </c>
      <c r="J836" t="str">
        <f>IF(0 = IFERROR(VLOOKUP(DBL_FullList!I836, ContactsDbl!B:D, 2, FALSE), ""), "", IFERROR(VLOOKUP(DBL_FullList!I836, ContactsDbl!B:D, 2, FALSE), ""))</f>
        <v>info@biblesociety-tanzania.org</v>
      </c>
      <c r="K836" t="str">
        <f>IF(0 = IFERROR(VLOOKUP(DBL_FullList!I836,ContactsDbl!B:D, 3, FALSE), ""), "", IFERROR(VLOOKUP(DBL_FullList!I836, ContactsDbl!B:D, 3, FALSE), ""))</f>
        <v>http://biblesociety-tanzania.org/</v>
      </c>
      <c r="L836">
        <f t="shared" si="27"/>
        <v>2</v>
      </c>
    </row>
    <row r="837" spans="1:12" x14ac:dyDescent="0.25">
      <c r="A837" t="s">
        <v>5742</v>
      </c>
      <c r="B837" t="str">
        <f>IF(ISERROR(VLOOKUP(F837,STEP!A:A, 1, FALSE)), "N", "Y")</f>
        <v>N</v>
      </c>
      <c r="C837" t="str">
        <f>IF(ISERROR(VLOOKUP(E837, BibleInEveryLanguageTexts!A:A, 1, FALSE)), "N", "Y")</f>
        <v>N</v>
      </c>
      <c r="D837" t="str">
        <f t="shared" si="26"/>
        <v>X</v>
      </c>
      <c r="E837" t="s">
        <v>5743</v>
      </c>
      <c r="F837" t="s">
        <v>5744</v>
      </c>
      <c r="G837" t="s">
        <v>139</v>
      </c>
      <c r="H837" t="s">
        <v>5745</v>
      </c>
      <c r="I837" t="s">
        <v>2106</v>
      </c>
      <c r="J837" t="str">
        <f>IF(0 = IFERROR(VLOOKUP(DBL_FullList!I837, ContactsDbl!B:D, 2, FALSE), ""), "", IFERROR(VLOOKUP(DBL_FullList!I837, ContactsDbl!B:D, 2, FALSE), ""))</f>
        <v>info@biblesociety-tanzania.org</v>
      </c>
      <c r="K837" t="str">
        <f>IF(0 = IFERROR(VLOOKUP(DBL_FullList!I837,ContactsDbl!B:D, 3, FALSE), ""), "", IFERROR(VLOOKUP(DBL_FullList!I837, ContactsDbl!B:D, 3, FALSE), ""))</f>
        <v>http://biblesociety-tanzania.org/</v>
      </c>
      <c r="L837">
        <f t="shared" si="27"/>
        <v>2</v>
      </c>
    </row>
    <row r="838" spans="1:12" x14ac:dyDescent="0.25">
      <c r="A838" t="s">
        <v>5746</v>
      </c>
      <c r="B838" t="str">
        <f>IF(ISERROR(VLOOKUP(F838,STEP!A:A, 1, FALSE)), "N", "Y")</f>
        <v>N</v>
      </c>
      <c r="C838" t="str">
        <f>IF(ISERROR(VLOOKUP(E838, BibleInEveryLanguageTexts!A:A, 1, FALSE)), "N", "Y")</f>
        <v>N</v>
      </c>
      <c r="D838" t="str">
        <f t="shared" si="26"/>
        <v>X</v>
      </c>
      <c r="E838" t="s">
        <v>5727</v>
      </c>
      <c r="F838" t="s">
        <v>5728</v>
      </c>
      <c r="G838" t="s">
        <v>139</v>
      </c>
      <c r="H838" t="s">
        <v>5747</v>
      </c>
      <c r="I838" t="s">
        <v>2106</v>
      </c>
      <c r="J838" t="str">
        <f>IF(0 = IFERROR(VLOOKUP(DBL_FullList!I838, ContactsDbl!B:D, 2, FALSE), ""), "", IFERROR(VLOOKUP(DBL_FullList!I838, ContactsDbl!B:D, 2, FALSE), ""))</f>
        <v>info@biblesociety-tanzania.org</v>
      </c>
      <c r="K838" t="str">
        <f>IF(0 = IFERROR(VLOOKUP(DBL_FullList!I838,ContactsDbl!B:D, 3, FALSE), ""), "", IFERROR(VLOOKUP(DBL_FullList!I838, ContactsDbl!B:D, 3, FALSE), ""))</f>
        <v>http://biblesociety-tanzania.org/</v>
      </c>
      <c r="L838">
        <f t="shared" si="27"/>
        <v>2</v>
      </c>
    </row>
    <row r="839" spans="1:12" x14ac:dyDescent="0.25">
      <c r="A839" t="s">
        <v>5748</v>
      </c>
      <c r="B839" t="str">
        <f>IF(ISERROR(VLOOKUP(F839,STEP!A:A, 1, FALSE)), "N", "Y")</f>
        <v>N</v>
      </c>
      <c r="C839" t="str">
        <f>IF(ISERROR(VLOOKUP(E839, BibleInEveryLanguageTexts!A:A, 1, FALSE)), "N", "Y")</f>
        <v>N</v>
      </c>
      <c r="D839" t="str">
        <f t="shared" si="26"/>
        <v>X</v>
      </c>
      <c r="E839" t="s">
        <v>5749</v>
      </c>
      <c r="F839" t="s">
        <v>5750</v>
      </c>
      <c r="G839" t="s">
        <v>110</v>
      </c>
      <c r="H839" t="s">
        <v>5751</v>
      </c>
      <c r="I839" t="s">
        <v>2370</v>
      </c>
      <c r="J839" t="str">
        <f>IF(0 = IFERROR(VLOOKUP(DBL_FullList!I839, ContactsDbl!B:D, 2, FALSE), ""), "", IFERROR(VLOOKUP(DBL_FullList!I839, ContactsDbl!B:D, 2, FALSE), ""))</f>
        <v>anwartjen@alkitab.or.id</v>
      </c>
      <c r="K839" t="str">
        <f>IF(0 = IFERROR(VLOOKUP(DBL_FullList!I839,ContactsDbl!B:D, 3, FALSE), ""), "", IFERROR(VLOOKUP(DBL_FullList!I839, ContactsDbl!B:D, 3, FALSE), ""))</f>
        <v>http://www.alkitab.or.id/</v>
      </c>
      <c r="L839">
        <f t="shared" si="27"/>
        <v>2</v>
      </c>
    </row>
    <row r="840" spans="1:12" x14ac:dyDescent="0.25">
      <c r="A840" t="s">
        <v>270</v>
      </c>
      <c r="B840" t="str">
        <f>IF(ISERROR(VLOOKUP(F840,STEP!A:A, 1, FALSE)), "N", "Y")</f>
        <v>N</v>
      </c>
      <c r="C840" t="str">
        <f>IF(ISERROR(VLOOKUP(E840, BibleInEveryLanguageTexts!A:A, 1, FALSE)), "N", "Y")</f>
        <v>N</v>
      </c>
      <c r="D840" t="str">
        <f t="shared" si="26"/>
        <v>X</v>
      </c>
      <c r="E840" t="s">
        <v>269</v>
      </c>
      <c r="F840" t="s">
        <v>267</v>
      </c>
      <c r="G840" t="s">
        <v>268</v>
      </c>
      <c r="H840" t="s">
        <v>265</v>
      </c>
      <c r="I840" t="s">
        <v>24</v>
      </c>
      <c r="J840" t="str">
        <f>IF(0 = IFERROR(VLOOKUP(DBL_FullList!I840, ContactsDbl!B:D, 2, FALSE), ""), "", IFERROR(VLOOKUP(DBL_FullList!I840, ContactsDbl!B:D, 2, FALSE), ""))</f>
        <v>Michael@eBible.org</v>
      </c>
      <c r="K840" t="str">
        <f>IF(0 = IFERROR(VLOOKUP(DBL_FullList!I840,ContactsDbl!B:D, 3, FALSE), ""), "", IFERROR(VLOOKUP(DBL_FullList!I840, ContactsDbl!B:D, 3, FALSE), ""))</f>
        <v>http://eBible.org</v>
      </c>
      <c r="L840">
        <f t="shared" si="27"/>
        <v>2</v>
      </c>
    </row>
    <row r="841" spans="1:12" x14ac:dyDescent="0.25">
      <c r="A841" t="s">
        <v>5752</v>
      </c>
      <c r="B841" t="str">
        <f>IF(ISERROR(VLOOKUP(F841,STEP!A:A, 1, FALSE)), "N", "Y")</f>
        <v>N</v>
      </c>
      <c r="C841" t="str">
        <f>IF(ISERROR(VLOOKUP(E841, BibleInEveryLanguageTexts!A:A, 1, FALSE)), "N", "Y")</f>
        <v>N</v>
      </c>
      <c r="D841" t="str">
        <f t="shared" si="26"/>
        <v>X</v>
      </c>
      <c r="E841" t="s">
        <v>5753</v>
      </c>
      <c r="F841" t="s">
        <v>5754</v>
      </c>
      <c r="G841" t="s">
        <v>2738</v>
      </c>
      <c r="H841" t="s">
        <v>5755</v>
      </c>
      <c r="I841" t="s">
        <v>2661</v>
      </c>
      <c r="J841" t="str">
        <f>IF(0 = IFERROR(VLOOKUP(DBL_FullList!I841, ContactsDbl!B:D, 2, FALSE), ""), "", IFERROR(VLOOKUP(DBL_FullList!I841, ContactsDbl!B:D, 2, FALSE), ""))</f>
        <v>dbladmin_intl@sil.org</v>
      </c>
      <c r="K841" t="str">
        <f>IF(0 = IFERROR(VLOOKUP(DBL_FullList!I841,ContactsDbl!B:D, 3, FALSE), ""), "", IFERROR(VLOOKUP(DBL_FullList!I841, ContactsDbl!B:D, 3, FALSE), ""))</f>
        <v>http://www.wycliffe.org</v>
      </c>
      <c r="L841">
        <f t="shared" si="27"/>
        <v>2</v>
      </c>
    </row>
    <row r="842" spans="1:12" x14ac:dyDescent="0.25">
      <c r="A842" t="s">
        <v>5756</v>
      </c>
      <c r="B842" t="str">
        <f>IF(ISERROR(VLOOKUP(F842,STEP!A:A, 1, FALSE)), "N", "Y")</f>
        <v>N</v>
      </c>
      <c r="C842" t="str">
        <f>IF(ISERROR(VLOOKUP(E842, BibleInEveryLanguageTexts!A:A, 1, FALSE)), "N", "Y")</f>
        <v>N</v>
      </c>
      <c r="D842" t="str">
        <f t="shared" si="26"/>
        <v>X</v>
      </c>
      <c r="E842" t="s">
        <v>5757</v>
      </c>
      <c r="F842" t="s">
        <v>5758</v>
      </c>
      <c r="G842" t="s">
        <v>5759</v>
      </c>
      <c r="H842" t="s">
        <v>5760</v>
      </c>
      <c r="I842" t="s">
        <v>2102</v>
      </c>
      <c r="J842" t="str">
        <f>IF(0 = IFERROR(VLOOKUP(DBL_FullList!I842, ContactsDbl!B:D, 2, FALSE), ""), "", IFERROR(VLOOKUP(DBL_FullList!I842, ContactsDbl!B:D, 2, FALSE), ""))</f>
        <v>mkatonivere@bible.org.fj</v>
      </c>
      <c r="K842" t="str">
        <f>IF(0 = IFERROR(VLOOKUP(DBL_FullList!I842,ContactsDbl!B:D, 3, FALSE), ""), "", IFERROR(VLOOKUP(DBL_FullList!I842, ContactsDbl!B:D, 3, FALSE), ""))</f>
        <v>http://www.bible.org.fj/</v>
      </c>
      <c r="L842">
        <f t="shared" si="27"/>
        <v>2</v>
      </c>
    </row>
    <row r="843" spans="1:12" x14ac:dyDescent="0.25">
      <c r="A843" t="s">
        <v>5761</v>
      </c>
      <c r="B843" t="str">
        <f>IF(ISERROR(VLOOKUP(F843,STEP!A:A, 1, FALSE)), "N", "Y")</f>
        <v>N</v>
      </c>
      <c r="C843" t="str">
        <f>IF(ISERROR(VLOOKUP(E843, BibleInEveryLanguageTexts!A:A, 1, FALSE)), "N", "Y")</f>
        <v>N</v>
      </c>
      <c r="D843" t="str">
        <f t="shared" si="26"/>
        <v>X</v>
      </c>
      <c r="E843" t="s">
        <v>5762</v>
      </c>
      <c r="F843" t="s">
        <v>5763</v>
      </c>
      <c r="G843" t="s">
        <v>306</v>
      </c>
      <c r="H843" t="s">
        <v>5764</v>
      </c>
      <c r="I843" t="s">
        <v>2106</v>
      </c>
      <c r="J843" t="str">
        <f>IF(0 = IFERROR(VLOOKUP(DBL_FullList!I843, ContactsDbl!B:D, 2, FALSE), ""), "", IFERROR(VLOOKUP(DBL_FullList!I843, ContactsDbl!B:D, 2, FALSE), ""))</f>
        <v>info@biblesociety-tanzania.org</v>
      </c>
      <c r="K843" t="str">
        <f>IF(0 = IFERROR(VLOOKUP(DBL_FullList!I843,ContactsDbl!B:D, 3, FALSE), ""), "", IFERROR(VLOOKUP(DBL_FullList!I843, ContactsDbl!B:D, 3, FALSE), ""))</f>
        <v>http://biblesociety-tanzania.org/</v>
      </c>
      <c r="L843">
        <f t="shared" si="27"/>
        <v>2</v>
      </c>
    </row>
    <row r="844" spans="1:12" x14ac:dyDescent="0.25">
      <c r="A844" t="s">
        <v>5765</v>
      </c>
      <c r="B844" t="str">
        <f>IF(ISERROR(VLOOKUP(F844,STEP!A:A, 1, FALSE)), "N", "Y")</f>
        <v>N</v>
      </c>
      <c r="C844" t="str">
        <f>IF(ISERROR(VLOOKUP(E844, BibleInEveryLanguageTexts!A:A, 1, FALSE)), "N", "Y")</f>
        <v>N</v>
      </c>
      <c r="D844" t="str">
        <f t="shared" si="26"/>
        <v>X</v>
      </c>
      <c r="E844" t="s">
        <v>5766</v>
      </c>
      <c r="F844" t="s">
        <v>5767</v>
      </c>
      <c r="G844" t="s">
        <v>139</v>
      </c>
      <c r="H844" t="s">
        <v>5768</v>
      </c>
      <c r="I844" t="s">
        <v>2106</v>
      </c>
      <c r="J844" t="str">
        <f>IF(0 = IFERROR(VLOOKUP(DBL_FullList!I844, ContactsDbl!B:D, 2, FALSE), ""), "", IFERROR(VLOOKUP(DBL_FullList!I844, ContactsDbl!B:D, 2, FALSE), ""))</f>
        <v>info@biblesociety-tanzania.org</v>
      </c>
      <c r="K844" t="str">
        <f>IF(0 = IFERROR(VLOOKUP(DBL_FullList!I844,ContactsDbl!B:D, 3, FALSE), ""), "", IFERROR(VLOOKUP(DBL_FullList!I844, ContactsDbl!B:D, 3, FALSE), ""))</f>
        <v>http://biblesociety-tanzania.org/</v>
      </c>
      <c r="L844">
        <f t="shared" si="27"/>
        <v>2</v>
      </c>
    </row>
    <row r="845" spans="1:12" x14ac:dyDescent="0.25">
      <c r="A845" t="s">
        <v>5769</v>
      </c>
      <c r="B845" t="str">
        <f>IF(ISERROR(VLOOKUP(F845,STEP!A:A, 1, FALSE)), "N", "Y")</f>
        <v>Y</v>
      </c>
      <c r="C845" t="str">
        <f>IF(ISERROR(VLOOKUP(E845, BibleInEveryLanguageTexts!A:A, 1, FALSE)), "N", "Y")</f>
        <v>N</v>
      </c>
      <c r="D845" t="str">
        <f t="shared" si="26"/>
        <v/>
      </c>
      <c r="E845" t="s">
        <v>5770</v>
      </c>
      <c r="F845" t="s">
        <v>5771</v>
      </c>
      <c r="G845" t="s">
        <v>48</v>
      </c>
      <c r="H845" t="s">
        <v>655</v>
      </c>
      <c r="I845" t="s">
        <v>2661</v>
      </c>
      <c r="J845" t="str">
        <f>IF(0 = IFERROR(VLOOKUP(DBL_FullList!I845, ContactsDbl!B:D, 2, FALSE), ""), "", IFERROR(VLOOKUP(DBL_FullList!I845, ContactsDbl!B:D, 2, FALSE), ""))</f>
        <v>dbladmin_intl@sil.org</v>
      </c>
      <c r="K845" t="str">
        <f>IF(0 = IFERROR(VLOOKUP(DBL_FullList!I845,ContactsDbl!B:D, 3, FALSE), ""), "", IFERROR(VLOOKUP(DBL_FullList!I845, ContactsDbl!B:D, 3, FALSE), ""))</f>
        <v>http://www.wycliffe.org</v>
      </c>
      <c r="L845">
        <f t="shared" si="27"/>
        <v>2</v>
      </c>
    </row>
    <row r="846" spans="1:12" x14ac:dyDescent="0.25">
      <c r="A846" t="s">
        <v>5772</v>
      </c>
      <c r="B846" t="str">
        <f>IF(ISERROR(VLOOKUP(F846,STEP!A:A, 1, FALSE)), "N", "Y")</f>
        <v>N</v>
      </c>
      <c r="C846" t="str">
        <f>IF(ISERROR(VLOOKUP(E846, BibleInEveryLanguageTexts!A:A, 1, FALSE)), "N", "Y")</f>
        <v>N</v>
      </c>
      <c r="D846" t="str">
        <f t="shared" si="26"/>
        <v>X</v>
      </c>
      <c r="E846" t="s">
        <v>5773</v>
      </c>
      <c r="F846" t="s">
        <v>5774</v>
      </c>
      <c r="G846" t="s">
        <v>383</v>
      </c>
      <c r="H846" t="s">
        <v>5775</v>
      </c>
      <c r="I846" t="s">
        <v>2661</v>
      </c>
      <c r="J846" t="str">
        <f>IF(0 = IFERROR(VLOOKUP(DBL_FullList!I846, ContactsDbl!B:D, 2, FALSE), ""), "", IFERROR(VLOOKUP(DBL_FullList!I846, ContactsDbl!B:D, 2, FALSE), ""))</f>
        <v>dbladmin_intl@sil.org</v>
      </c>
      <c r="K846" t="str">
        <f>IF(0 = IFERROR(VLOOKUP(DBL_FullList!I846,ContactsDbl!B:D, 3, FALSE), ""), "", IFERROR(VLOOKUP(DBL_FullList!I846, ContactsDbl!B:D, 3, FALSE), ""))</f>
        <v>http://www.wycliffe.org</v>
      </c>
      <c r="L846">
        <f t="shared" si="27"/>
        <v>2</v>
      </c>
    </row>
    <row r="847" spans="1:12" x14ac:dyDescent="0.25">
      <c r="A847" t="s">
        <v>491</v>
      </c>
      <c r="B847" t="str">
        <f>IF(ISERROR(VLOOKUP(F847,STEP!A:A, 1, FALSE)), "N", "Y")</f>
        <v>N</v>
      </c>
      <c r="C847" t="str">
        <f>IF(ISERROR(VLOOKUP(E847, BibleInEveryLanguageTexts!A:A, 1, FALSE)), "N", "Y")</f>
        <v>N</v>
      </c>
      <c r="D847" t="str">
        <f t="shared" si="26"/>
        <v>X</v>
      </c>
      <c r="E847" t="s">
        <v>490</v>
      </c>
      <c r="F847" t="s">
        <v>489</v>
      </c>
      <c r="G847" t="s">
        <v>48</v>
      </c>
      <c r="H847" t="s">
        <v>488</v>
      </c>
      <c r="I847" t="s">
        <v>45</v>
      </c>
      <c r="J847" t="str">
        <f>IF(0 = IFERROR(VLOOKUP(DBL_FullList!I847, ContactsDbl!B:D, 2, FALSE), ""), "", IFERROR(VLOOKUP(DBL_FullList!I847, ContactsDbl!B:D, 2, FALSE), ""))</f>
        <v>pbt@pbti.org</v>
      </c>
      <c r="K847" t="str">
        <f>IF(0 = IFERROR(VLOOKUP(DBL_FullList!I847,ContactsDbl!B:D, 3, FALSE), ""), "", IFERROR(VLOOKUP(DBL_FullList!I847, ContactsDbl!B:D, 3, FALSE), ""))</f>
        <v>www.pioneerbible.org</v>
      </c>
      <c r="L847">
        <f t="shared" si="27"/>
        <v>2</v>
      </c>
    </row>
    <row r="848" spans="1:12" x14ac:dyDescent="0.25">
      <c r="A848" t="s">
        <v>254</v>
      </c>
      <c r="B848" t="str">
        <f>IF(ISERROR(VLOOKUP(F848,STEP!A:A, 1, FALSE)), "N", "Y")</f>
        <v>Y</v>
      </c>
      <c r="C848" t="str">
        <f>IF(ISERROR(VLOOKUP(E848, BibleInEveryLanguageTexts!A:A, 1, FALSE)), "N", "Y")</f>
        <v>N</v>
      </c>
      <c r="D848" t="str">
        <f t="shared" si="26"/>
        <v/>
      </c>
      <c r="E848" t="s">
        <v>253</v>
      </c>
      <c r="F848" t="s">
        <v>252</v>
      </c>
      <c r="G848" t="s">
        <v>48</v>
      </c>
      <c r="H848" t="s">
        <v>5776</v>
      </c>
      <c r="I848" t="s">
        <v>45</v>
      </c>
      <c r="J848" t="str">
        <f>IF(0 = IFERROR(VLOOKUP(DBL_FullList!I848, ContactsDbl!B:D, 2, FALSE), ""), "", IFERROR(VLOOKUP(DBL_FullList!I848, ContactsDbl!B:D, 2, FALSE), ""))</f>
        <v>pbt@pbti.org</v>
      </c>
      <c r="K848" t="str">
        <f>IF(0 = IFERROR(VLOOKUP(DBL_FullList!I848,ContactsDbl!B:D, 3, FALSE), ""), "", IFERROR(VLOOKUP(DBL_FullList!I848, ContactsDbl!B:D, 3, FALSE), ""))</f>
        <v>www.pioneerbible.org</v>
      </c>
      <c r="L848">
        <f t="shared" si="27"/>
        <v>2</v>
      </c>
    </row>
    <row r="849" spans="1:12" x14ac:dyDescent="0.25">
      <c r="A849" t="s">
        <v>316</v>
      </c>
      <c r="B849" t="str">
        <f>IF(ISERROR(VLOOKUP(F849,STEP!A:A, 1, FALSE)), "N", "Y")</f>
        <v>N</v>
      </c>
      <c r="C849" t="str">
        <f>IF(ISERROR(VLOOKUP(E849, BibleInEveryLanguageTexts!A:A, 1, FALSE)), "N", "Y")</f>
        <v>N</v>
      </c>
      <c r="D849" t="str">
        <f t="shared" si="26"/>
        <v>X</v>
      </c>
      <c r="E849" t="s">
        <v>315</v>
      </c>
      <c r="F849" t="s">
        <v>313</v>
      </c>
      <c r="G849" t="s">
        <v>314</v>
      </c>
      <c r="H849" t="s">
        <v>311</v>
      </c>
      <c r="I849" t="s">
        <v>24</v>
      </c>
      <c r="J849" t="str">
        <f>IF(0 = IFERROR(VLOOKUP(DBL_FullList!I849, ContactsDbl!B:D, 2, FALSE), ""), "", IFERROR(VLOOKUP(DBL_FullList!I849, ContactsDbl!B:D, 2, FALSE), ""))</f>
        <v>Michael@eBible.org</v>
      </c>
      <c r="K849" t="str">
        <f>IF(0 = IFERROR(VLOOKUP(DBL_FullList!I849,ContactsDbl!B:D, 3, FALSE), ""), "", IFERROR(VLOOKUP(DBL_FullList!I849, ContactsDbl!B:D, 3, FALSE), ""))</f>
        <v>http://eBible.org</v>
      </c>
      <c r="L849">
        <f t="shared" si="27"/>
        <v>2</v>
      </c>
    </row>
    <row r="850" spans="1:12" x14ac:dyDescent="0.25">
      <c r="A850" t="s">
        <v>5777</v>
      </c>
      <c r="B850" t="str">
        <f>IF(ISERROR(VLOOKUP(F850,STEP!A:A, 1, FALSE)), "N", "Y")</f>
        <v>N</v>
      </c>
      <c r="C850" t="str">
        <f>IF(ISERROR(VLOOKUP(E850, BibleInEveryLanguageTexts!A:A, 1, FALSE)), "N", "Y")</f>
        <v>N</v>
      </c>
      <c r="D850" t="str">
        <f t="shared" si="26"/>
        <v>X</v>
      </c>
      <c r="E850" t="s">
        <v>5778</v>
      </c>
      <c r="F850" t="s">
        <v>5779</v>
      </c>
      <c r="G850" t="s">
        <v>2858</v>
      </c>
      <c r="H850" t="s">
        <v>5780</v>
      </c>
      <c r="I850" t="s">
        <v>2661</v>
      </c>
      <c r="J850" t="str">
        <f>IF(0 = IFERROR(VLOOKUP(DBL_FullList!I850, ContactsDbl!B:D, 2, FALSE), ""), "", IFERROR(VLOOKUP(DBL_FullList!I850, ContactsDbl!B:D, 2, FALSE), ""))</f>
        <v>dbladmin_intl@sil.org</v>
      </c>
      <c r="K850" t="str">
        <f>IF(0 = IFERROR(VLOOKUP(DBL_FullList!I850,ContactsDbl!B:D, 3, FALSE), ""), "", IFERROR(VLOOKUP(DBL_FullList!I850, ContactsDbl!B:D, 3, FALSE), ""))</f>
        <v>http://www.wycliffe.org</v>
      </c>
      <c r="L850">
        <f t="shared" si="27"/>
        <v>2</v>
      </c>
    </row>
    <row r="851" spans="1:12" x14ac:dyDescent="0.25">
      <c r="A851" t="s">
        <v>5781</v>
      </c>
      <c r="B851" t="str">
        <f>IF(ISERROR(VLOOKUP(F851,STEP!A:A, 1, FALSE)), "N", "Y")</f>
        <v>N</v>
      </c>
      <c r="C851" t="str">
        <f>IF(ISERROR(VLOOKUP(E851, BibleInEveryLanguageTexts!A:A, 1, FALSE)), "N", "Y")</f>
        <v>N</v>
      </c>
      <c r="D851" t="str">
        <f t="shared" si="26"/>
        <v>X</v>
      </c>
      <c r="E851" t="s">
        <v>5782</v>
      </c>
      <c r="F851" t="s">
        <v>5783</v>
      </c>
      <c r="G851" t="s">
        <v>2738</v>
      </c>
      <c r="H851" t="s">
        <v>5784</v>
      </c>
      <c r="I851" t="s">
        <v>2661</v>
      </c>
      <c r="J851" t="str">
        <f>IF(0 = IFERROR(VLOOKUP(DBL_FullList!I851, ContactsDbl!B:D, 2, FALSE), ""), "", IFERROR(VLOOKUP(DBL_FullList!I851, ContactsDbl!B:D, 2, FALSE), ""))</f>
        <v>dbladmin_intl@sil.org</v>
      </c>
      <c r="K851" t="str">
        <f>IF(0 = IFERROR(VLOOKUP(DBL_FullList!I851,ContactsDbl!B:D, 3, FALSE), ""), "", IFERROR(VLOOKUP(DBL_FullList!I851, ContactsDbl!B:D, 3, FALSE), ""))</f>
        <v>http://www.wycliffe.org</v>
      </c>
      <c r="L851">
        <f t="shared" si="27"/>
        <v>2</v>
      </c>
    </row>
    <row r="852" spans="1:12" x14ac:dyDescent="0.25">
      <c r="A852" t="s">
        <v>5785</v>
      </c>
      <c r="B852" t="str">
        <f>IF(ISERROR(VLOOKUP(F852,STEP!A:A, 1, FALSE)), "N", "Y")</f>
        <v>N</v>
      </c>
      <c r="C852" t="str">
        <f>IF(ISERROR(VLOOKUP(E852, BibleInEveryLanguageTexts!A:A, 1, FALSE)), "N", "Y")</f>
        <v>N</v>
      </c>
      <c r="D852" t="str">
        <f t="shared" si="26"/>
        <v>X</v>
      </c>
      <c r="E852" t="s">
        <v>193</v>
      </c>
      <c r="F852" t="s">
        <v>494</v>
      </c>
      <c r="G852" t="s">
        <v>20</v>
      </c>
      <c r="H852" t="s">
        <v>5786</v>
      </c>
      <c r="I852" t="s">
        <v>2329</v>
      </c>
      <c r="J852" t="str">
        <f>IF(0 = IFERROR(VLOOKUP(DBL_FullList!I852, ContactsDbl!B:D, 2, FALSE), ""), "", IFERROR(VLOOKUP(DBL_FullList!I852, ContactsDbl!B:D, 2, FALSE), ""))</f>
        <v/>
      </c>
      <c r="K852" t="str">
        <f>IF(0 = IFERROR(VLOOKUP(DBL_FullList!I852,ContactsDbl!B:D, 3, FALSE), ""), "", IFERROR(VLOOKUP(DBL_FullList!I852, ContactsDbl!B:D, 3, FALSE), ""))</f>
        <v>http://www.bsind.org/</v>
      </c>
      <c r="L852">
        <f t="shared" si="27"/>
        <v>1</v>
      </c>
    </row>
    <row r="853" spans="1:12" x14ac:dyDescent="0.25">
      <c r="A853" t="s">
        <v>5787</v>
      </c>
      <c r="B853" t="str">
        <f>IF(ISERROR(VLOOKUP(F853,STEP!A:A, 1, FALSE)), "N", "Y")</f>
        <v>N</v>
      </c>
      <c r="C853" t="str">
        <f>IF(ISERROR(VLOOKUP(E853, BibleInEveryLanguageTexts!A:A, 1, FALSE)), "N", "Y")</f>
        <v>N</v>
      </c>
      <c r="D853" t="str">
        <f t="shared" si="26"/>
        <v>X</v>
      </c>
      <c r="E853" t="s">
        <v>5788</v>
      </c>
      <c r="F853" t="s">
        <v>5789</v>
      </c>
      <c r="G853" t="s">
        <v>171</v>
      </c>
      <c r="H853" t="s">
        <v>5790</v>
      </c>
      <c r="I853" t="s">
        <v>168</v>
      </c>
      <c r="J853" t="str">
        <f>IF(0 = IFERROR(VLOOKUP(DBL_FullList!I853, ContactsDbl!B:D, 2, FALSE), ""), "", IFERROR(VLOOKUP(DBL_FullList!I853, ContactsDbl!B:D, 2, FALSE), ""))</f>
        <v>admin@biblesociety-ethiopia.org</v>
      </c>
      <c r="K853" t="str">
        <f>IF(0 = IFERROR(VLOOKUP(DBL_FullList!I853,ContactsDbl!B:D, 3, FALSE), ""), "", IFERROR(VLOOKUP(DBL_FullList!I853, ContactsDbl!B:D, 3, FALSE), ""))</f>
        <v>http://biblesociety-ethiopia.org</v>
      </c>
      <c r="L853">
        <f t="shared" si="27"/>
        <v>2</v>
      </c>
    </row>
    <row r="854" spans="1:12" x14ac:dyDescent="0.25">
      <c r="A854" t="s">
        <v>5791</v>
      </c>
      <c r="B854" t="str">
        <f>IF(ISERROR(VLOOKUP(F854,STEP!A:A, 1, FALSE)), "N", "Y")</f>
        <v>N</v>
      </c>
      <c r="C854" t="str">
        <f>IF(ISERROR(VLOOKUP(E854, BibleInEveryLanguageTexts!A:A, 1, FALSE)), "N", "Y")</f>
        <v>N</v>
      </c>
      <c r="D854" t="str">
        <f t="shared" si="26"/>
        <v>X</v>
      </c>
      <c r="E854" t="s">
        <v>5792</v>
      </c>
      <c r="F854" t="s">
        <v>5793</v>
      </c>
      <c r="G854" t="s">
        <v>2743</v>
      </c>
      <c r="H854" t="s">
        <v>5794</v>
      </c>
      <c r="I854" t="s">
        <v>2661</v>
      </c>
      <c r="J854" t="str">
        <f>IF(0 = IFERROR(VLOOKUP(DBL_FullList!I854, ContactsDbl!B:D, 2, FALSE), ""), "", IFERROR(VLOOKUP(DBL_FullList!I854, ContactsDbl!B:D, 2, FALSE), ""))</f>
        <v>dbladmin_intl@sil.org</v>
      </c>
      <c r="K854" t="str">
        <f>IF(0 = IFERROR(VLOOKUP(DBL_FullList!I854,ContactsDbl!B:D, 3, FALSE), ""), "", IFERROR(VLOOKUP(DBL_FullList!I854, ContactsDbl!B:D, 3, FALSE), ""))</f>
        <v>http://www.wycliffe.org</v>
      </c>
      <c r="L854">
        <f t="shared" si="27"/>
        <v>2</v>
      </c>
    </row>
    <row r="855" spans="1:12" x14ac:dyDescent="0.25">
      <c r="A855" t="s">
        <v>5795</v>
      </c>
      <c r="B855" t="str">
        <f>IF(ISERROR(VLOOKUP(F855,STEP!A:A, 1, FALSE)), "N", "Y")</f>
        <v>N</v>
      </c>
      <c r="C855" t="str">
        <f>IF(ISERROR(VLOOKUP(E855, BibleInEveryLanguageTexts!A:A, 1, FALSE)), "N", "Y")</f>
        <v>N</v>
      </c>
      <c r="D855" t="str">
        <f t="shared" si="26"/>
        <v>X</v>
      </c>
      <c r="E855" t="s">
        <v>5796</v>
      </c>
      <c r="F855" t="s">
        <v>5797</v>
      </c>
      <c r="G855" t="s">
        <v>3194</v>
      </c>
      <c r="H855" t="s">
        <v>5798</v>
      </c>
      <c r="I855" t="s">
        <v>183</v>
      </c>
      <c r="J855" t="str">
        <f>IF(0 = IFERROR(VLOOKUP(DBL_FullList!I855, ContactsDbl!B:D, 2, FALSE), ""), "", IFERROR(VLOOKUP(DBL_FullList!I855, ContactsDbl!B:D, 2, FALSE), ""))</f>
        <v>dbl@biblesocieties.org</v>
      </c>
      <c r="K855" t="str">
        <f>IF(0 = IFERROR(VLOOKUP(DBL_FullList!I855,ContactsDbl!B:D, 3, FALSE), ""), "", IFERROR(VLOOKUP(DBL_FullList!I855, ContactsDbl!B:D, 3, FALSE), ""))</f>
        <v>http://www.unitedbiblesocieties.org/</v>
      </c>
      <c r="L855">
        <f t="shared" si="27"/>
        <v>2</v>
      </c>
    </row>
    <row r="856" spans="1:12" x14ac:dyDescent="0.25">
      <c r="A856" t="s">
        <v>5799</v>
      </c>
      <c r="B856" t="str">
        <f>IF(ISERROR(VLOOKUP(F856,STEP!A:A, 1, FALSE)), "N", "Y")</f>
        <v>N</v>
      </c>
      <c r="C856" t="str">
        <f>IF(ISERROR(VLOOKUP(E856, BibleInEveryLanguageTexts!A:A, 1, FALSE)), "N", "Y")</f>
        <v>N</v>
      </c>
      <c r="D856" t="str">
        <f t="shared" si="26"/>
        <v>X</v>
      </c>
      <c r="E856" t="s">
        <v>5796</v>
      </c>
      <c r="F856" t="s">
        <v>5797</v>
      </c>
      <c r="G856" t="s">
        <v>3194</v>
      </c>
      <c r="H856" t="s">
        <v>5800</v>
      </c>
      <c r="I856" t="s">
        <v>183</v>
      </c>
      <c r="J856" t="str">
        <f>IF(0 = IFERROR(VLOOKUP(DBL_FullList!I856, ContactsDbl!B:D, 2, FALSE), ""), "", IFERROR(VLOOKUP(DBL_FullList!I856, ContactsDbl!B:D, 2, FALSE), ""))</f>
        <v>dbl@biblesocieties.org</v>
      </c>
      <c r="K856" t="str">
        <f>IF(0 = IFERROR(VLOOKUP(DBL_FullList!I856,ContactsDbl!B:D, 3, FALSE), ""), "", IFERROR(VLOOKUP(DBL_FullList!I856, ContactsDbl!B:D, 3, FALSE), ""))</f>
        <v>http://www.unitedbiblesocieties.org/</v>
      </c>
      <c r="L856">
        <f t="shared" si="27"/>
        <v>2</v>
      </c>
    </row>
    <row r="857" spans="1:12" x14ac:dyDescent="0.25">
      <c r="A857" t="s">
        <v>5801</v>
      </c>
      <c r="B857" t="str">
        <f>IF(ISERROR(VLOOKUP(F857,STEP!A:A, 1, FALSE)), "N", "Y")</f>
        <v>N</v>
      </c>
      <c r="C857" t="str">
        <f>IF(ISERROR(VLOOKUP(E857, BibleInEveryLanguageTexts!A:A, 1, FALSE)), "N", "Y")</f>
        <v>N</v>
      </c>
      <c r="D857" t="str">
        <f t="shared" si="26"/>
        <v>X</v>
      </c>
      <c r="E857" t="s">
        <v>5802</v>
      </c>
      <c r="F857" t="s">
        <v>5803</v>
      </c>
      <c r="G857" t="s">
        <v>110</v>
      </c>
      <c r="H857" t="s">
        <v>5804</v>
      </c>
      <c r="I857" t="s">
        <v>2370</v>
      </c>
      <c r="J857" t="str">
        <f>IF(0 = IFERROR(VLOOKUP(DBL_FullList!I857, ContactsDbl!B:D, 2, FALSE), ""), "", IFERROR(VLOOKUP(DBL_FullList!I857, ContactsDbl!B:D, 2, FALSE), ""))</f>
        <v>anwartjen@alkitab.or.id</v>
      </c>
      <c r="K857" t="str">
        <f>IF(0 = IFERROR(VLOOKUP(DBL_FullList!I857,ContactsDbl!B:D, 3, FALSE), ""), "", IFERROR(VLOOKUP(DBL_FullList!I857, ContactsDbl!B:D, 3, FALSE), ""))</f>
        <v>http://www.alkitab.or.id/</v>
      </c>
      <c r="L857">
        <f t="shared" si="27"/>
        <v>2</v>
      </c>
    </row>
    <row r="858" spans="1:12" x14ac:dyDescent="0.25">
      <c r="A858" t="s">
        <v>5805</v>
      </c>
      <c r="B858" t="str">
        <f>IF(ISERROR(VLOOKUP(F858,STEP!A:A, 1, FALSE)), "N", "Y")</f>
        <v>N</v>
      </c>
      <c r="C858" t="str">
        <f>IF(ISERROR(VLOOKUP(E858, BibleInEveryLanguageTexts!A:A, 1, FALSE)), "N", "Y")</f>
        <v>N</v>
      </c>
      <c r="D858" t="str">
        <f t="shared" si="26"/>
        <v>X</v>
      </c>
      <c r="E858" t="s">
        <v>3598</v>
      </c>
      <c r="F858" t="s">
        <v>3599</v>
      </c>
      <c r="G858" t="s">
        <v>3600</v>
      </c>
      <c r="H858" t="s">
        <v>5806</v>
      </c>
      <c r="I858" t="s">
        <v>2336</v>
      </c>
      <c r="J858" t="str">
        <f>IF(0 = IFERROR(VLOOKUP(DBL_FullList!I858, ContactsDbl!B:D, 2, FALSE), ""), "", IFERROR(VLOOKUP(DBL_FullList!I858, ContactsDbl!B:D, 2, FALSE), ""))</f>
        <v>info@bsisrael.com</v>
      </c>
      <c r="K858" t="str">
        <f>IF(0 = IFERROR(VLOOKUP(DBL_FullList!I858,ContactsDbl!B:D, 3, FALSE), ""), "", IFERROR(VLOOKUP(DBL_FullList!I858, ContactsDbl!B:D, 3, FALSE), ""))</f>
        <v>http://www.biblesocietyinisrael.com/</v>
      </c>
      <c r="L858">
        <f t="shared" si="27"/>
        <v>2</v>
      </c>
    </row>
    <row r="859" spans="1:12" x14ac:dyDescent="0.25">
      <c r="A859" t="s">
        <v>5807</v>
      </c>
      <c r="B859" t="str">
        <f>IF(ISERROR(VLOOKUP(F859,STEP!A:A, 1, FALSE)), "N", "Y")</f>
        <v>N</v>
      </c>
      <c r="C859" t="str">
        <f>IF(ISERROR(VLOOKUP(E859, BibleInEveryLanguageTexts!A:A, 1, FALSE)), "N", "Y")</f>
        <v>N</v>
      </c>
      <c r="D859" t="str">
        <f t="shared" si="26"/>
        <v>X</v>
      </c>
      <c r="E859" t="s">
        <v>3030</v>
      </c>
      <c r="F859" t="s">
        <v>3031</v>
      </c>
      <c r="G859" t="s">
        <v>171</v>
      </c>
      <c r="H859" t="s">
        <v>5808</v>
      </c>
      <c r="I859" t="s">
        <v>168</v>
      </c>
      <c r="J859" t="str">
        <f>IF(0 = IFERROR(VLOOKUP(DBL_FullList!I859, ContactsDbl!B:D, 2, FALSE), ""), "", IFERROR(VLOOKUP(DBL_FullList!I859, ContactsDbl!B:D, 2, FALSE), ""))</f>
        <v>admin@biblesociety-ethiopia.org</v>
      </c>
      <c r="K859" t="str">
        <f>IF(0 = IFERROR(VLOOKUP(DBL_FullList!I859,ContactsDbl!B:D, 3, FALSE), ""), "", IFERROR(VLOOKUP(DBL_FullList!I859, ContactsDbl!B:D, 3, FALSE), ""))</f>
        <v>http://biblesociety-ethiopia.org</v>
      </c>
      <c r="L859">
        <f t="shared" si="27"/>
        <v>2</v>
      </c>
    </row>
    <row r="860" spans="1:12" x14ac:dyDescent="0.25">
      <c r="A860" t="s">
        <v>5809</v>
      </c>
      <c r="B860" t="str">
        <f>IF(ISERROR(VLOOKUP(F860,STEP!A:A, 1, FALSE)), "N", "Y")</f>
        <v>N</v>
      </c>
      <c r="C860" t="str">
        <f>IF(ISERROR(VLOOKUP(E860, BibleInEveryLanguageTexts!A:A, 1, FALSE)), "N", "Y")</f>
        <v>N</v>
      </c>
      <c r="D860" t="str">
        <f t="shared" si="26"/>
        <v>X</v>
      </c>
      <c r="E860" t="s">
        <v>5810</v>
      </c>
      <c r="F860" t="s">
        <v>5811</v>
      </c>
      <c r="G860" t="s">
        <v>20</v>
      </c>
      <c r="H860" t="s">
        <v>5812</v>
      </c>
      <c r="I860" t="s">
        <v>2661</v>
      </c>
      <c r="J860" t="str">
        <f>IF(0 = IFERROR(VLOOKUP(DBL_FullList!I860, ContactsDbl!B:D, 2, FALSE), ""), "", IFERROR(VLOOKUP(DBL_FullList!I860, ContactsDbl!B:D, 2, FALSE), ""))</f>
        <v>dbladmin_intl@sil.org</v>
      </c>
      <c r="K860" t="str">
        <f>IF(0 = IFERROR(VLOOKUP(DBL_FullList!I860,ContactsDbl!B:D, 3, FALSE), ""), "", IFERROR(VLOOKUP(DBL_FullList!I860, ContactsDbl!B:D, 3, FALSE), ""))</f>
        <v>http://www.wycliffe.org</v>
      </c>
      <c r="L860">
        <f t="shared" si="27"/>
        <v>2</v>
      </c>
    </row>
    <row r="861" spans="1:12" x14ac:dyDescent="0.25">
      <c r="A861" t="s">
        <v>5813</v>
      </c>
      <c r="B861" t="str">
        <f>IF(ISERROR(VLOOKUP(F861,STEP!A:A, 1, FALSE)), "N", "Y")</f>
        <v>N</v>
      </c>
      <c r="C861" t="str">
        <f>IF(ISERROR(VLOOKUP(E861, BibleInEveryLanguageTexts!A:A, 1, FALSE)), "N", "Y")</f>
        <v>N</v>
      </c>
      <c r="D861" t="str">
        <f t="shared" si="26"/>
        <v>X</v>
      </c>
      <c r="E861" t="s">
        <v>5814</v>
      </c>
      <c r="F861" t="s">
        <v>5815</v>
      </c>
      <c r="G861" t="s">
        <v>171</v>
      </c>
      <c r="H861" t="s">
        <v>5816</v>
      </c>
      <c r="I861" t="s">
        <v>168</v>
      </c>
      <c r="J861" t="str">
        <f>IF(0 = IFERROR(VLOOKUP(DBL_FullList!I861, ContactsDbl!B:D, 2, FALSE), ""), "", IFERROR(VLOOKUP(DBL_FullList!I861, ContactsDbl!B:D, 2, FALSE), ""))</f>
        <v>admin@biblesociety-ethiopia.org</v>
      </c>
      <c r="K861" t="str">
        <f>IF(0 = IFERROR(VLOOKUP(DBL_FullList!I861,ContactsDbl!B:D, 3, FALSE), ""), "", IFERROR(VLOOKUP(DBL_FullList!I861, ContactsDbl!B:D, 3, FALSE), ""))</f>
        <v>http://biblesociety-ethiopia.org</v>
      </c>
      <c r="L861">
        <f t="shared" si="27"/>
        <v>2</v>
      </c>
    </row>
    <row r="862" spans="1:12" x14ac:dyDescent="0.25">
      <c r="A862" t="s">
        <v>295</v>
      </c>
      <c r="B862" t="str">
        <f>IF(ISERROR(VLOOKUP(F862,STEP!A:A, 1, FALSE)), "N", "Y")</f>
        <v>N</v>
      </c>
      <c r="C862" t="str">
        <f>IF(ISERROR(VLOOKUP(E862, BibleInEveryLanguageTexts!A:A, 1, FALSE)), "N", "Y")</f>
        <v>Y</v>
      </c>
      <c r="D862" t="str">
        <f t="shared" si="26"/>
        <v/>
      </c>
      <c r="E862" t="s">
        <v>12</v>
      </c>
      <c r="F862" t="s">
        <v>10</v>
      </c>
      <c r="G862" t="s">
        <v>27</v>
      </c>
      <c r="H862" t="s">
        <v>294</v>
      </c>
      <c r="I862" t="s">
        <v>24</v>
      </c>
      <c r="J862" t="str">
        <f>IF(0 = IFERROR(VLOOKUP(DBL_FullList!I862, ContactsDbl!B:D, 2, FALSE), ""), "", IFERROR(VLOOKUP(DBL_FullList!I862, ContactsDbl!B:D, 2, FALSE), ""))</f>
        <v>Michael@eBible.org</v>
      </c>
      <c r="K862" t="str">
        <f>IF(0 = IFERROR(VLOOKUP(DBL_FullList!I862,ContactsDbl!B:D, 3, FALSE), ""), "", IFERROR(VLOOKUP(DBL_FullList!I862, ContactsDbl!B:D, 3, FALSE), ""))</f>
        <v>http://eBible.org</v>
      </c>
      <c r="L862">
        <f t="shared" si="27"/>
        <v>2</v>
      </c>
    </row>
    <row r="863" spans="1:12" x14ac:dyDescent="0.25">
      <c r="A863" t="s">
        <v>5817</v>
      </c>
      <c r="B863" t="str">
        <f>IF(ISERROR(VLOOKUP(F863,STEP!A:A, 1, FALSE)), "N", "Y")</f>
        <v>N</v>
      </c>
      <c r="C863" t="str">
        <f>IF(ISERROR(VLOOKUP(E863, BibleInEveryLanguageTexts!A:A, 1, FALSE)), "N", "Y")</f>
        <v>N</v>
      </c>
      <c r="D863" t="str">
        <f t="shared" si="26"/>
        <v>X</v>
      </c>
      <c r="E863" t="s">
        <v>5818</v>
      </c>
      <c r="F863" t="s">
        <v>3846</v>
      </c>
      <c r="G863" t="s">
        <v>27</v>
      </c>
      <c r="H863" t="s">
        <v>5819</v>
      </c>
      <c r="I863" t="s">
        <v>2563</v>
      </c>
      <c r="J863" t="str">
        <f>IF(0 = IFERROR(VLOOKUP(DBL_FullList!I863, ContactsDbl!B:D, 2, FALSE), ""), "", IFERROR(VLOOKUP(DBL_FullList!I863, ContactsDbl!B:D, 2, FALSE), ""))</f>
        <v/>
      </c>
      <c r="K863" t="str">
        <f>IF(0 = IFERROR(VLOOKUP(DBL_FullList!I863,ContactsDbl!B:D, 3, FALSE), ""), "", IFERROR(VLOOKUP(DBL_FullList!I863, ContactsDbl!B:D, 3, FALSE), ""))</f>
        <v>http://www.scottishbiblesociety.org</v>
      </c>
      <c r="L863">
        <f t="shared" si="27"/>
        <v>1</v>
      </c>
    </row>
    <row r="864" spans="1:12" x14ac:dyDescent="0.25">
      <c r="A864" t="s">
        <v>5820</v>
      </c>
      <c r="B864" t="str">
        <f>IF(ISERROR(VLOOKUP(F864,STEP!A:A, 1, FALSE)), "N", "Y")</f>
        <v>N</v>
      </c>
      <c r="C864" t="str">
        <f>IF(ISERROR(VLOOKUP(E864, BibleInEveryLanguageTexts!A:A, 1, FALSE)), "N", "Y")</f>
        <v>N</v>
      </c>
      <c r="D864" t="str">
        <f t="shared" si="26"/>
        <v>X</v>
      </c>
      <c r="E864" t="s">
        <v>5821</v>
      </c>
      <c r="F864" t="s">
        <v>5822</v>
      </c>
      <c r="G864" t="s">
        <v>2738</v>
      </c>
      <c r="H864" t="s">
        <v>5823</v>
      </c>
      <c r="I864" t="s">
        <v>2661</v>
      </c>
      <c r="J864" t="str">
        <f>IF(0 = IFERROR(VLOOKUP(DBL_FullList!I864, ContactsDbl!B:D, 2, FALSE), ""), "", IFERROR(VLOOKUP(DBL_FullList!I864, ContactsDbl!B:D, 2, FALSE), ""))</f>
        <v>dbladmin_intl@sil.org</v>
      </c>
      <c r="K864" t="str">
        <f>IF(0 = IFERROR(VLOOKUP(DBL_FullList!I864,ContactsDbl!B:D, 3, FALSE), ""), "", IFERROR(VLOOKUP(DBL_FullList!I864, ContactsDbl!B:D, 3, FALSE), ""))</f>
        <v>http://www.wycliffe.org</v>
      </c>
      <c r="L864">
        <f t="shared" si="27"/>
        <v>2</v>
      </c>
    </row>
    <row r="865" spans="1:12" x14ac:dyDescent="0.25">
      <c r="A865" t="s">
        <v>5824</v>
      </c>
      <c r="B865" t="str">
        <f>IF(ISERROR(VLOOKUP(F865,STEP!A:A, 1, FALSE)), "N", "Y")</f>
        <v>N</v>
      </c>
      <c r="C865" t="str">
        <f>IF(ISERROR(VLOOKUP(E865, BibleInEveryLanguageTexts!A:A, 1, FALSE)), "N", "Y")</f>
        <v>N</v>
      </c>
      <c r="D865" t="str">
        <f t="shared" si="26"/>
        <v>X</v>
      </c>
      <c r="E865" t="s">
        <v>5825</v>
      </c>
      <c r="F865" t="s">
        <v>5826</v>
      </c>
      <c r="G865" t="s">
        <v>2738</v>
      </c>
      <c r="H865" t="s">
        <v>5827</v>
      </c>
      <c r="I865" t="s">
        <v>2661</v>
      </c>
      <c r="J865" t="str">
        <f>IF(0 = IFERROR(VLOOKUP(DBL_FullList!I865, ContactsDbl!B:D, 2, FALSE), ""), "", IFERROR(VLOOKUP(DBL_FullList!I865, ContactsDbl!B:D, 2, FALSE), ""))</f>
        <v>dbladmin_intl@sil.org</v>
      </c>
      <c r="K865" t="str">
        <f>IF(0 = IFERROR(VLOOKUP(DBL_FullList!I865,ContactsDbl!B:D, 3, FALSE), ""), "", IFERROR(VLOOKUP(DBL_FullList!I865, ContactsDbl!B:D, 3, FALSE), ""))</f>
        <v>http://www.wycliffe.org</v>
      </c>
      <c r="L865">
        <f t="shared" si="27"/>
        <v>2</v>
      </c>
    </row>
    <row r="866" spans="1:12" x14ac:dyDescent="0.25">
      <c r="A866" t="s">
        <v>5828</v>
      </c>
      <c r="B866" t="str">
        <f>IF(ISERROR(VLOOKUP(F866,STEP!A:A, 1, FALSE)), "N", "Y")</f>
        <v>N</v>
      </c>
      <c r="C866" t="str">
        <f>IF(ISERROR(VLOOKUP(E866, BibleInEveryLanguageTexts!A:A, 1, FALSE)), "N", "Y")</f>
        <v>N</v>
      </c>
      <c r="D866" t="str">
        <f t="shared" si="26"/>
        <v>X</v>
      </c>
      <c r="E866" t="s">
        <v>5829</v>
      </c>
      <c r="F866" t="s">
        <v>5830</v>
      </c>
      <c r="G866" t="s">
        <v>3281</v>
      </c>
      <c r="H866" t="s">
        <v>5831</v>
      </c>
      <c r="I866" t="s">
        <v>2417</v>
      </c>
      <c r="J866" t="str">
        <f>IF(0 = IFERROR(VLOOKUP(DBL_FullList!I866, ContactsDbl!B:D, 2, FALSE), ""), "", IFERROR(VLOOKUP(DBL_FullList!I866, ContactsDbl!B:D, 2, FALSE), ""))</f>
        <v>mathewpunnoose@biblemalaysia.org</v>
      </c>
      <c r="K866" t="str">
        <f>IF(0 = IFERROR(VLOOKUP(DBL_FullList!I866,ContactsDbl!B:D, 3, FALSE), ""), "", IFERROR(VLOOKUP(DBL_FullList!I866, ContactsDbl!B:D, 3, FALSE), ""))</f>
        <v>http://www.bible.org.my/</v>
      </c>
      <c r="L866">
        <f t="shared" si="27"/>
        <v>2</v>
      </c>
    </row>
    <row r="867" spans="1:12" x14ac:dyDescent="0.25">
      <c r="A867" t="s">
        <v>5832</v>
      </c>
      <c r="B867" t="str">
        <f>IF(ISERROR(VLOOKUP(F867,STEP!A:A, 1, FALSE)), "N", "Y")</f>
        <v>N</v>
      </c>
      <c r="C867" t="str">
        <f>IF(ISERROR(VLOOKUP(E867, BibleInEveryLanguageTexts!A:A, 1, FALSE)), "N", "Y")</f>
        <v>N</v>
      </c>
      <c r="D867" t="str">
        <f t="shared" si="26"/>
        <v>X</v>
      </c>
      <c r="E867" t="s">
        <v>5833</v>
      </c>
      <c r="F867" t="s">
        <v>5834</v>
      </c>
      <c r="G867" t="s">
        <v>4253</v>
      </c>
      <c r="H867" t="s">
        <v>5835</v>
      </c>
      <c r="I867" t="s">
        <v>2513</v>
      </c>
      <c r="J867" t="str">
        <f>IF(0 = IFERROR(VLOOKUP(DBL_FullList!I867, ContactsDbl!B:D, 2, FALSE), ""), "", IFERROR(VLOOKUP(DBL_FullList!I867, ContactsDbl!B:D, 2, FALSE), ""))</f>
        <v/>
      </c>
      <c r="K867" t="str">
        <f>IF(0 = IFERROR(VLOOKUP(DBL_FullList!I867,ContactsDbl!B:D, 3, FALSE), ""), "", IFERROR(VLOOKUP(DBL_FullList!I867, ContactsDbl!B:D, 3, FALSE), ""))</f>
        <v>http://www.sociedade-biblica.pt/</v>
      </c>
      <c r="L867">
        <f t="shared" si="27"/>
        <v>1</v>
      </c>
    </row>
    <row r="868" spans="1:12" x14ac:dyDescent="0.25">
      <c r="A868" t="s">
        <v>5836</v>
      </c>
      <c r="B868" t="str">
        <f>IF(ISERROR(VLOOKUP(F868,STEP!A:A, 1, FALSE)), "N", "Y")</f>
        <v>Y</v>
      </c>
      <c r="C868" t="str">
        <f>IF(ISERROR(VLOOKUP(E868, BibleInEveryLanguageTexts!A:A, 1, FALSE)), "N", "Y")</f>
        <v>N</v>
      </c>
      <c r="D868" t="str">
        <f t="shared" si="26"/>
        <v/>
      </c>
      <c r="E868" t="s">
        <v>5837</v>
      </c>
      <c r="F868" t="s">
        <v>5838</v>
      </c>
      <c r="G868" t="s">
        <v>48</v>
      </c>
      <c r="H868" t="s">
        <v>5839</v>
      </c>
      <c r="I868" t="s">
        <v>2661</v>
      </c>
      <c r="J868" t="str">
        <f>IF(0 = IFERROR(VLOOKUP(DBL_FullList!I868, ContactsDbl!B:D, 2, FALSE), ""), "", IFERROR(VLOOKUP(DBL_FullList!I868, ContactsDbl!B:D, 2, FALSE), ""))</f>
        <v>dbladmin_intl@sil.org</v>
      </c>
      <c r="K868" t="str">
        <f>IF(0 = IFERROR(VLOOKUP(DBL_FullList!I868,ContactsDbl!B:D, 3, FALSE), ""), "", IFERROR(VLOOKUP(DBL_FullList!I868, ContactsDbl!B:D, 3, FALSE), ""))</f>
        <v>http://www.wycliffe.org</v>
      </c>
      <c r="L868">
        <f t="shared" si="27"/>
        <v>2</v>
      </c>
    </row>
    <row r="869" spans="1:12" x14ac:dyDescent="0.25">
      <c r="A869" t="s">
        <v>5840</v>
      </c>
      <c r="B869" t="str">
        <f>IF(ISERROR(VLOOKUP(F869,STEP!A:A, 1, FALSE)), "N", "Y")</f>
        <v>N</v>
      </c>
      <c r="C869" t="str">
        <f>IF(ISERROR(VLOOKUP(E869, BibleInEveryLanguageTexts!A:A, 1, FALSE)), "N", "Y")</f>
        <v>N</v>
      </c>
      <c r="D869" t="str">
        <f t="shared" si="26"/>
        <v>X</v>
      </c>
      <c r="E869" t="s">
        <v>5841</v>
      </c>
      <c r="F869" t="s">
        <v>5842</v>
      </c>
      <c r="G869" t="s">
        <v>3065</v>
      </c>
      <c r="H869" t="s">
        <v>5843</v>
      </c>
      <c r="I869" t="s">
        <v>2661</v>
      </c>
      <c r="J869" t="str">
        <f>IF(0 = IFERROR(VLOOKUP(DBL_FullList!I869, ContactsDbl!B:D, 2, FALSE), ""), "", IFERROR(VLOOKUP(DBL_FullList!I869, ContactsDbl!B:D, 2, FALSE), ""))</f>
        <v>dbladmin_intl@sil.org</v>
      </c>
      <c r="K869" t="str">
        <f>IF(0 = IFERROR(VLOOKUP(DBL_FullList!I869,ContactsDbl!B:D, 3, FALSE), ""), "", IFERROR(VLOOKUP(DBL_FullList!I869, ContactsDbl!B:D, 3, FALSE), ""))</f>
        <v>http://www.wycliffe.org</v>
      </c>
      <c r="L869">
        <f t="shared" si="27"/>
        <v>2</v>
      </c>
    </row>
    <row r="870" spans="1:12" x14ac:dyDescent="0.25">
      <c r="A870" t="s">
        <v>5844</v>
      </c>
      <c r="B870" t="str">
        <f>IF(ISERROR(VLOOKUP(F870,STEP!A:A, 1, FALSE)), "N", "Y")</f>
        <v>N</v>
      </c>
      <c r="C870" t="str">
        <f>IF(ISERROR(VLOOKUP(E870, BibleInEveryLanguageTexts!A:A, 1, FALSE)), "N", "Y")</f>
        <v>N</v>
      </c>
      <c r="D870" t="str">
        <f t="shared" si="26"/>
        <v>X</v>
      </c>
      <c r="E870" t="s">
        <v>5845</v>
      </c>
      <c r="F870" t="s">
        <v>5846</v>
      </c>
      <c r="G870" t="s">
        <v>2756</v>
      </c>
      <c r="H870" t="s">
        <v>5847</v>
      </c>
      <c r="I870" t="s">
        <v>2661</v>
      </c>
      <c r="J870" t="str">
        <f>IF(0 = IFERROR(VLOOKUP(DBL_FullList!I870, ContactsDbl!B:D, 2, FALSE), ""), "", IFERROR(VLOOKUP(DBL_FullList!I870, ContactsDbl!B:D, 2, FALSE), ""))</f>
        <v>dbladmin_intl@sil.org</v>
      </c>
      <c r="K870" t="str">
        <f>IF(0 = IFERROR(VLOOKUP(DBL_FullList!I870,ContactsDbl!B:D, 3, FALSE), ""), "", IFERROR(VLOOKUP(DBL_FullList!I870, ContactsDbl!B:D, 3, FALSE), ""))</f>
        <v>http://www.wycliffe.org</v>
      </c>
      <c r="L870">
        <f t="shared" si="27"/>
        <v>2</v>
      </c>
    </row>
    <row r="871" spans="1:12" x14ac:dyDescent="0.25">
      <c r="A871" t="s">
        <v>5848</v>
      </c>
      <c r="B871" t="str">
        <f>IF(ISERROR(VLOOKUP(F871,STEP!A:A, 1, FALSE)), "N", "Y")</f>
        <v>N</v>
      </c>
      <c r="C871" t="str">
        <f>IF(ISERROR(VLOOKUP(E871, BibleInEveryLanguageTexts!A:A, 1, FALSE)), "N", "Y")</f>
        <v>N</v>
      </c>
      <c r="D871" t="str">
        <f t="shared" si="26"/>
        <v>X</v>
      </c>
      <c r="E871" t="s">
        <v>5849</v>
      </c>
      <c r="F871" t="s">
        <v>5850</v>
      </c>
      <c r="G871" t="s">
        <v>2793</v>
      </c>
      <c r="H871" t="s">
        <v>5851</v>
      </c>
      <c r="I871" t="s">
        <v>2661</v>
      </c>
      <c r="J871" t="str">
        <f>IF(0 = IFERROR(VLOOKUP(DBL_FullList!I871, ContactsDbl!B:D, 2, FALSE), ""), "", IFERROR(VLOOKUP(DBL_FullList!I871, ContactsDbl!B:D, 2, FALSE), ""))</f>
        <v>dbladmin_intl@sil.org</v>
      </c>
      <c r="K871" t="str">
        <f>IF(0 = IFERROR(VLOOKUP(DBL_FullList!I871,ContactsDbl!B:D, 3, FALSE), ""), "", IFERROR(VLOOKUP(DBL_FullList!I871, ContactsDbl!B:D, 3, FALSE), ""))</f>
        <v>http://www.wycliffe.org</v>
      </c>
      <c r="L871">
        <f t="shared" si="27"/>
        <v>2</v>
      </c>
    </row>
    <row r="872" spans="1:12" x14ac:dyDescent="0.25">
      <c r="A872" t="s">
        <v>5852</v>
      </c>
      <c r="B872" t="str">
        <f>IF(ISERROR(VLOOKUP(F872,STEP!A:A, 1, FALSE)), "N", "Y")</f>
        <v>Y</v>
      </c>
      <c r="C872" t="str">
        <f>IF(ISERROR(VLOOKUP(E872, BibleInEveryLanguageTexts!A:A, 1, FALSE)), "N", "Y")</f>
        <v>N</v>
      </c>
      <c r="D872" t="str">
        <f t="shared" si="26"/>
        <v/>
      </c>
      <c r="E872" t="s">
        <v>5853</v>
      </c>
      <c r="F872" t="s">
        <v>5854</v>
      </c>
      <c r="G872" t="s">
        <v>48</v>
      </c>
      <c r="H872" t="s">
        <v>5855</v>
      </c>
      <c r="I872" t="s">
        <v>2661</v>
      </c>
      <c r="J872" t="str">
        <f>IF(0 = IFERROR(VLOOKUP(DBL_FullList!I872, ContactsDbl!B:D, 2, FALSE), ""), "", IFERROR(VLOOKUP(DBL_FullList!I872, ContactsDbl!B:D, 2, FALSE), ""))</f>
        <v>dbladmin_intl@sil.org</v>
      </c>
      <c r="K872" t="str">
        <f>IF(0 = IFERROR(VLOOKUP(DBL_FullList!I872,ContactsDbl!B:D, 3, FALSE), ""), "", IFERROR(VLOOKUP(DBL_FullList!I872, ContactsDbl!B:D, 3, FALSE), ""))</f>
        <v>http://www.wycliffe.org</v>
      </c>
      <c r="L872">
        <f t="shared" si="27"/>
        <v>2</v>
      </c>
    </row>
    <row r="873" spans="1:12" x14ac:dyDescent="0.25">
      <c r="A873" t="s">
        <v>5856</v>
      </c>
      <c r="B873" t="str">
        <f>IF(ISERROR(VLOOKUP(F873,STEP!A:A, 1, FALSE)), "N", "Y")</f>
        <v>N</v>
      </c>
      <c r="C873" t="str">
        <f>IF(ISERROR(VLOOKUP(E873, BibleInEveryLanguageTexts!A:A, 1, FALSE)), "N", "Y")</f>
        <v>N</v>
      </c>
      <c r="D873" t="str">
        <f t="shared" si="26"/>
        <v>X</v>
      </c>
      <c r="E873" t="s">
        <v>5857</v>
      </c>
      <c r="F873" t="s">
        <v>5858</v>
      </c>
      <c r="G873" t="s">
        <v>2743</v>
      </c>
      <c r="H873" t="s">
        <v>5859</v>
      </c>
      <c r="I873" t="s">
        <v>2465</v>
      </c>
      <c r="J873" t="str">
        <f>IF(0 = IFERROR(VLOOKUP(DBL_FullList!I873, ContactsDbl!B:D, 2, FALSE), ""), "", IFERROR(VLOOKUP(DBL_FullList!I873, ContactsDbl!B:D, 2, FALSE), ""))</f>
        <v>heidi_rosendall@sil.org</v>
      </c>
      <c r="K873" t="str">
        <f>IF(0 = IFERROR(VLOOKUP(DBL_FullList!I873,ContactsDbl!B:D, 3, FALSE), ""), "", IFERROR(VLOOKUP(DBL_FullList!I873, ContactsDbl!B:D, 3, FALSE), ""))</f>
        <v>http://wycliffe.net</v>
      </c>
      <c r="L873">
        <f t="shared" si="27"/>
        <v>2</v>
      </c>
    </row>
    <row r="874" spans="1:12" x14ac:dyDescent="0.25">
      <c r="A874" t="s">
        <v>5860</v>
      </c>
      <c r="B874" t="str">
        <f>IF(ISERROR(VLOOKUP(F874,STEP!A:A, 1, FALSE)), "N", "Y")</f>
        <v>N</v>
      </c>
      <c r="C874" t="str">
        <f>IF(ISERROR(VLOOKUP(E874, BibleInEveryLanguageTexts!A:A, 1, FALSE)), "N", "Y")</f>
        <v>N</v>
      </c>
      <c r="D874" t="str">
        <f t="shared" si="26"/>
        <v>X</v>
      </c>
      <c r="E874" t="s">
        <v>4118</v>
      </c>
      <c r="F874" t="s">
        <v>4119</v>
      </c>
      <c r="G874" t="s">
        <v>2885</v>
      </c>
      <c r="H874" t="s">
        <v>5861</v>
      </c>
      <c r="I874" t="s">
        <v>2182</v>
      </c>
      <c r="J874" t="str">
        <f>IF(0 = IFERROR(VLOOKUP(DBL_FullList!I874, ContactsDbl!B:D, 2, FALSE), ""), "", IFERROR(VLOOKUP(DBL_FullList!I874, ContactsDbl!B:D, 2, FALSE), ""))</f>
        <v/>
      </c>
      <c r="K874" t="str">
        <f>IF(0 = IFERROR(VLOOKUP(DBL_FullList!I874,ContactsDbl!B:D, 3, FALSE), ""), "", IFERROR(VLOOKUP(DBL_FullList!I874, ContactsDbl!B:D, 3, FALSE), ""))</f>
        <v>http://www.biblesociety-cd.org/</v>
      </c>
      <c r="L874">
        <f t="shared" si="27"/>
        <v>1</v>
      </c>
    </row>
    <row r="875" spans="1:12" x14ac:dyDescent="0.25">
      <c r="A875" t="s">
        <v>5862</v>
      </c>
      <c r="B875" t="str">
        <f>IF(ISERROR(VLOOKUP(F875,STEP!A:A, 1, FALSE)), "N", "Y")</f>
        <v>Y</v>
      </c>
      <c r="C875" t="str">
        <f>IF(ISERROR(VLOOKUP(E875, BibleInEveryLanguageTexts!A:A, 1, FALSE)), "N", "Y")</f>
        <v>N</v>
      </c>
      <c r="D875" t="str">
        <f t="shared" si="26"/>
        <v/>
      </c>
      <c r="E875" t="s">
        <v>2791</v>
      </c>
      <c r="F875" t="s">
        <v>2792</v>
      </c>
      <c r="G875" t="s">
        <v>2793</v>
      </c>
      <c r="H875" t="s">
        <v>5863</v>
      </c>
      <c r="I875" t="s">
        <v>2661</v>
      </c>
      <c r="J875" t="str">
        <f>IF(0 = IFERROR(VLOOKUP(DBL_FullList!I875, ContactsDbl!B:D, 2, FALSE), ""), "", IFERROR(VLOOKUP(DBL_FullList!I875, ContactsDbl!B:D, 2, FALSE), ""))</f>
        <v>dbladmin_intl@sil.org</v>
      </c>
      <c r="K875" t="str">
        <f>IF(0 = IFERROR(VLOOKUP(DBL_FullList!I875,ContactsDbl!B:D, 3, FALSE), ""), "", IFERROR(VLOOKUP(DBL_FullList!I875, ContactsDbl!B:D, 3, FALSE), ""))</f>
        <v>http://www.wycliffe.org</v>
      </c>
      <c r="L875">
        <f t="shared" si="27"/>
        <v>2</v>
      </c>
    </row>
    <row r="876" spans="1:12" x14ac:dyDescent="0.25">
      <c r="A876" t="s">
        <v>5864</v>
      </c>
      <c r="B876" t="str">
        <f>IF(ISERROR(VLOOKUP(F876,STEP!A:A, 1, FALSE)), "N", "Y")</f>
        <v>N</v>
      </c>
      <c r="C876" t="str">
        <f>IF(ISERROR(VLOOKUP(E876, BibleInEveryLanguageTexts!A:A, 1, FALSE)), "N", "Y")</f>
        <v>N</v>
      </c>
      <c r="D876" t="str">
        <f t="shared" si="26"/>
        <v>X</v>
      </c>
      <c r="E876" t="s">
        <v>5865</v>
      </c>
      <c r="F876" t="s">
        <v>5866</v>
      </c>
      <c r="G876" t="s">
        <v>11</v>
      </c>
      <c r="H876" t="s">
        <v>5867</v>
      </c>
      <c r="I876" t="s">
        <v>2661</v>
      </c>
      <c r="J876" t="str">
        <f>IF(0 = IFERROR(VLOOKUP(DBL_FullList!I876, ContactsDbl!B:D, 2, FALSE), ""), "", IFERROR(VLOOKUP(DBL_FullList!I876, ContactsDbl!B:D, 2, FALSE), ""))</f>
        <v>dbladmin_intl@sil.org</v>
      </c>
      <c r="K876" t="str">
        <f>IF(0 = IFERROR(VLOOKUP(DBL_FullList!I876,ContactsDbl!B:D, 3, FALSE), ""), "", IFERROR(VLOOKUP(DBL_FullList!I876, ContactsDbl!B:D, 3, FALSE), ""))</f>
        <v>http://www.wycliffe.org</v>
      </c>
      <c r="L876">
        <f t="shared" si="27"/>
        <v>2</v>
      </c>
    </row>
    <row r="877" spans="1:12" x14ac:dyDescent="0.25">
      <c r="A877" t="s">
        <v>5868</v>
      </c>
      <c r="B877" t="str">
        <f>IF(ISERROR(VLOOKUP(F877,STEP!A:A, 1, FALSE)), "N", "Y")</f>
        <v>N</v>
      </c>
      <c r="C877" t="str">
        <f>IF(ISERROR(VLOOKUP(E877, BibleInEveryLanguageTexts!A:A, 1, FALSE)), "N", "Y")</f>
        <v>N</v>
      </c>
      <c r="D877" t="str">
        <f t="shared" si="26"/>
        <v>X</v>
      </c>
      <c r="E877" t="s">
        <v>5869</v>
      </c>
      <c r="F877" t="s">
        <v>5870</v>
      </c>
      <c r="G877" t="s">
        <v>2756</v>
      </c>
      <c r="H877" t="s">
        <v>5871</v>
      </c>
      <c r="I877" t="s">
        <v>2661</v>
      </c>
      <c r="J877" t="str">
        <f>IF(0 = IFERROR(VLOOKUP(DBL_FullList!I877, ContactsDbl!B:D, 2, FALSE), ""), "", IFERROR(VLOOKUP(DBL_FullList!I877, ContactsDbl!B:D, 2, FALSE), ""))</f>
        <v>dbladmin_intl@sil.org</v>
      </c>
      <c r="K877" t="str">
        <f>IF(0 = IFERROR(VLOOKUP(DBL_FullList!I877,ContactsDbl!B:D, 3, FALSE), ""), "", IFERROR(VLOOKUP(DBL_FullList!I877, ContactsDbl!B:D, 3, FALSE), ""))</f>
        <v>http://www.wycliffe.org</v>
      </c>
      <c r="L877">
        <f t="shared" si="27"/>
        <v>2</v>
      </c>
    </row>
    <row r="878" spans="1:12" x14ac:dyDescent="0.25">
      <c r="A878" t="s">
        <v>5872</v>
      </c>
      <c r="B878" t="str">
        <f>IF(ISERROR(VLOOKUP(F878,STEP!A:A, 1, FALSE)), "N", "Y")</f>
        <v>N</v>
      </c>
      <c r="C878" t="str">
        <f>IF(ISERROR(VLOOKUP(E878, BibleInEveryLanguageTexts!A:A, 1, FALSE)), "N", "Y")</f>
        <v>N</v>
      </c>
      <c r="D878" t="str">
        <f t="shared" si="26"/>
        <v>X</v>
      </c>
      <c r="E878" t="s">
        <v>5873</v>
      </c>
      <c r="F878" t="s">
        <v>5874</v>
      </c>
      <c r="G878" t="s">
        <v>110</v>
      </c>
      <c r="H878" t="s">
        <v>5875</v>
      </c>
      <c r="I878" t="s">
        <v>2661</v>
      </c>
      <c r="J878" t="str">
        <f>IF(0 = IFERROR(VLOOKUP(DBL_FullList!I878, ContactsDbl!B:D, 2, FALSE), ""), "", IFERROR(VLOOKUP(DBL_FullList!I878, ContactsDbl!B:D, 2, FALSE), ""))</f>
        <v>dbladmin_intl@sil.org</v>
      </c>
      <c r="K878" t="str">
        <f>IF(0 = IFERROR(VLOOKUP(DBL_FullList!I878,ContactsDbl!B:D, 3, FALSE), ""), "", IFERROR(VLOOKUP(DBL_FullList!I878, ContactsDbl!B:D, 3, FALSE), ""))</f>
        <v>http://www.wycliffe.org</v>
      </c>
      <c r="L878">
        <f t="shared" si="27"/>
        <v>2</v>
      </c>
    </row>
    <row r="879" spans="1:12" x14ac:dyDescent="0.25">
      <c r="A879" t="s">
        <v>5876</v>
      </c>
      <c r="B879" t="str">
        <f>IF(ISERROR(VLOOKUP(F879,STEP!A:A, 1, FALSE)), "N", "Y")</f>
        <v>N</v>
      </c>
      <c r="C879" t="str">
        <f>IF(ISERROR(VLOOKUP(E879, BibleInEveryLanguageTexts!A:A, 1, FALSE)), "N", "Y")</f>
        <v>N</v>
      </c>
      <c r="D879" t="str">
        <f t="shared" si="26"/>
        <v>X</v>
      </c>
      <c r="E879" t="s">
        <v>5877</v>
      </c>
      <c r="F879" t="s">
        <v>5878</v>
      </c>
      <c r="G879" t="s">
        <v>171</v>
      </c>
      <c r="H879" t="s">
        <v>5879</v>
      </c>
      <c r="I879" t="s">
        <v>168</v>
      </c>
      <c r="J879" t="str">
        <f>IF(0 = IFERROR(VLOOKUP(DBL_FullList!I879, ContactsDbl!B:D, 2, FALSE), ""), "", IFERROR(VLOOKUP(DBL_FullList!I879, ContactsDbl!B:D, 2, FALSE), ""))</f>
        <v>admin@biblesociety-ethiopia.org</v>
      </c>
      <c r="K879" t="str">
        <f>IF(0 = IFERROR(VLOOKUP(DBL_FullList!I879,ContactsDbl!B:D, 3, FALSE), ""), "", IFERROR(VLOOKUP(DBL_FullList!I879, ContactsDbl!B:D, 3, FALSE), ""))</f>
        <v>http://biblesociety-ethiopia.org</v>
      </c>
      <c r="L879">
        <f t="shared" si="27"/>
        <v>2</v>
      </c>
    </row>
    <row r="880" spans="1:12" x14ac:dyDescent="0.25">
      <c r="A880" t="s">
        <v>5880</v>
      </c>
      <c r="B880" t="str">
        <f>IF(ISERROR(VLOOKUP(F880,STEP!A:A, 1, FALSE)), "N", "Y")</f>
        <v>N</v>
      </c>
      <c r="C880" t="str">
        <f>IF(ISERROR(VLOOKUP(E880, BibleInEveryLanguageTexts!A:A, 1, FALSE)), "N", "Y")</f>
        <v>N</v>
      </c>
      <c r="D880" t="str">
        <f t="shared" si="26"/>
        <v>X</v>
      </c>
      <c r="E880" t="s">
        <v>5881</v>
      </c>
      <c r="F880" t="s">
        <v>5882</v>
      </c>
      <c r="G880" t="s">
        <v>2880</v>
      </c>
      <c r="H880" t="s">
        <v>5883</v>
      </c>
      <c r="I880" t="s">
        <v>2661</v>
      </c>
      <c r="J880" t="str">
        <f>IF(0 = IFERROR(VLOOKUP(DBL_FullList!I880, ContactsDbl!B:D, 2, FALSE), ""), "", IFERROR(VLOOKUP(DBL_FullList!I880, ContactsDbl!B:D, 2, FALSE), ""))</f>
        <v>dbladmin_intl@sil.org</v>
      </c>
      <c r="K880" t="str">
        <f>IF(0 = IFERROR(VLOOKUP(DBL_FullList!I880,ContactsDbl!B:D, 3, FALSE), ""), "", IFERROR(VLOOKUP(DBL_FullList!I880, ContactsDbl!B:D, 3, FALSE), ""))</f>
        <v>http://www.wycliffe.org</v>
      </c>
      <c r="L880">
        <f t="shared" si="27"/>
        <v>2</v>
      </c>
    </row>
    <row r="881" spans="1:12" x14ac:dyDescent="0.25">
      <c r="A881" t="s">
        <v>5884</v>
      </c>
      <c r="B881" t="str">
        <f>IF(ISERROR(VLOOKUP(F881,STEP!A:A, 1, FALSE)), "N", "Y")</f>
        <v>N</v>
      </c>
      <c r="C881" t="str">
        <f>IF(ISERROR(VLOOKUP(E881, BibleInEveryLanguageTexts!A:A, 1, FALSE)), "N", "Y")</f>
        <v>N</v>
      </c>
      <c r="D881" t="str">
        <f t="shared" si="26"/>
        <v>X</v>
      </c>
      <c r="E881" t="s">
        <v>5885</v>
      </c>
      <c r="F881" t="s">
        <v>5886</v>
      </c>
      <c r="G881" t="s">
        <v>3124</v>
      </c>
      <c r="H881" t="s">
        <v>5887</v>
      </c>
      <c r="I881" t="s">
        <v>2661</v>
      </c>
      <c r="J881" t="str">
        <f>IF(0 = IFERROR(VLOOKUP(DBL_FullList!I881, ContactsDbl!B:D, 2, FALSE), ""), "", IFERROR(VLOOKUP(DBL_FullList!I881, ContactsDbl!B:D, 2, FALSE), ""))</f>
        <v>dbladmin_intl@sil.org</v>
      </c>
      <c r="K881" t="str">
        <f>IF(0 = IFERROR(VLOOKUP(DBL_FullList!I881,ContactsDbl!B:D, 3, FALSE), ""), "", IFERROR(VLOOKUP(DBL_FullList!I881, ContactsDbl!B:D, 3, FALSE), ""))</f>
        <v>http://www.wycliffe.org</v>
      </c>
      <c r="L881">
        <f t="shared" si="27"/>
        <v>2</v>
      </c>
    </row>
    <row r="882" spans="1:12" x14ac:dyDescent="0.25">
      <c r="A882" t="s">
        <v>5888</v>
      </c>
      <c r="B882" t="str">
        <f>IF(ISERROR(VLOOKUP(F882,STEP!A:A, 1, FALSE)), "N", "Y")</f>
        <v>Y</v>
      </c>
      <c r="C882" t="str">
        <f>IF(ISERROR(VLOOKUP(E882, BibleInEveryLanguageTexts!A:A, 1, FALSE)), "N", "Y")</f>
        <v>N</v>
      </c>
      <c r="D882" t="str">
        <f t="shared" si="26"/>
        <v/>
      </c>
      <c r="E882" t="s">
        <v>5889</v>
      </c>
      <c r="F882" t="s">
        <v>5890</v>
      </c>
      <c r="G882" t="s">
        <v>48</v>
      </c>
      <c r="H882" t="s">
        <v>5891</v>
      </c>
      <c r="I882" t="s">
        <v>2661</v>
      </c>
      <c r="J882" t="str">
        <f>IF(0 = IFERROR(VLOOKUP(DBL_FullList!I882, ContactsDbl!B:D, 2, FALSE), ""), "", IFERROR(VLOOKUP(DBL_FullList!I882, ContactsDbl!B:D, 2, FALSE), ""))</f>
        <v>dbladmin_intl@sil.org</v>
      </c>
      <c r="K882" t="str">
        <f>IF(0 = IFERROR(VLOOKUP(DBL_FullList!I882,ContactsDbl!B:D, 3, FALSE), ""), "", IFERROR(VLOOKUP(DBL_FullList!I882, ContactsDbl!B:D, 3, FALSE), ""))</f>
        <v>http://www.wycliffe.org</v>
      </c>
      <c r="L882">
        <f t="shared" si="27"/>
        <v>2</v>
      </c>
    </row>
    <row r="883" spans="1:12" x14ac:dyDescent="0.25">
      <c r="A883" t="s">
        <v>5892</v>
      </c>
      <c r="B883" t="str">
        <f>IF(ISERROR(VLOOKUP(F883,STEP!A:A, 1, FALSE)), "N", "Y")</f>
        <v>N</v>
      </c>
      <c r="C883" t="str">
        <f>IF(ISERROR(VLOOKUP(E883, BibleInEveryLanguageTexts!A:A, 1, FALSE)), "N", "Y")</f>
        <v>N</v>
      </c>
      <c r="D883" t="str">
        <f t="shared" si="26"/>
        <v>X</v>
      </c>
      <c r="E883" t="s">
        <v>4072</v>
      </c>
      <c r="F883" t="s">
        <v>4073</v>
      </c>
      <c r="G883" t="s">
        <v>48</v>
      </c>
      <c r="H883" t="s">
        <v>5893</v>
      </c>
      <c r="I883" t="s">
        <v>2661</v>
      </c>
      <c r="J883" t="str">
        <f>IF(0 = IFERROR(VLOOKUP(DBL_FullList!I883, ContactsDbl!B:D, 2, FALSE), ""), "", IFERROR(VLOOKUP(DBL_FullList!I883, ContactsDbl!B:D, 2, FALSE), ""))</f>
        <v>dbladmin_intl@sil.org</v>
      </c>
      <c r="K883" t="str">
        <f>IF(0 = IFERROR(VLOOKUP(DBL_FullList!I883,ContactsDbl!B:D, 3, FALSE), ""), "", IFERROR(VLOOKUP(DBL_FullList!I883, ContactsDbl!B:D, 3, FALSE), ""))</f>
        <v>http://www.wycliffe.org</v>
      </c>
      <c r="L883">
        <f t="shared" si="27"/>
        <v>2</v>
      </c>
    </row>
    <row r="884" spans="1:12" x14ac:dyDescent="0.25">
      <c r="A884" t="s">
        <v>5894</v>
      </c>
      <c r="B884" t="str">
        <f>IF(ISERROR(VLOOKUP(F884,STEP!A:A, 1, FALSE)), "N", "Y")</f>
        <v>N</v>
      </c>
      <c r="C884" t="str">
        <f>IF(ISERROR(VLOOKUP(E884, BibleInEveryLanguageTexts!A:A, 1, FALSE)), "N", "Y")</f>
        <v>N</v>
      </c>
      <c r="D884" t="str">
        <f t="shared" si="26"/>
        <v>X</v>
      </c>
      <c r="E884" t="s">
        <v>5895</v>
      </c>
      <c r="F884" t="s">
        <v>5896</v>
      </c>
      <c r="G884" t="s">
        <v>2838</v>
      </c>
      <c r="H884" t="s">
        <v>5897</v>
      </c>
      <c r="I884" t="s">
        <v>2661</v>
      </c>
      <c r="J884" t="str">
        <f>IF(0 = IFERROR(VLOOKUP(DBL_FullList!I884, ContactsDbl!B:D, 2, FALSE), ""), "", IFERROR(VLOOKUP(DBL_FullList!I884, ContactsDbl!B:D, 2, FALSE), ""))</f>
        <v>dbladmin_intl@sil.org</v>
      </c>
      <c r="K884" t="str">
        <f>IF(0 = IFERROR(VLOOKUP(DBL_FullList!I884,ContactsDbl!B:D, 3, FALSE), ""), "", IFERROR(VLOOKUP(DBL_FullList!I884, ContactsDbl!B:D, 3, FALSE), ""))</f>
        <v>http://www.wycliffe.org</v>
      </c>
      <c r="L884">
        <f t="shared" si="27"/>
        <v>2</v>
      </c>
    </row>
    <row r="885" spans="1:12" x14ac:dyDescent="0.25">
      <c r="A885" t="s">
        <v>5898</v>
      </c>
      <c r="B885" t="str">
        <f>IF(ISERROR(VLOOKUP(F885,STEP!A:A, 1, FALSE)), "N", "Y")</f>
        <v>N</v>
      </c>
      <c r="C885" t="str">
        <f>IF(ISERROR(VLOOKUP(E885, BibleInEveryLanguageTexts!A:A, 1, FALSE)), "N", "Y")</f>
        <v>N</v>
      </c>
      <c r="D885" t="str">
        <f t="shared" si="26"/>
        <v>X</v>
      </c>
      <c r="E885" t="s">
        <v>1551</v>
      </c>
      <c r="F885" t="s">
        <v>5899</v>
      </c>
      <c r="G885" t="s">
        <v>5900</v>
      </c>
      <c r="H885" t="s">
        <v>5901</v>
      </c>
      <c r="I885" t="s">
        <v>2651</v>
      </c>
      <c r="J885" t="str">
        <f>IF(0 = IFERROR(VLOOKUP(DBL_FullList!I885, ContactsDbl!B:D, 2, FALSE), ""), "", IFERROR(VLOOKUP(DBL_FullList!I885, ContactsDbl!B:D, 2, FALSE), ""))</f>
        <v>info@ukrbs.org</v>
      </c>
      <c r="K885" t="str">
        <f>IF(0 = IFERROR(VLOOKUP(DBL_FullList!I885,ContactsDbl!B:D, 3, FALSE), ""), "", IFERROR(VLOOKUP(DBL_FullList!I885, ContactsDbl!B:D, 3, FALSE), ""))</f>
        <v>http://www.ukrbs.org/</v>
      </c>
      <c r="L885">
        <f t="shared" si="27"/>
        <v>2</v>
      </c>
    </row>
    <row r="886" spans="1:12" x14ac:dyDescent="0.25">
      <c r="A886" s="1" t="s">
        <v>5902</v>
      </c>
      <c r="B886" t="str">
        <f>IF(ISERROR(VLOOKUP(F886,STEP!A:A, 1, FALSE)), "N", "Y")</f>
        <v>N</v>
      </c>
      <c r="C886" t="str">
        <f>IF(ISERROR(VLOOKUP(E886, BibleInEveryLanguageTexts!A:A, 1, FALSE)), "N", "Y")</f>
        <v>N</v>
      </c>
      <c r="D886" t="str">
        <f t="shared" si="26"/>
        <v>X</v>
      </c>
      <c r="E886" t="s">
        <v>5903</v>
      </c>
      <c r="F886" t="s">
        <v>5904</v>
      </c>
      <c r="G886" t="s">
        <v>2756</v>
      </c>
      <c r="H886" t="s">
        <v>5905</v>
      </c>
      <c r="I886" t="s">
        <v>2126</v>
      </c>
      <c r="J886" t="str">
        <f>IF(0 = IFERROR(VLOOKUP(DBL_FullList!I886, ContactsDbl!B:D, 2, FALSE), ""), "", IFERROR(VLOOKUP(DBL_FullList!I886, ContactsDbl!B:D, 2, FALSE), ""))</f>
        <v>gluke@biblesocieties.org</v>
      </c>
      <c r="K886" t="str">
        <f>IF(0 = IFERROR(VLOOKUP(DBL_FullList!I886,ContactsDbl!B:D, 3, FALSE), ""), "", IFERROR(VLOOKUP(DBL_FullList!I886, ContactsDbl!B:D, 3, FALSE), ""))</f>
        <v>http://www.biblesociety-cameroon.org/</v>
      </c>
      <c r="L886">
        <f t="shared" si="27"/>
        <v>2</v>
      </c>
    </row>
    <row r="887" spans="1:12" x14ac:dyDescent="0.25">
      <c r="A887" t="s">
        <v>5906</v>
      </c>
      <c r="B887" t="str">
        <f>IF(ISERROR(VLOOKUP(F887,STEP!A:A, 1, FALSE)), "N", "Y")</f>
        <v>N</v>
      </c>
      <c r="C887" t="str">
        <f>IF(ISERROR(VLOOKUP(E887, BibleInEveryLanguageTexts!A:A, 1, FALSE)), "N", "Y")</f>
        <v>N</v>
      </c>
      <c r="D887" t="str">
        <f t="shared" si="26"/>
        <v>X</v>
      </c>
      <c r="E887" t="s">
        <v>1551</v>
      </c>
      <c r="F887" t="s">
        <v>5899</v>
      </c>
      <c r="G887" t="s">
        <v>5900</v>
      </c>
      <c r="H887" t="s">
        <v>5907</v>
      </c>
      <c r="I887" t="s">
        <v>2651</v>
      </c>
      <c r="J887" t="str">
        <f>IF(0 = IFERROR(VLOOKUP(DBL_FullList!I887, ContactsDbl!B:D, 2, FALSE), ""), "", IFERROR(VLOOKUP(DBL_FullList!I887, ContactsDbl!B:D, 2, FALSE), ""))</f>
        <v>info@ukrbs.org</v>
      </c>
      <c r="K887" t="str">
        <f>IF(0 = IFERROR(VLOOKUP(DBL_FullList!I887,ContactsDbl!B:D, 3, FALSE), ""), "", IFERROR(VLOOKUP(DBL_FullList!I887, ContactsDbl!B:D, 3, FALSE), ""))</f>
        <v>http://www.ukrbs.org/</v>
      </c>
      <c r="L887">
        <f t="shared" si="27"/>
        <v>2</v>
      </c>
    </row>
    <row r="888" spans="1:12" x14ac:dyDescent="0.25">
      <c r="A888" t="s">
        <v>5908</v>
      </c>
      <c r="B888" t="str">
        <f>IF(ISERROR(VLOOKUP(F888,STEP!A:A, 1, FALSE)), "N", "Y")</f>
        <v>N</v>
      </c>
      <c r="C888" t="str">
        <f>IF(ISERROR(VLOOKUP(E888, BibleInEveryLanguageTexts!A:A, 1, FALSE)), "N", "Y")</f>
        <v>N</v>
      </c>
      <c r="D888" t="str">
        <f t="shared" si="26"/>
        <v>X</v>
      </c>
      <c r="E888" t="s">
        <v>5909</v>
      </c>
      <c r="F888" t="s">
        <v>5910</v>
      </c>
      <c r="G888" t="s">
        <v>3634</v>
      </c>
      <c r="H888" t="s">
        <v>5911</v>
      </c>
      <c r="I888" t="s">
        <v>2296</v>
      </c>
      <c r="J888" t="str">
        <f>IF(0 = IFERROR(VLOOKUP(DBL_FullList!I888, ContactsDbl!B:D, 2, FALSE), ""), "", IFERROR(VLOOKUP(DBL_FullList!I888, ContactsDbl!B:D, 2, FALSE), ""))</f>
        <v>gjergj@biblesocieties.org</v>
      </c>
      <c r="K888" t="str">
        <f>IF(0 = IFERROR(VLOOKUP(DBL_FullList!I888,ContactsDbl!B:D, 3, FALSE), ""), "", IFERROR(VLOOKUP(DBL_FullList!I888, ContactsDbl!B:D, 3, FALSE), ""))</f>
        <v>http://albanianbiblesociety.com</v>
      </c>
      <c r="L888">
        <f t="shared" si="27"/>
        <v>2</v>
      </c>
    </row>
    <row r="889" spans="1:12" x14ac:dyDescent="0.25">
      <c r="A889" t="s">
        <v>5912</v>
      </c>
      <c r="B889" t="str">
        <f>IF(ISERROR(VLOOKUP(F889,STEP!A:A, 1, FALSE)), "N", "Y")</f>
        <v>N</v>
      </c>
      <c r="C889" t="str">
        <f>IF(ISERROR(VLOOKUP(E889, BibleInEveryLanguageTexts!A:A, 1, FALSE)), "N", "Y")</f>
        <v>N</v>
      </c>
      <c r="D889" t="str">
        <f t="shared" si="26"/>
        <v>X</v>
      </c>
      <c r="E889" t="s">
        <v>5913</v>
      </c>
      <c r="F889" t="s">
        <v>5914</v>
      </c>
      <c r="G889" t="s">
        <v>11</v>
      </c>
      <c r="H889" t="s">
        <v>5915</v>
      </c>
      <c r="I889" t="s">
        <v>1964</v>
      </c>
      <c r="J889" t="str">
        <f>IF(0 = IFERROR(VLOOKUP(DBL_FullList!I889, ContactsDbl!B:D, 2, FALSE), ""), "", IFERROR(VLOOKUP(DBL_FullList!I889, ContactsDbl!B:D, 2, FALSE), ""))</f>
        <v/>
      </c>
      <c r="K889" t="str">
        <f>IF(0 = IFERROR(VLOOKUP(DBL_FullList!I889,ContactsDbl!B:D, 3, FALSE), ""), "", IFERROR(VLOOKUP(DBL_FullList!I889, ContactsDbl!B:D, 3, FALSE), ""))</f>
        <v>http://www.americanbible.org/</v>
      </c>
      <c r="L889">
        <f t="shared" si="27"/>
        <v>1</v>
      </c>
    </row>
    <row r="890" spans="1:12" x14ac:dyDescent="0.25">
      <c r="A890" t="s">
        <v>5916</v>
      </c>
      <c r="B890" t="str">
        <f>IF(ISERROR(VLOOKUP(F890,STEP!A:A, 1, FALSE)), "N", "Y")</f>
        <v>N</v>
      </c>
      <c r="C890" t="str">
        <f>IF(ISERROR(VLOOKUP(E890, BibleInEveryLanguageTexts!A:A, 1, FALSE)), "N", "Y")</f>
        <v>N</v>
      </c>
      <c r="D890" t="str">
        <f t="shared" si="26"/>
        <v>X</v>
      </c>
      <c r="E890" t="s">
        <v>5917</v>
      </c>
      <c r="F890" t="s">
        <v>5918</v>
      </c>
      <c r="G890" t="s">
        <v>2984</v>
      </c>
      <c r="H890" t="s">
        <v>5919</v>
      </c>
      <c r="I890" t="s">
        <v>2456</v>
      </c>
      <c r="J890" t="str">
        <f>IF(0 = IFERROR(VLOOKUP(DBL_FullList!I890, ContactsDbl!B:D, 2, FALSE), ""), "", IFERROR(VLOOKUP(DBL_FullList!I890, ContactsDbl!B:D, 2, FALSE), ""))</f>
        <v/>
      </c>
      <c r="K890" t="str">
        <f>IF(0 = IFERROR(VLOOKUP(DBL_FullList!I890,ContactsDbl!B:D, 3, FALSE), ""), "", IFERROR(VLOOKUP(DBL_FullList!I890, ContactsDbl!B:D, 3, FALSE), ""))</f>
        <v>http://www.myanmarbible.com/</v>
      </c>
      <c r="L890">
        <f t="shared" si="27"/>
        <v>1</v>
      </c>
    </row>
    <row r="891" spans="1:12" x14ac:dyDescent="0.25">
      <c r="A891" t="s">
        <v>5920</v>
      </c>
      <c r="B891" t="str">
        <f>IF(ISERROR(VLOOKUP(F891,STEP!A:A, 1, FALSE)), "N", "Y")</f>
        <v>Y</v>
      </c>
      <c r="C891" t="str">
        <f>IF(ISERROR(VLOOKUP(E891, BibleInEveryLanguageTexts!A:A, 1, FALSE)), "N", "Y")</f>
        <v>N</v>
      </c>
      <c r="D891" t="str">
        <f t="shared" si="26"/>
        <v/>
      </c>
      <c r="E891" t="s">
        <v>5921</v>
      </c>
      <c r="F891" t="s">
        <v>5922</v>
      </c>
      <c r="G891" t="s">
        <v>48</v>
      </c>
      <c r="H891" t="s">
        <v>5923</v>
      </c>
      <c r="I891" t="s">
        <v>2661</v>
      </c>
      <c r="J891" t="str">
        <f>IF(0 = IFERROR(VLOOKUP(DBL_FullList!I891, ContactsDbl!B:D, 2, FALSE), ""), "", IFERROR(VLOOKUP(DBL_FullList!I891, ContactsDbl!B:D, 2, FALSE), ""))</f>
        <v>dbladmin_intl@sil.org</v>
      </c>
      <c r="K891" t="str">
        <f>IF(0 = IFERROR(VLOOKUP(DBL_FullList!I891,ContactsDbl!B:D, 3, FALSE), ""), "", IFERROR(VLOOKUP(DBL_FullList!I891, ContactsDbl!B:D, 3, FALSE), ""))</f>
        <v>http://www.wycliffe.org</v>
      </c>
      <c r="L891">
        <f t="shared" si="27"/>
        <v>2</v>
      </c>
    </row>
    <row r="892" spans="1:12" x14ac:dyDescent="0.25">
      <c r="A892" s="1" t="s">
        <v>5924</v>
      </c>
      <c r="B892" t="str">
        <f>IF(ISERROR(VLOOKUP(F892,STEP!A:A, 1, FALSE)), "N", "Y")</f>
        <v>Y</v>
      </c>
      <c r="C892" t="str">
        <f>IF(ISERROR(VLOOKUP(E892, BibleInEveryLanguageTexts!A:A, 1, FALSE)), "N", "Y")</f>
        <v>N</v>
      </c>
      <c r="D892" t="str">
        <f t="shared" si="26"/>
        <v/>
      </c>
      <c r="E892" t="s">
        <v>5925</v>
      </c>
      <c r="F892" t="s">
        <v>5926</v>
      </c>
      <c r="G892" t="s">
        <v>48</v>
      </c>
      <c r="H892" t="s">
        <v>5927</v>
      </c>
      <c r="I892" t="s">
        <v>2661</v>
      </c>
      <c r="J892" t="str">
        <f>IF(0 = IFERROR(VLOOKUP(DBL_FullList!I892, ContactsDbl!B:D, 2, FALSE), ""), "", IFERROR(VLOOKUP(DBL_FullList!I892, ContactsDbl!B:D, 2, FALSE), ""))</f>
        <v>dbladmin_intl@sil.org</v>
      </c>
      <c r="K892" t="str">
        <f>IF(0 = IFERROR(VLOOKUP(DBL_FullList!I892,ContactsDbl!B:D, 3, FALSE), ""), "", IFERROR(VLOOKUP(DBL_FullList!I892, ContactsDbl!B:D, 3, FALSE), ""))</f>
        <v>http://www.wycliffe.org</v>
      </c>
      <c r="L892">
        <f t="shared" si="27"/>
        <v>2</v>
      </c>
    </row>
    <row r="893" spans="1:12" x14ac:dyDescent="0.25">
      <c r="A893" t="s">
        <v>5928</v>
      </c>
      <c r="B893" t="str">
        <f>IF(ISERROR(VLOOKUP(F893,STEP!A:A, 1, FALSE)), "N", "Y")</f>
        <v>N</v>
      </c>
      <c r="C893" t="str">
        <f>IF(ISERROR(VLOOKUP(E893, BibleInEveryLanguageTexts!A:A, 1, FALSE)), "N", "Y")</f>
        <v>N</v>
      </c>
      <c r="D893" t="str">
        <f t="shared" si="26"/>
        <v>X</v>
      </c>
      <c r="E893" t="s">
        <v>3574</v>
      </c>
      <c r="F893" t="s">
        <v>3575</v>
      </c>
      <c r="G893" t="s">
        <v>2997</v>
      </c>
      <c r="H893" t="s">
        <v>5929</v>
      </c>
      <c r="I893" t="s">
        <v>2661</v>
      </c>
      <c r="J893" t="str">
        <f>IF(0 = IFERROR(VLOOKUP(DBL_FullList!I893, ContactsDbl!B:D, 2, FALSE), ""), "", IFERROR(VLOOKUP(DBL_FullList!I893, ContactsDbl!B:D, 2, FALSE), ""))</f>
        <v>dbladmin_intl@sil.org</v>
      </c>
      <c r="K893" t="str">
        <f>IF(0 = IFERROR(VLOOKUP(DBL_FullList!I893,ContactsDbl!B:D, 3, FALSE), ""), "", IFERROR(VLOOKUP(DBL_FullList!I893, ContactsDbl!B:D, 3, FALSE), ""))</f>
        <v>http://www.wycliffe.org</v>
      </c>
      <c r="L893">
        <f t="shared" si="27"/>
        <v>2</v>
      </c>
    </row>
    <row r="894" spans="1:12" x14ac:dyDescent="0.25">
      <c r="A894" t="s">
        <v>5930</v>
      </c>
      <c r="B894" t="str">
        <f>IF(ISERROR(VLOOKUP(F894,STEP!A:A, 1, FALSE)), "N", "Y")</f>
        <v>N</v>
      </c>
      <c r="C894" t="str">
        <f>IF(ISERROR(VLOOKUP(E894, BibleInEveryLanguageTexts!A:A, 1, FALSE)), "N", "Y")</f>
        <v>N</v>
      </c>
      <c r="D894" t="str">
        <f t="shared" si="26"/>
        <v>X</v>
      </c>
      <c r="E894" t="s">
        <v>5931</v>
      </c>
      <c r="F894" t="s">
        <v>5932</v>
      </c>
      <c r="G894" t="s">
        <v>2843</v>
      </c>
      <c r="H894" t="s">
        <v>5933</v>
      </c>
      <c r="I894" t="s">
        <v>2661</v>
      </c>
      <c r="J894" t="str">
        <f>IF(0 = IFERROR(VLOOKUP(DBL_FullList!I894, ContactsDbl!B:D, 2, FALSE), ""), "", IFERROR(VLOOKUP(DBL_FullList!I894, ContactsDbl!B:D, 2, FALSE), ""))</f>
        <v>dbladmin_intl@sil.org</v>
      </c>
      <c r="K894" t="str">
        <f>IF(0 = IFERROR(VLOOKUP(DBL_FullList!I894,ContactsDbl!B:D, 3, FALSE), ""), "", IFERROR(VLOOKUP(DBL_FullList!I894, ContactsDbl!B:D, 3, FALSE), ""))</f>
        <v>http://www.wycliffe.org</v>
      </c>
      <c r="L894">
        <f t="shared" si="27"/>
        <v>2</v>
      </c>
    </row>
    <row r="895" spans="1:12" x14ac:dyDescent="0.25">
      <c r="A895" t="s">
        <v>5934</v>
      </c>
      <c r="B895" t="str">
        <f>IF(ISERROR(VLOOKUP(F895,STEP!A:A, 1, FALSE)), "N", "Y")</f>
        <v>N</v>
      </c>
      <c r="C895" t="str">
        <f>IF(ISERROR(VLOOKUP(E895, BibleInEveryLanguageTexts!A:A, 1, FALSE)), "N", "Y")</f>
        <v>N</v>
      </c>
      <c r="D895" t="str">
        <f t="shared" si="26"/>
        <v>X</v>
      </c>
      <c r="E895" t="s">
        <v>5935</v>
      </c>
      <c r="F895" t="s">
        <v>5936</v>
      </c>
      <c r="G895" t="s">
        <v>20</v>
      </c>
      <c r="H895" t="s">
        <v>5937</v>
      </c>
      <c r="I895" t="s">
        <v>2329</v>
      </c>
      <c r="J895" t="str">
        <f>IF(0 = IFERROR(VLOOKUP(DBL_FullList!I895, ContactsDbl!B:D, 2, FALSE), ""), "", IFERROR(VLOOKUP(DBL_FullList!I895, ContactsDbl!B:D, 2, FALSE), ""))</f>
        <v/>
      </c>
      <c r="K895" t="str">
        <f>IF(0 = IFERROR(VLOOKUP(DBL_FullList!I895,ContactsDbl!B:D, 3, FALSE), ""), "", IFERROR(VLOOKUP(DBL_FullList!I895, ContactsDbl!B:D, 3, FALSE), ""))</f>
        <v>http://www.bsind.org/</v>
      </c>
      <c r="L895">
        <f t="shared" si="27"/>
        <v>1</v>
      </c>
    </row>
    <row r="896" spans="1:12" x14ac:dyDescent="0.25">
      <c r="A896" t="s">
        <v>5938</v>
      </c>
      <c r="B896" t="str">
        <f>IF(ISERROR(VLOOKUP(F896,STEP!A:A, 1, FALSE)), "N", "Y")</f>
        <v>N</v>
      </c>
      <c r="C896" t="str">
        <f>IF(ISERROR(VLOOKUP(E896, BibleInEveryLanguageTexts!A:A, 1, FALSE)), "N", "Y")</f>
        <v>N</v>
      </c>
      <c r="D896" t="str">
        <f t="shared" si="26"/>
        <v>X</v>
      </c>
      <c r="E896" t="s">
        <v>5939</v>
      </c>
      <c r="F896" t="s">
        <v>5940</v>
      </c>
      <c r="G896" t="s">
        <v>2997</v>
      </c>
      <c r="H896" t="s">
        <v>5941</v>
      </c>
      <c r="I896" t="s">
        <v>2661</v>
      </c>
      <c r="J896" t="str">
        <f>IF(0 = IFERROR(VLOOKUP(DBL_FullList!I896, ContactsDbl!B:D, 2, FALSE), ""), "", IFERROR(VLOOKUP(DBL_FullList!I896, ContactsDbl!B:D, 2, FALSE), ""))</f>
        <v>dbladmin_intl@sil.org</v>
      </c>
      <c r="K896" t="str">
        <f>IF(0 = IFERROR(VLOOKUP(DBL_FullList!I896,ContactsDbl!B:D, 3, FALSE), ""), "", IFERROR(VLOOKUP(DBL_FullList!I896, ContactsDbl!B:D, 3, FALSE), ""))</f>
        <v>http://www.wycliffe.org</v>
      </c>
      <c r="L896">
        <f t="shared" si="27"/>
        <v>2</v>
      </c>
    </row>
    <row r="897" spans="1:12" x14ac:dyDescent="0.25">
      <c r="A897" t="s">
        <v>5942</v>
      </c>
      <c r="B897" t="str">
        <f>IF(ISERROR(VLOOKUP(F897,STEP!A:A, 1, FALSE)), "N", "Y")</f>
        <v>N</v>
      </c>
      <c r="C897" t="str">
        <f>IF(ISERROR(VLOOKUP(E897, BibleInEveryLanguageTexts!A:A, 1, FALSE)), "N", "Y")</f>
        <v>N</v>
      </c>
      <c r="D897" t="str">
        <f t="shared" si="26"/>
        <v>X</v>
      </c>
      <c r="E897" t="s">
        <v>5943</v>
      </c>
      <c r="F897" t="s">
        <v>5944</v>
      </c>
      <c r="G897" t="s">
        <v>2738</v>
      </c>
      <c r="H897" t="s">
        <v>5945</v>
      </c>
      <c r="I897" t="s">
        <v>2661</v>
      </c>
      <c r="J897" t="str">
        <f>IF(0 = IFERROR(VLOOKUP(DBL_FullList!I897, ContactsDbl!B:D, 2, FALSE), ""), "", IFERROR(VLOOKUP(DBL_FullList!I897, ContactsDbl!B:D, 2, FALSE), ""))</f>
        <v>dbladmin_intl@sil.org</v>
      </c>
      <c r="K897" t="str">
        <f>IF(0 = IFERROR(VLOOKUP(DBL_FullList!I897,ContactsDbl!B:D, 3, FALSE), ""), "", IFERROR(VLOOKUP(DBL_FullList!I897, ContactsDbl!B:D, 3, FALSE), ""))</f>
        <v>http://www.wycliffe.org</v>
      </c>
      <c r="L897">
        <f t="shared" si="27"/>
        <v>2</v>
      </c>
    </row>
    <row r="898" spans="1:12" x14ac:dyDescent="0.25">
      <c r="A898" t="s">
        <v>5946</v>
      </c>
      <c r="B898" t="str">
        <f>IF(ISERROR(VLOOKUP(F898,STEP!A:A, 1, FALSE)), "N", "Y")</f>
        <v>N</v>
      </c>
      <c r="C898" t="str">
        <f>IF(ISERROR(VLOOKUP(E898, BibleInEveryLanguageTexts!A:A, 1, FALSE)), "N", "Y")</f>
        <v>N</v>
      </c>
      <c r="D898" t="str">
        <f t="shared" si="26"/>
        <v>X</v>
      </c>
      <c r="E898" t="s">
        <v>4520</v>
      </c>
      <c r="F898" t="s">
        <v>4521</v>
      </c>
      <c r="G898" t="s">
        <v>27</v>
      </c>
      <c r="H898" t="s">
        <v>5947</v>
      </c>
      <c r="I898" t="s">
        <v>3104</v>
      </c>
      <c r="J898" t="str">
        <f>IF(0 = IFERROR(VLOOKUP(DBL_FullList!I898, ContactsDbl!B:D, 2, FALSE), ""), "", IFERROR(VLOOKUP(DBL_FullList!I898, ContactsDbl!B:D, 2, FALSE), ""))</f>
        <v/>
      </c>
      <c r="K898" t="str">
        <f>IF(0 = IFERROR(VLOOKUP(DBL_FullList!I898,ContactsDbl!B:D, 3, FALSE), ""), "", IFERROR(VLOOKUP(DBL_FullList!I898, ContactsDbl!B:D, 3, FALSE), ""))</f>
        <v/>
      </c>
      <c r="L898">
        <f t="shared" si="27"/>
        <v>0</v>
      </c>
    </row>
    <row r="899" spans="1:12" x14ac:dyDescent="0.25">
      <c r="A899" t="s">
        <v>5948</v>
      </c>
      <c r="B899" t="str">
        <f>IF(ISERROR(VLOOKUP(F899,STEP!A:A, 1, FALSE)), "N", "Y")</f>
        <v>Y</v>
      </c>
      <c r="C899" t="str">
        <f>IF(ISERROR(VLOOKUP(E899, BibleInEveryLanguageTexts!A:A, 1, FALSE)), "N", "Y")</f>
        <v>N</v>
      </c>
      <c r="D899" t="str">
        <f t="shared" ref="D899:D962" si="28">IF(AND("N" = B899, "N" = C899), "X", "")</f>
        <v/>
      </c>
      <c r="E899" t="s">
        <v>5949</v>
      </c>
      <c r="F899" t="s">
        <v>5950</v>
      </c>
      <c r="G899" t="s">
        <v>48</v>
      </c>
      <c r="H899" t="s">
        <v>5951</v>
      </c>
      <c r="I899" t="s">
        <v>2661</v>
      </c>
      <c r="J899" t="str">
        <f>IF(0 = IFERROR(VLOOKUP(DBL_FullList!I899, ContactsDbl!B:D, 2, FALSE), ""), "", IFERROR(VLOOKUP(DBL_FullList!I899, ContactsDbl!B:D, 2, FALSE), ""))</f>
        <v>dbladmin_intl@sil.org</v>
      </c>
      <c r="K899" t="str">
        <f>IF(0 = IFERROR(VLOOKUP(DBL_FullList!I899,ContactsDbl!B:D, 3, FALSE), ""), "", IFERROR(VLOOKUP(DBL_FullList!I899, ContactsDbl!B:D, 3, FALSE), ""))</f>
        <v>http://www.wycliffe.org</v>
      </c>
      <c r="L899">
        <f t="shared" ref="L899:L962" si="29">IF("" &lt;&gt; J899, 2, IF("" &lt;&gt; K899, 1, 0))</f>
        <v>2</v>
      </c>
    </row>
    <row r="900" spans="1:12" x14ac:dyDescent="0.25">
      <c r="A900" t="s">
        <v>5952</v>
      </c>
      <c r="B900" t="str">
        <f>IF(ISERROR(VLOOKUP(F900,STEP!A:A, 1, FALSE)), "N", "Y")</f>
        <v>N</v>
      </c>
      <c r="C900" t="str">
        <f>IF(ISERROR(VLOOKUP(E900, BibleInEveryLanguageTexts!A:A, 1, FALSE)), "N", "Y")</f>
        <v>N</v>
      </c>
      <c r="D900" t="str">
        <f t="shared" si="28"/>
        <v>X</v>
      </c>
      <c r="E900" t="s">
        <v>3632</v>
      </c>
      <c r="F900" t="s">
        <v>3633</v>
      </c>
      <c r="G900" t="s">
        <v>3634</v>
      </c>
      <c r="H900" t="s">
        <v>5953</v>
      </c>
      <c r="I900" t="s">
        <v>2296</v>
      </c>
      <c r="J900" t="str">
        <f>IF(0 = IFERROR(VLOOKUP(DBL_FullList!I900, ContactsDbl!B:D, 2, FALSE), ""), "", IFERROR(VLOOKUP(DBL_FullList!I900, ContactsDbl!B:D, 2, FALSE), ""))</f>
        <v>gjergj@biblesocieties.org</v>
      </c>
      <c r="K900" t="str">
        <f>IF(0 = IFERROR(VLOOKUP(DBL_FullList!I900,ContactsDbl!B:D, 3, FALSE), ""), "", IFERROR(VLOOKUP(DBL_FullList!I900, ContactsDbl!B:D, 3, FALSE), ""))</f>
        <v>http://albanianbiblesociety.com</v>
      </c>
      <c r="L900">
        <f t="shared" si="29"/>
        <v>2</v>
      </c>
    </row>
    <row r="901" spans="1:12" x14ac:dyDescent="0.25">
      <c r="A901" t="s">
        <v>5954</v>
      </c>
      <c r="B901" t="str">
        <f>IF(ISERROR(VLOOKUP(F901,STEP!A:A, 1, FALSE)), "N", "Y")</f>
        <v>N</v>
      </c>
      <c r="C901" t="str">
        <f>IF(ISERROR(VLOOKUP(E901, BibleInEveryLanguageTexts!A:A, 1, FALSE)), "N", "Y")</f>
        <v>N</v>
      </c>
      <c r="D901" t="str">
        <f t="shared" si="28"/>
        <v>X</v>
      </c>
      <c r="E901" t="s">
        <v>5955</v>
      </c>
      <c r="F901" t="s">
        <v>5956</v>
      </c>
      <c r="G901" t="s">
        <v>20</v>
      </c>
      <c r="H901" t="s">
        <v>5957</v>
      </c>
      <c r="I901" t="s">
        <v>2329</v>
      </c>
      <c r="J901" t="str">
        <f>IF(0 = IFERROR(VLOOKUP(DBL_FullList!I901, ContactsDbl!B:D, 2, FALSE), ""), "", IFERROR(VLOOKUP(DBL_FullList!I901, ContactsDbl!B:D, 2, FALSE), ""))</f>
        <v/>
      </c>
      <c r="K901" t="str">
        <f>IF(0 = IFERROR(VLOOKUP(DBL_FullList!I901,ContactsDbl!B:D, 3, FALSE), ""), "", IFERROR(VLOOKUP(DBL_FullList!I901, ContactsDbl!B:D, 3, FALSE), ""))</f>
        <v>http://www.bsind.org/</v>
      </c>
      <c r="L901">
        <f t="shared" si="29"/>
        <v>1</v>
      </c>
    </row>
    <row r="902" spans="1:12" x14ac:dyDescent="0.25">
      <c r="A902" t="s">
        <v>5958</v>
      </c>
      <c r="B902" t="str">
        <f>IF(ISERROR(VLOOKUP(F902,STEP!A:A, 1, FALSE)), "N", "Y")</f>
        <v>Y</v>
      </c>
      <c r="C902" t="str">
        <f>IF(ISERROR(VLOOKUP(E902, BibleInEveryLanguageTexts!A:A, 1, FALSE)), "N", "Y")</f>
        <v>N</v>
      </c>
      <c r="D902" t="str">
        <f t="shared" si="28"/>
        <v/>
      </c>
      <c r="E902" t="s">
        <v>5959</v>
      </c>
      <c r="F902" t="s">
        <v>5960</v>
      </c>
      <c r="G902" t="s">
        <v>48</v>
      </c>
      <c r="H902" t="s">
        <v>5961</v>
      </c>
      <c r="I902" t="s">
        <v>2661</v>
      </c>
      <c r="J902" t="str">
        <f>IF(0 = IFERROR(VLOOKUP(DBL_FullList!I902, ContactsDbl!B:D, 2, FALSE), ""), "", IFERROR(VLOOKUP(DBL_FullList!I902, ContactsDbl!B:D, 2, FALSE), ""))</f>
        <v>dbladmin_intl@sil.org</v>
      </c>
      <c r="K902" t="str">
        <f>IF(0 = IFERROR(VLOOKUP(DBL_FullList!I902,ContactsDbl!B:D, 3, FALSE), ""), "", IFERROR(VLOOKUP(DBL_FullList!I902, ContactsDbl!B:D, 3, FALSE), ""))</f>
        <v>http://www.wycliffe.org</v>
      </c>
      <c r="L902">
        <f t="shared" si="29"/>
        <v>2</v>
      </c>
    </row>
    <row r="903" spans="1:12" x14ac:dyDescent="0.25">
      <c r="A903" t="s">
        <v>5962</v>
      </c>
      <c r="B903" t="str">
        <f>IF(ISERROR(VLOOKUP(F903,STEP!A:A, 1, FALSE)), "N", "Y")</f>
        <v>N</v>
      </c>
      <c r="C903" t="str">
        <f>IF(ISERROR(VLOOKUP(E903, BibleInEveryLanguageTexts!A:A, 1, FALSE)), "N", "Y")</f>
        <v>N</v>
      </c>
      <c r="D903" t="str">
        <f t="shared" si="28"/>
        <v>X</v>
      </c>
      <c r="E903" t="s">
        <v>5963</v>
      </c>
      <c r="F903" t="s">
        <v>5964</v>
      </c>
      <c r="G903" t="s">
        <v>2743</v>
      </c>
      <c r="H903" t="s">
        <v>5965</v>
      </c>
      <c r="I903" t="s">
        <v>2661</v>
      </c>
      <c r="J903" t="str">
        <f>IF(0 = IFERROR(VLOOKUP(DBL_FullList!I903, ContactsDbl!B:D, 2, FALSE), ""), "", IFERROR(VLOOKUP(DBL_FullList!I903, ContactsDbl!B:D, 2, FALSE), ""))</f>
        <v>dbladmin_intl@sil.org</v>
      </c>
      <c r="K903" t="str">
        <f>IF(0 = IFERROR(VLOOKUP(DBL_FullList!I903,ContactsDbl!B:D, 3, FALSE), ""), "", IFERROR(VLOOKUP(DBL_FullList!I903, ContactsDbl!B:D, 3, FALSE), ""))</f>
        <v>http://www.wycliffe.org</v>
      </c>
      <c r="L903">
        <f t="shared" si="29"/>
        <v>2</v>
      </c>
    </row>
    <row r="904" spans="1:12" x14ac:dyDescent="0.25">
      <c r="A904" t="s">
        <v>5966</v>
      </c>
      <c r="B904" t="str">
        <f>IF(ISERROR(VLOOKUP(F904,STEP!A:A, 1, FALSE)), "N", "Y")</f>
        <v>N</v>
      </c>
      <c r="C904" t="str">
        <f>IF(ISERROR(VLOOKUP(E904, BibleInEveryLanguageTexts!A:A, 1, FALSE)), "N", "Y")</f>
        <v>N</v>
      </c>
      <c r="D904" t="str">
        <f t="shared" si="28"/>
        <v>X</v>
      </c>
      <c r="E904" t="s">
        <v>5967</v>
      </c>
      <c r="F904" t="s">
        <v>4199</v>
      </c>
      <c r="G904" t="s">
        <v>4919</v>
      </c>
      <c r="H904" t="s">
        <v>5968</v>
      </c>
      <c r="I904" t="s">
        <v>2661</v>
      </c>
      <c r="J904" t="str">
        <f>IF(0 = IFERROR(VLOOKUP(DBL_FullList!I904, ContactsDbl!B:D, 2, FALSE), ""), "", IFERROR(VLOOKUP(DBL_FullList!I904, ContactsDbl!B:D, 2, FALSE), ""))</f>
        <v>dbladmin_intl@sil.org</v>
      </c>
      <c r="K904" t="str">
        <f>IF(0 = IFERROR(VLOOKUP(DBL_FullList!I904,ContactsDbl!B:D, 3, FALSE), ""), "", IFERROR(VLOOKUP(DBL_FullList!I904, ContactsDbl!B:D, 3, FALSE), ""))</f>
        <v>http://www.wycliffe.org</v>
      </c>
      <c r="L904">
        <f t="shared" si="29"/>
        <v>2</v>
      </c>
    </row>
    <row r="905" spans="1:12" x14ac:dyDescent="0.25">
      <c r="A905" t="s">
        <v>5969</v>
      </c>
      <c r="B905" t="str">
        <f>IF(ISERROR(VLOOKUP(F905,STEP!A:A, 1, FALSE)), "N", "Y")</f>
        <v>N</v>
      </c>
      <c r="C905" t="str">
        <f>IF(ISERROR(VLOOKUP(E905, BibleInEveryLanguageTexts!A:A, 1, FALSE)), "N", "Y")</f>
        <v>N</v>
      </c>
      <c r="D905" t="str">
        <f t="shared" si="28"/>
        <v>X</v>
      </c>
      <c r="E905" t="s">
        <v>2726</v>
      </c>
      <c r="F905" t="s">
        <v>2727</v>
      </c>
      <c r="G905" t="s">
        <v>2728</v>
      </c>
      <c r="H905" t="s">
        <v>5970</v>
      </c>
      <c r="I905" t="s">
        <v>2084</v>
      </c>
      <c r="J905" t="str">
        <f>IF(0 = IFERROR(VLOOKUP(DBL_FullList!I905, ContactsDbl!B:D, 2, FALSE), ""), "", IFERROR(VLOOKUP(DBL_FullList!I905, ContactsDbl!B:D, 2, FALSE), ""))</f>
        <v>pzlateski@yahoo.it</v>
      </c>
      <c r="K905" t="str">
        <f>IF(0 = IFERROR(VLOOKUP(DBL_FullList!I905,ContactsDbl!B:D, 3, FALSE), ""), "", IFERROR(VLOOKUP(DBL_FullList!I905, ContactsDbl!B:D, 3, FALSE), ""))</f>
        <v/>
      </c>
      <c r="L905">
        <f t="shared" si="29"/>
        <v>2</v>
      </c>
    </row>
    <row r="906" spans="1:12" x14ac:dyDescent="0.25">
      <c r="A906" t="s">
        <v>5971</v>
      </c>
      <c r="B906" t="str">
        <f>IF(ISERROR(VLOOKUP(F906,STEP!A:A, 1, FALSE)), "N", "Y")</f>
        <v>N</v>
      </c>
      <c r="C906" t="str">
        <f>IF(ISERROR(VLOOKUP(E906, BibleInEveryLanguageTexts!A:A, 1, FALSE)), "N", "Y")</f>
        <v>N</v>
      </c>
      <c r="D906" t="str">
        <f t="shared" si="28"/>
        <v>X</v>
      </c>
      <c r="E906" t="s">
        <v>5972</v>
      </c>
      <c r="F906" t="s">
        <v>5973</v>
      </c>
      <c r="G906" t="s">
        <v>2723</v>
      </c>
      <c r="H906" t="s">
        <v>5974</v>
      </c>
      <c r="I906" t="s">
        <v>2661</v>
      </c>
      <c r="J906" t="str">
        <f>IF(0 = IFERROR(VLOOKUP(DBL_FullList!I906, ContactsDbl!B:D, 2, FALSE), ""), "", IFERROR(VLOOKUP(DBL_FullList!I906, ContactsDbl!B:D, 2, FALSE), ""))</f>
        <v>dbladmin_intl@sil.org</v>
      </c>
      <c r="K906" t="str">
        <f>IF(0 = IFERROR(VLOOKUP(DBL_FullList!I906,ContactsDbl!B:D, 3, FALSE), ""), "", IFERROR(VLOOKUP(DBL_FullList!I906, ContactsDbl!B:D, 3, FALSE), ""))</f>
        <v>http://www.wycliffe.org</v>
      </c>
      <c r="L906">
        <f t="shared" si="29"/>
        <v>2</v>
      </c>
    </row>
    <row r="907" spans="1:12" x14ac:dyDescent="0.25">
      <c r="A907" t="s">
        <v>5975</v>
      </c>
      <c r="B907" t="str">
        <f>IF(ISERROR(VLOOKUP(F907,STEP!A:A, 1, FALSE)), "N", "Y")</f>
        <v>Y</v>
      </c>
      <c r="C907" t="str">
        <f>IF(ISERROR(VLOOKUP(E907, BibleInEveryLanguageTexts!A:A, 1, FALSE)), "N", "Y")</f>
        <v>N</v>
      </c>
      <c r="D907" t="str">
        <f t="shared" si="28"/>
        <v/>
      </c>
      <c r="E907" t="s">
        <v>5976</v>
      </c>
      <c r="F907" t="s">
        <v>5977</v>
      </c>
      <c r="G907" t="s">
        <v>48</v>
      </c>
      <c r="H907" t="s">
        <v>5978</v>
      </c>
      <c r="I907" t="s">
        <v>2661</v>
      </c>
      <c r="J907" t="str">
        <f>IF(0 = IFERROR(VLOOKUP(DBL_FullList!I907, ContactsDbl!B:D, 2, FALSE), ""), "", IFERROR(VLOOKUP(DBL_FullList!I907, ContactsDbl!B:D, 2, FALSE), ""))</f>
        <v>dbladmin_intl@sil.org</v>
      </c>
      <c r="K907" t="str">
        <f>IF(0 = IFERROR(VLOOKUP(DBL_FullList!I907,ContactsDbl!B:D, 3, FALSE), ""), "", IFERROR(VLOOKUP(DBL_FullList!I907, ContactsDbl!B:D, 3, FALSE), ""))</f>
        <v>http://www.wycliffe.org</v>
      </c>
      <c r="L907">
        <f t="shared" si="29"/>
        <v>2</v>
      </c>
    </row>
    <row r="908" spans="1:12" x14ac:dyDescent="0.25">
      <c r="A908" t="s">
        <v>5979</v>
      </c>
      <c r="B908" t="str">
        <f>IF(ISERROR(VLOOKUP(F908,STEP!A:A, 1, FALSE)), "N", "Y")</f>
        <v>N</v>
      </c>
      <c r="C908" t="str">
        <f>IF(ISERROR(VLOOKUP(E908, BibleInEveryLanguageTexts!A:A, 1, FALSE)), "N", "Y")</f>
        <v>N</v>
      </c>
      <c r="D908" t="str">
        <f t="shared" si="28"/>
        <v>X</v>
      </c>
      <c r="E908" t="s">
        <v>5980</v>
      </c>
      <c r="F908" t="s">
        <v>5981</v>
      </c>
      <c r="G908" t="s">
        <v>25</v>
      </c>
      <c r="H908" t="s">
        <v>5982</v>
      </c>
      <c r="I908" t="s">
        <v>2032</v>
      </c>
      <c r="J908" t="str">
        <f>IF(0 = IFERROR(VLOOKUP(DBL_FullList!I908, ContactsDbl!B:D, 2, FALSE), ""), "", IFERROR(VLOOKUP(DBL_FullList!I908, ContactsDbl!B:D, 2, FALSE), ""))</f>
        <v>paul.eckert@biblesociety.org.au</v>
      </c>
      <c r="K908" t="str">
        <f>IF(0 = IFERROR(VLOOKUP(DBL_FullList!I908,ContactsDbl!B:D, 3, FALSE), ""), "", IFERROR(VLOOKUP(DBL_FullList!I908, ContactsDbl!B:D, 3, FALSE), ""))</f>
        <v>http://www.biblesociety.org.au</v>
      </c>
      <c r="L908">
        <f t="shared" si="29"/>
        <v>2</v>
      </c>
    </row>
    <row r="909" spans="1:12" x14ac:dyDescent="0.25">
      <c r="A909" t="s">
        <v>5983</v>
      </c>
      <c r="B909" t="str">
        <f>IF(ISERROR(VLOOKUP(F909,STEP!A:A, 1, FALSE)), "N", "Y")</f>
        <v>N</v>
      </c>
      <c r="C909" t="str">
        <f>IF(ISERROR(VLOOKUP(E909, BibleInEveryLanguageTexts!A:A, 1, FALSE)), "N", "Y")</f>
        <v>N</v>
      </c>
      <c r="D909" t="str">
        <f t="shared" si="28"/>
        <v>X</v>
      </c>
      <c r="E909" t="s">
        <v>5984</v>
      </c>
      <c r="F909" t="s">
        <v>5985</v>
      </c>
      <c r="G909" t="s">
        <v>2756</v>
      </c>
      <c r="H909" t="s">
        <v>5986</v>
      </c>
      <c r="I909" t="s">
        <v>2126</v>
      </c>
      <c r="J909" t="str">
        <f>IF(0 = IFERROR(VLOOKUP(DBL_FullList!I909, ContactsDbl!B:D, 2, FALSE), ""), "", IFERROR(VLOOKUP(DBL_FullList!I909, ContactsDbl!B:D, 2, FALSE), ""))</f>
        <v>gluke@biblesocieties.org</v>
      </c>
      <c r="K909" t="str">
        <f>IF(0 = IFERROR(VLOOKUP(DBL_FullList!I909,ContactsDbl!B:D, 3, FALSE), ""), "", IFERROR(VLOOKUP(DBL_FullList!I909, ContactsDbl!B:D, 3, FALSE), ""))</f>
        <v>http://www.biblesociety-cameroon.org/</v>
      </c>
      <c r="L909">
        <f t="shared" si="29"/>
        <v>2</v>
      </c>
    </row>
    <row r="910" spans="1:12" x14ac:dyDescent="0.25">
      <c r="A910" t="s">
        <v>5987</v>
      </c>
      <c r="B910" t="str">
        <f>IF(ISERROR(VLOOKUP(F910,STEP!A:A, 1, FALSE)), "N", "Y")</f>
        <v>N</v>
      </c>
      <c r="C910" t="str">
        <f>IF(ISERROR(VLOOKUP(E910, BibleInEveryLanguageTexts!A:A, 1, FALSE)), "N", "Y")</f>
        <v>N</v>
      </c>
      <c r="D910" t="str">
        <f t="shared" si="28"/>
        <v>X</v>
      </c>
      <c r="E910" t="s">
        <v>5988</v>
      </c>
      <c r="F910" t="s">
        <v>5989</v>
      </c>
      <c r="G910" t="s">
        <v>3913</v>
      </c>
      <c r="H910" t="s">
        <v>2956</v>
      </c>
      <c r="I910" t="s">
        <v>2178</v>
      </c>
      <c r="J910" t="str">
        <f>IF(0 = IFERROR(VLOOKUP(DBL_FullList!I910, ContactsDbl!B:D, 2, FALSE), ""), "", IFERROR(VLOOKUP(DBL_FullList!I910, ContactsDbl!B:D, 2, FALSE), ""))</f>
        <v>bibelselskabet@bibelselskabet.dk</v>
      </c>
      <c r="K910" t="str">
        <f>IF(0 = IFERROR(VLOOKUP(DBL_FullList!I910,ContactsDbl!B:D, 3, FALSE), ""), "", IFERROR(VLOOKUP(DBL_FullList!I910, ContactsDbl!B:D, 3, FALSE), ""))</f>
        <v>http://www.bibelselskabet.dk/</v>
      </c>
      <c r="L910">
        <f t="shared" si="29"/>
        <v>2</v>
      </c>
    </row>
    <row r="911" spans="1:12" x14ac:dyDescent="0.25">
      <c r="A911" t="s">
        <v>5990</v>
      </c>
      <c r="B911" t="str">
        <f>IF(ISERROR(VLOOKUP(F911,STEP!A:A, 1, FALSE)), "N", "Y")</f>
        <v>N</v>
      </c>
      <c r="C911" t="str">
        <f>IF(ISERROR(VLOOKUP(E911, BibleInEveryLanguageTexts!A:A, 1, FALSE)), "N", "Y")</f>
        <v>N</v>
      </c>
      <c r="D911" t="str">
        <f t="shared" si="28"/>
        <v>X</v>
      </c>
      <c r="E911" t="s">
        <v>5991</v>
      </c>
      <c r="F911" t="s">
        <v>5992</v>
      </c>
      <c r="G911" t="s">
        <v>3816</v>
      </c>
      <c r="H911" t="s">
        <v>5993</v>
      </c>
      <c r="I911" t="s">
        <v>2661</v>
      </c>
      <c r="J911" t="str">
        <f>IF(0 = IFERROR(VLOOKUP(DBL_FullList!I911, ContactsDbl!B:D, 2, FALSE), ""), "", IFERROR(VLOOKUP(DBL_FullList!I911, ContactsDbl!B:D, 2, FALSE), ""))</f>
        <v>dbladmin_intl@sil.org</v>
      </c>
      <c r="K911" t="str">
        <f>IF(0 = IFERROR(VLOOKUP(DBL_FullList!I911,ContactsDbl!B:D, 3, FALSE), ""), "", IFERROR(VLOOKUP(DBL_FullList!I911, ContactsDbl!B:D, 3, FALSE), ""))</f>
        <v>http://www.wycliffe.org</v>
      </c>
      <c r="L911">
        <f t="shared" si="29"/>
        <v>2</v>
      </c>
    </row>
    <row r="912" spans="1:12" x14ac:dyDescent="0.25">
      <c r="A912" t="s">
        <v>5994</v>
      </c>
      <c r="B912" t="str">
        <f>IF(ISERROR(VLOOKUP(F912,STEP!A:A, 1, FALSE)), "N", "Y")</f>
        <v>N</v>
      </c>
      <c r="C912" t="str">
        <f>IF(ISERROR(VLOOKUP(E912, BibleInEveryLanguageTexts!A:A, 1, FALSE)), "N", "Y")</f>
        <v>N</v>
      </c>
      <c r="D912" t="str">
        <f t="shared" si="28"/>
        <v>X</v>
      </c>
      <c r="E912" t="s">
        <v>5995</v>
      </c>
      <c r="F912" t="s">
        <v>3567</v>
      </c>
      <c r="G912" t="s">
        <v>48</v>
      </c>
      <c r="H912" t="s">
        <v>5996</v>
      </c>
      <c r="I912" t="s">
        <v>2661</v>
      </c>
      <c r="J912" t="str">
        <f>IF(0 = IFERROR(VLOOKUP(DBL_FullList!I912, ContactsDbl!B:D, 2, FALSE), ""), "", IFERROR(VLOOKUP(DBL_FullList!I912, ContactsDbl!B:D, 2, FALSE), ""))</f>
        <v>dbladmin_intl@sil.org</v>
      </c>
      <c r="K912" t="str">
        <f>IF(0 = IFERROR(VLOOKUP(DBL_FullList!I912,ContactsDbl!B:D, 3, FALSE), ""), "", IFERROR(VLOOKUP(DBL_FullList!I912, ContactsDbl!B:D, 3, FALSE), ""))</f>
        <v>http://www.wycliffe.org</v>
      </c>
      <c r="L912">
        <f t="shared" si="29"/>
        <v>2</v>
      </c>
    </row>
    <row r="913" spans="1:12" x14ac:dyDescent="0.25">
      <c r="A913" t="s">
        <v>5997</v>
      </c>
      <c r="B913" t="str">
        <f>IF(ISERROR(VLOOKUP(F913,STEP!A:A, 1, FALSE)), "N", "Y")</f>
        <v>N</v>
      </c>
      <c r="C913" t="str">
        <f>IF(ISERROR(VLOOKUP(E913, BibleInEveryLanguageTexts!A:A, 1, FALSE)), "N", "Y")</f>
        <v>N</v>
      </c>
      <c r="D913" t="str">
        <f t="shared" si="28"/>
        <v>X</v>
      </c>
      <c r="E913" t="s">
        <v>5998</v>
      </c>
      <c r="F913" t="s">
        <v>5999</v>
      </c>
      <c r="G913" t="s">
        <v>2885</v>
      </c>
      <c r="H913" t="s">
        <v>6000</v>
      </c>
      <c r="I913" t="s">
        <v>2182</v>
      </c>
      <c r="J913" t="str">
        <f>IF(0 = IFERROR(VLOOKUP(DBL_FullList!I913, ContactsDbl!B:D, 2, FALSE), ""), "", IFERROR(VLOOKUP(DBL_FullList!I913, ContactsDbl!B:D, 2, FALSE), ""))</f>
        <v/>
      </c>
      <c r="K913" t="str">
        <f>IF(0 = IFERROR(VLOOKUP(DBL_FullList!I913,ContactsDbl!B:D, 3, FALSE), ""), "", IFERROR(VLOOKUP(DBL_FullList!I913, ContactsDbl!B:D, 3, FALSE), ""))</f>
        <v>http://www.biblesociety-cd.org/</v>
      </c>
      <c r="L913">
        <f t="shared" si="29"/>
        <v>1</v>
      </c>
    </row>
    <row r="914" spans="1:12" x14ac:dyDescent="0.25">
      <c r="A914" t="s">
        <v>6001</v>
      </c>
      <c r="B914" t="str">
        <f>IF(ISERROR(VLOOKUP(F914,STEP!A:A, 1, FALSE)), "N", "Y")</f>
        <v>Y</v>
      </c>
      <c r="C914" t="str">
        <f>IF(ISERROR(VLOOKUP(E914, BibleInEveryLanguageTexts!A:A, 1, FALSE)), "N", "Y")</f>
        <v>N</v>
      </c>
      <c r="D914" t="str">
        <f t="shared" si="28"/>
        <v/>
      </c>
      <c r="E914" t="s">
        <v>6002</v>
      </c>
      <c r="F914" t="s">
        <v>6003</v>
      </c>
      <c r="G914" t="s">
        <v>48</v>
      </c>
      <c r="H914" t="s">
        <v>6004</v>
      </c>
      <c r="I914" t="s">
        <v>2661</v>
      </c>
      <c r="J914" t="str">
        <f>IF(0 = IFERROR(VLOOKUP(DBL_FullList!I914, ContactsDbl!B:D, 2, FALSE), ""), "", IFERROR(VLOOKUP(DBL_FullList!I914, ContactsDbl!B:D, 2, FALSE), ""))</f>
        <v>dbladmin_intl@sil.org</v>
      </c>
      <c r="K914" t="str">
        <f>IF(0 = IFERROR(VLOOKUP(DBL_FullList!I914,ContactsDbl!B:D, 3, FALSE), ""), "", IFERROR(VLOOKUP(DBL_FullList!I914, ContactsDbl!B:D, 3, FALSE), ""))</f>
        <v>http://www.wycliffe.org</v>
      </c>
      <c r="L914">
        <f t="shared" si="29"/>
        <v>2</v>
      </c>
    </row>
    <row r="915" spans="1:12" x14ac:dyDescent="0.25">
      <c r="A915" t="s">
        <v>6005</v>
      </c>
      <c r="B915" t="str">
        <f>IF(ISERROR(VLOOKUP(F915,STEP!A:A, 1, FALSE)), "N", "Y")</f>
        <v>N</v>
      </c>
      <c r="C915" t="str">
        <f>IF(ISERROR(VLOOKUP(E915, BibleInEveryLanguageTexts!A:A, 1, FALSE)), "N", "Y")</f>
        <v>N</v>
      </c>
      <c r="D915" t="str">
        <f t="shared" si="28"/>
        <v>X</v>
      </c>
      <c r="E915" t="s">
        <v>6006</v>
      </c>
      <c r="F915" t="s">
        <v>6007</v>
      </c>
      <c r="G915" t="s">
        <v>3181</v>
      </c>
      <c r="H915" t="s">
        <v>6008</v>
      </c>
      <c r="I915" t="s">
        <v>2661</v>
      </c>
      <c r="J915" t="str">
        <f>IF(0 = IFERROR(VLOOKUP(DBL_FullList!I915, ContactsDbl!B:D, 2, FALSE), ""), "", IFERROR(VLOOKUP(DBL_FullList!I915, ContactsDbl!B:D, 2, FALSE), ""))</f>
        <v>dbladmin_intl@sil.org</v>
      </c>
      <c r="K915" t="str">
        <f>IF(0 = IFERROR(VLOOKUP(DBL_FullList!I915,ContactsDbl!B:D, 3, FALSE), ""), "", IFERROR(VLOOKUP(DBL_FullList!I915, ContactsDbl!B:D, 3, FALSE), ""))</f>
        <v>http://www.wycliffe.org</v>
      </c>
      <c r="L915">
        <f t="shared" si="29"/>
        <v>2</v>
      </c>
    </row>
    <row r="916" spans="1:12" x14ac:dyDescent="0.25">
      <c r="A916" t="s">
        <v>6009</v>
      </c>
      <c r="B916" t="str">
        <f>IF(ISERROR(VLOOKUP(F916,STEP!A:A, 1, FALSE)), "N", "Y")</f>
        <v>N</v>
      </c>
      <c r="C916" t="str">
        <f>IF(ISERROR(VLOOKUP(E916, BibleInEveryLanguageTexts!A:A, 1, FALSE)), "N", "Y")</f>
        <v>N</v>
      </c>
      <c r="D916" t="str">
        <f t="shared" si="28"/>
        <v>X</v>
      </c>
      <c r="E916" t="s">
        <v>6010</v>
      </c>
      <c r="F916" t="s">
        <v>6011</v>
      </c>
      <c r="G916" t="s">
        <v>20</v>
      </c>
      <c r="H916" t="s">
        <v>6012</v>
      </c>
      <c r="I916" t="s">
        <v>2329</v>
      </c>
      <c r="J916" t="str">
        <f>IF(0 = IFERROR(VLOOKUP(DBL_FullList!I916, ContactsDbl!B:D, 2, FALSE), ""), "", IFERROR(VLOOKUP(DBL_FullList!I916, ContactsDbl!B:D, 2, FALSE), ""))</f>
        <v/>
      </c>
      <c r="K916" t="str">
        <f>IF(0 = IFERROR(VLOOKUP(DBL_FullList!I916,ContactsDbl!B:D, 3, FALSE), ""), "", IFERROR(VLOOKUP(DBL_FullList!I916, ContactsDbl!B:D, 3, FALSE), ""))</f>
        <v>http://www.bsind.org/</v>
      </c>
      <c r="L916">
        <f t="shared" si="29"/>
        <v>1</v>
      </c>
    </row>
    <row r="917" spans="1:12" x14ac:dyDescent="0.25">
      <c r="A917" t="s">
        <v>6013</v>
      </c>
      <c r="B917" t="str">
        <f>IF(ISERROR(VLOOKUP(F917,STEP!A:A, 1, FALSE)), "N", "Y")</f>
        <v>N</v>
      </c>
      <c r="C917" t="str">
        <f>IF(ISERROR(VLOOKUP(E917, BibleInEveryLanguageTexts!A:A, 1, FALSE)), "N", "Y")</f>
        <v>N</v>
      </c>
      <c r="D917" t="str">
        <f t="shared" si="28"/>
        <v>X</v>
      </c>
      <c r="E917" t="s">
        <v>6014</v>
      </c>
      <c r="F917" t="s">
        <v>6015</v>
      </c>
      <c r="G917" t="s">
        <v>20</v>
      </c>
      <c r="H917" t="s">
        <v>6016</v>
      </c>
      <c r="I917" t="s">
        <v>2329</v>
      </c>
      <c r="J917" t="str">
        <f>IF(0 = IFERROR(VLOOKUP(DBL_FullList!I917, ContactsDbl!B:D, 2, FALSE), ""), "", IFERROR(VLOOKUP(DBL_FullList!I917, ContactsDbl!B:D, 2, FALSE), ""))</f>
        <v/>
      </c>
      <c r="K917" t="str">
        <f>IF(0 = IFERROR(VLOOKUP(DBL_FullList!I917,ContactsDbl!B:D, 3, FALSE), ""), "", IFERROR(VLOOKUP(DBL_FullList!I917, ContactsDbl!B:D, 3, FALSE), ""))</f>
        <v>http://www.bsind.org/</v>
      </c>
      <c r="L917">
        <f t="shared" si="29"/>
        <v>1</v>
      </c>
    </row>
    <row r="918" spans="1:12" x14ac:dyDescent="0.25">
      <c r="A918" t="s">
        <v>6017</v>
      </c>
      <c r="B918" t="str">
        <f>IF(ISERROR(VLOOKUP(F918,STEP!A:A, 1, FALSE)), "N", "Y")</f>
        <v>N</v>
      </c>
      <c r="C918" t="str">
        <f>IF(ISERROR(VLOOKUP(E918, BibleInEveryLanguageTexts!A:A, 1, FALSE)), "N", "Y")</f>
        <v>Y</v>
      </c>
      <c r="D918" t="str">
        <f t="shared" si="28"/>
        <v/>
      </c>
      <c r="E918" t="s">
        <v>2684</v>
      </c>
      <c r="F918" t="s">
        <v>4791</v>
      </c>
      <c r="G918" t="s">
        <v>2743</v>
      </c>
      <c r="H918" t="s">
        <v>6018</v>
      </c>
      <c r="I918" t="s">
        <v>1997</v>
      </c>
      <c r="J918" t="str">
        <f>IF(0 = IFERROR(VLOOKUP(DBL_FullList!I918, ContactsDbl!B:D, 2, FALSE), ""), "", IFERROR(VLOOKUP(DBL_FullList!I918, ContactsDbl!B:D, 2, FALSE), ""))</f>
        <v>Lee.Harris@biblica.com</v>
      </c>
      <c r="K918" t="str">
        <f>IF(0 = IFERROR(VLOOKUP(DBL_FullList!I918,ContactsDbl!B:D, 3, FALSE), ""), "", IFERROR(VLOOKUP(DBL_FullList!I918, ContactsDbl!B:D, 3, FALSE), ""))</f>
        <v>http://www.Biblica.com</v>
      </c>
      <c r="L918">
        <f t="shared" si="29"/>
        <v>2</v>
      </c>
    </row>
    <row r="919" spans="1:12" x14ac:dyDescent="0.25">
      <c r="A919" t="s">
        <v>6019</v>
      </c>
      <c r="B919" t="str">
        <f>IF(ISERROR(VLOOKUP(F919,STEP!A:A, 1, FALSE)), "N", "Y")</f>
        <v>N</v>
      </c>
      <c r="C919" t="str">
        <f>IF(ISERROR(VLOOKUP(E919, BibleInEveryLanguageTexts!A:A, 1, FALSE)), "N", "Y")</f>
        <v>N</v>
      </c>
      <c r="D919" t="str">
        <f t="shared" si="28"/>
        <v>X</v>
      </c>
      <c r="E919" t="s">
        <v>6020</v>
      </c>
      <c r="F919" t="s">
        <v>6021</v>
      </c>
      <c r="G919" t="s">
        <v>25</v>
      </c>
      <c r="H919" t="s">
        <v>6022</v>
      </c>
      <c r="I919" t="s">
        <v>2661</v>
      </c>
      <c r="J919" t="str">
        <f>IF(0 = IFERROR(VLOOKUP(DBL_FullList!I919, ContactsDbl!B:D, 2, FALSE), ""), "", IFERROR(VLOOKUP(DBL_FullList!I919, ContactsDbl!B:D, 2, FALSE), ""))</f>
        <v>dbladmin_intl@sil.org</v>
      </c>
      <c r="K919" t="str">
        <f>IF(0 = IFERROR(VLOOKUP(DBL_FullList!I919,ContactsDbl!B:D, 3, FALSE), ""), "", IFERROR(VLOOKUP(DBL_FullList!I919, ContactsDbl!B:D, 3, FALSE), ""))</f>
        <v>http://www.wycliffe.org</v>
      </c>
      <c r="L919">
        <f t="shared" si="29"/>
        <v>2</v>
      </c>
    </row>
    <row r="920" spans="1:12" x14ac:dyDescent="0.25">
      <c r="A920" t="s">
        <v>6023</v>
      </c>
      <c r="B920" t="str">
        <f>IF(ISERROR(VLOOKUP(F920,STEP!A:A, 1, FALSE)), "N", "Y")</f>
        <v>N</v>
      </c>
      <c r="C920" t="str">
        <f>IF(ISERROR(VLOOKUP(E920, BibleInEveryLanguageTexts!A:A, 1, FALSE)), "N", "Y")</f>
        <v>N</v>
      </c>
      <c r="D920" t="str">
        <f t="shared" si="28"/>
        <v>X</v>
      </c>
      <c r="E920" t="s">
        <v>6024</v>
      </c>
      <c r="F920" t="s">
        <v>6025</v>
      </c>
      <c r="G920" t="s">
        <v>2880</v>
      </c>
      <c r="H920" t="s">
        <v>6026</v>
      </c>
      <c r="I920" t="s">
        <v>2661</v>
      </c>
      <c r="J920" t="str">
        <f>IF(0 = IFERROR(VLOOKUP(DBL_FullList!I920, ContactsDbl!B:D, 2, FALSE), ""), "", IFERROR(VLOOKUP(DBL_FullList!I920, ContactsDbl!B:D, 2, FALSE), ""))</f>
        <v>dbladmin_intl@sil.org</v>
      </c>
      <c r="K920" t="str">
        <f>IF(0 = IFERROR(VLOOKUP(DBL_FullList!I920,ContactsDbl!B:D, 3, FALSE), ""), "", IFERROR(VLOOKUP(DBL_FullList!I920, ContactsDbl!B:D, 3, FALSE), ""))</f>
        <v>http://www.wycliffe.org</v>
      </c>
      <c r="L920">
        <f t="shared" si="29"/>
        <v>2</v>
      </c>
    </row>
    <row r="921" spans="1:12" x14ac:dyDescent="0.25">
      <c r="A921" t="s">
        <v>6027</v>
      </c>
      <c r="B921" t="str">
        <f>IF(ISERROR(VLOOKUP(F921,STEP!A:A, 1, FALSE)), "N", "Y")</f>
        <v>Y</v>
      </c>
      <c r="C921" t="str">
        <f>IF(ISERROR(VLOOKUP(E921, BibleInEveryLanguageTexts!A:A, 1, FALSE)), "N", "Y")</f>
        <v>N</v>
      </c>
      <c r="D921" t="str">
        <f t="shared" si="28"/>
        <v/>
      </c>
      <c r="E921" t="s">
        <v>6028</v>
      </c>
      <c r="F921" t="s">
        <v>6029</v>
      </c>
      <c r="G921" t="s">
        <v>48</v>
      </c>
      <c r="H921" t="s">
        <v>1604</v>
      </c>
      <c r="I921" t="s">
        <v>2661</v>
      </c>
      <c r="J921" t="str">
        <f>IF(0 = IFERROR(VLOOKUP(DBL_FullList!I921, ContactsDbl!B:D, 2, FALSE), ""), "", IFERROR(VLOOKUP(DBL_FullList!I921, ContactsDbl!B:D, 2, FALSE), ""))</f>
        <v>dbladmin_intl@sil.org</v>
      </c>
      <c r="K921" t="str">
        <f>IF(0 = IFERROR(VLOOKUP(DBL_FullList!I921,ContactsDbl!B:D, 3, FALSE), ""), "", IFERROR(VLOOKUP(DBL_FullList!I921, ContactsDbl!B:D, 3, FALSE), ""))</f>
        <v>http://www.wycliffe.org</v>
      </c>
      <c r="L921">
        <f t="shared" si="29"/>
        <v>2</v>
      </c>
    </row>
    <row r="922" spans="1:12" x14ac:dyDescent="0.25">
      <c r="A922" t="s">
        <v>6030</v>
      </c>
      <c r="B922" t="str">
        <f>IF(ISERROR(VLOOKUP(F922,STEP!A:A, 1, FALSE)), "N", "Y")</f>
        <v>N</v>
      </c>
      <c r="C922" t="str">
        <f>IF(ISERROR(VLOOKUP(E922, BibleInEveryLanguageTexts!A:A, 1, FALSE)), "N", "Y")</f>
        <v>N</v>
      </c>
      <c r="D922" t="str">
        <f t="shared" si="28"/>
        <v>X</v>
      </c>
      <c r="E922" t="s">
        <v>6031</v>
      </c>
      <c r="F922" t="s">
        <v>6032</v>
      </c>
      <c r="G922" t="s">
        <v>2815</v>
      </c>
      <c r="H922" t="s">
        <v>6033</v>
      </c>
      <c r="I922" t="s">
        <v>2661</v>
      </c>
      <c r="J922" t="str">
        <f>IF(0 = IFERROR(VLOOKUP(DBL_FullList!I922, ContactsDbl!B:D, 2, FALSE), ""), "", IFERROR(VLOOKUP(DBL_FullList!I922, ContactsDbl!B:D, 2, FALSE), ""))</f>
        <v>dbladmin_intl@sil.org</v>
      </c>
      <c r="K922" t="str">
        <f>IF(0 = IFERROR(VLOOKUP(DBL_FullList!I922,ContactsDbl!B:D, 3, FALSE), ""), "", IFERROR(VLOOKUP(DBL_FullList!I922, ContactsDbl!B:D, 3, FALSE), ""))</f>
        <v>http://www.wycliffe.org</v>
      </c>
      <c r="L922">
        <f t="shared" si="29"/>
        <v>2</v>
      </c>
    </row>
    <row r="923" spans="1:12" x14ac:dyDescent="0.25">
      <c r="A923" t="s">
        <v>6034</v>
      </c>
      <c r="B923" t="str">
        <f>IF(ISERROR(VLOOKUP(F923,STEP!A:A, 1, FALSE)), "N", "Y")</f>
        <v>N</v>
      </c>
      <c r="C923" t="str">
        <f>IF(ISERROR(VLOOKUP(E923, BibleInEveryLanguageTexts!A:A, 1, FALSE)), "N", "Y")</f>
        <v>N</v>
      </c>
      <c r="D923" t="str">
        <f t="shared" si="28"/>
        <v>X</v>
      </c>
      <c r="E923" t="s">
        <v>6035</v>
      </c>
      <c r="F923" t="s">
        <v>6036</v>
      </c>
      <c r="G923" t="s">
        <v>3074</v>
      </c>
      <c r="H923" t="s">
        <v>6037</v>
      </c>
      <c r="I923" t="s">
        <v>2673</v>
      </c>
      <c r="J923" t="str">
        <f>IF(0 = IFERROR(VLOOKUP(DBL_FullList!I923, ContactsDbl!B:D, 2, FALSE), ""), "", IFERROR(VLOOKUP(DBL_FullList!I923, ContactsDbl!B:D, 2, FALSE), ""))</f>
        <v>gnyirenda@biblesociety-zambia.org</v>
      </c>
      <c r="K923" t="str">
        <f>IF(0 = IFERROR(VLOOKUP(DBL_FullList!I923,ContactsDbl!B:D, 3, FALSE), ""), "", IFERROR(VLOOKUP(DBL_FullList!I923, ContactsDbl!B:D, 3, FALSE), ""))</f>
        <v>www.biblesociety-zambia.org</v>
      </c>
      <c r="L923">
        <f t="shared" si="29"/>
        <v>2</v>
      </c>
    </row>
    <row r="924" spans="1:12" x14ac:dyDescent="0.25">
      <c r="A924" t="s">
        <v>6038</v>
      </c>
      <c r="B924" t="str">
        <f>IF(ISERROR(VLOOKUP(F924,STEP!A:A, 1, FALSE)), "N", "Y")</f>
        <v>Y</v>
      </c>
      <c r="C924" t="str">
        <f>IF(ISERROR(VLOOKUP(E924, BibleInEveryLanguageTexts!A:A, 1, FALSE)), "N", "Y")</f>
        <v>N</v>
      </c>
      <c r="D924" t="str">
        <f t="shared" si="28"/>
        <v/>
      </c>
      <c r="E924" t="s">
        <v>6039</v>
      </c>
      <c r="F924" t="s">
        <v>6040</v>
      </c>
      <c r="G924" t="s">
        <v>48</v>
      </c>
      <c r="H924" t="s">
        <v>6041</v>
      </c>
      <c r="I924" t="s">
        <v>2661</v>
      </c>
      <c r="J924" t="str">
        <f>IF(0 = IFERROR(VLOOKUP(DBL_FullList!I924, ContactsDbl!B:D, 2, FALSE), ""), "", IFERROR(VLOOKUP(DBL_FullList!I924, ContactsDbl!B:D, 2, FALSE), ""))</f>
        <v>dbladmin_intl@sil.org</v>
      </c>
      <c r="K924" t="str">
        <f>IF(0 = IFERROR(VLOOKUP(DBL_FullList!I924,ContactsDbl!B:D, 3, FALSE), ""), "", IFERROR(VLOOKUP(DBL_FullList!I924, ContactsDbl!B:D, 3, FALSE), ""))</f>
        <v>http://www.wycliffe.org</v>
      </c>
      <c r="L924">
        <f t="shared" si="29"/>
        <v>2</v>
      </c>
    </row>
    <row r="925" spans="1:12" x14ac:dyDescent="0.25">
      <c r="A925" t="s">
        <v>6042</v>
      </c>
      <c r="B925" t="str">
        <f>IF(ISERROR(VLOOKUP(F925,STEP!A:A, 1, FALSE)), "N", "Y")</f>
        <v>N</v>
      </c>
      <c r="C925" t="str">
        <f>IF(ISERROR(VLOOKUP(E925, BibleInEveryLanguageTexts!A:A, 1, FALSE)), "N", "Y")</f>
        <v>N</v>
      </c>
      <c r="D925" t="str">
        <f t="shared" si="28"/>
        <v>X</v>
      </c>
      <c r="E925" t="s">
        <v>6043</v>
      </c>
      <c r="F925" t="s">
        <v>6044</v>
      </c>
      <c r="G925" t="s">
        <v>3074</v>
      </c>
      <c r="H925" t="s">
        <v>6045</v>
      </c>
      <c r="I925" t="s">
        <v>2673</v>
      </c>
      <c r="J925" t="str">
        <f>IF(0 = IFERROR(VLOOKUP(DBL_FullList!I925, ContactsDbl!B:D, 2, FALSE), ""), "", IFERROR(VLOOKUP(DBL_FullList!I925, ContactsDbl!B:D, 2, FALSE), ""))</f>
        <v>gnyirenda@biblesociety-zambia.org</v>
      </c>
      <c r="K925" t="str">
        <f>IF(0 = IFERROR(VLOOKUP(DBL_FullList!I925,ContactsDbl!B:D, 3, FALSE), ""), "", IFERROR(VLOOKUP(DBL_FullList!I925, ContactsDbl!B:D, 3, FALSE), ""))</f>
        <v>www.biblesociety-zambia.org</v>
      </c>
      <c r="L925">
        <f t="shared" si="29"/>
        <v>2</v>
      </c>
    </row>
    <row r="926" spans="1:12" x14ac:dyDescent="0.25">
      <c r="A926" t="s">
        <v>6046</v>
      </c>
      <c r="B926" t="str">
        <f>IF(ISERROR(VLOOKUP(F926,STEP!A:A, 1, FALSE)), "N", "Y")</f>
        <v>N</v>
      </c>
      <c r="C926" t="str">
        <f>IF(ISERROR(VLOOKUP(E926, BibleInEveryLanguageTexts!A:A, 1, FALSE)), "N", "Y")</f>
        <v>N</v>
      </c>
      <c r="D926" t="str">
        <f t="shared" si="28"/>
        <v>X</v>
      </c>
      <c r="E926" t="s">
        <v>6047</v>
      </c>
      <c r="F926" t="s">
        <v>6048</v>
      </c>
      <c r="G926" t="s">
        <v>6049</v>
      </c>
      <c r="H926" t="s">
        <v>6050</v>
      </c>
      <c r="I926" t="s">
        <v>2041</v>
      </c>
      <c r="J926" t="str">
        <f>IF(0 = IFERROR(VLOOKUP(DBL_FullList!I926, ContactsDbl!B:D, 2, FALSE), ""), "", IFERROR(VLOOKUP(DBL_FullList!I926, ContactsDbl!B:D, 2, FALSE), ""))</f>
        <v>info@biblesociety.am</v>
      </c>
      <c r="K926" t="str">
        <f>IF(0 = IFERROR(VLOOKUP(DBL_FullList!I926,ContactsDbl!B:D, 3, FALSE), ""), "", IFERROR(VLOOKUP(DBL_FullList!I926, ContactsDbl!B:D, 3, FALSE), ""))</f>
        <v>http://www.biblesociety.am/</v>
      </c>
      <c r="L926">
        <f t="shared" si="29"/>
        <v>2</v>
      </c>
    </row>
    <row r="927" spans="1:12" x14ac:dyDescent="0.25">
      <c r="A927" t="s">
        <v>6051</v>
      </c>
      <c r="B927" t="str">
        <f>IF(ISERROR(VLOOKUP(F927,STEP!A:A, 1, FALSE)), "N", "Y")</f>
        <v>N</v>
      </c>
      <c r="C927" t="str">
        <f>IF(ISERROR(VLOOKUP(E927, BibleInEveryLanguageTexts!A:A, 1, FALSE)), "N", "Y")</f>
        <v>N</v>
      </c>
      <c r="D927" t="str">
        <f t="shared" si="28"/>
        <v>X</v>
      </c>
      <c r="E927" t="s">
        <v>6047</v>
      </c>
      <c r="F927" t="s">
        <v>6048</v>
      </c>
      <c r="G927" t="s">
        <v>6049</v>
      </c>
      <c r="H927" t="s">
        <v>6052</v>
      </c>
      <c r="I927" t="s">
        <v>2041</v>
      </c>
      <c r="J927" t="str">
        <f>IF(0 = IFERROR(VLOOKUP(DBL_FullList!I927, ContactsDbl!B:D, 2, FALSE), ""), "", IFERROR(VLOOKUP(DBL_FullList!I927, ContactsDbl!B:D, 2, FALSE), ""))</f>
        <v>info@biblesociety.am</v>
      </c>
      <c r="K927" t="str">
        <f>IF(0 = IFERROR(VLOOKUP(DBL_FullList!I927,ContactsDbl!B:D, 3, FALSE), ""), "", IFERROR(VLOOKUP(DBL_FullList!I927, ContactsDbl!B:D, 3, FALSE), ""))</f>
        <v>http://www.biblesociety.am/</v>
      </c>
      <c r="L927">
        <f t="shared" si="29"/>
        <v>2</v>
      </c>
    </row>
    <row r="928" spans="1:12" x14ac:dyDescent="0.25">
      <c r="A928" t="s">
        <v>6053</v>
      </c>
      <c r="B928" t="str">
        <f>IF(ISERROR(VLOOKUP(F928,STEP!A:A, 1, FALSE)), "N", "Y")</f>
        <v>Y</v>
      </c>
      <c r="C928" t="str">
        <f>IF(ISERROR(VLOOKUP(E928, BibleInEveryLanguageTexts!A:A, 1, FALSE)), "N", "Y")</f>
        <v>N</v>
      </c>
      <c r="D928" t="str">
        <f t="shared" si="28"/>
        <v/>
      </c>
      <c r="E928" t="s">
        <v>6054</v>
      </c>
      <c r="F928" t="s">
        <v>6055</v>
      </c>
      <c r="G928" t="s">
        <v>48</v>
      </c>
      <c r="H928" t="s">
        <v>6056</v>
      </c>
      <c r="I928" t="s">
        <v>2661</v>
      </c>
      <c r="J928" t="str">
        <f>IF(0 = IFERROR(VLOOKUP(DBL_FullList!I928, ContactsDbl!B:D, 2, FALSE), ""), "", IFERROR(VLOOKUP(DBL_FullList!I928, ContactsDbl!B:D, 2, FALSE), ""))</f>
        <v>dbladmin_intl@sil.org</v>
      </c>
      <c r="K928" t="str">
        <f>IF(0 = IFERROR(VLOOKUP(DBL_FullList!I928,ContactsDbl!B:D, 3, FALSE), ""), "", IFERROR(VLOOKUP(DBL_FullList!I928, ContactsDbl!B:D, 3, FALSE), ""))</f>
        <v>http://www.wycliffe.org</v>
      </c>
      <c r="L928">
        <f t="shared" si="29"/>
        <v>2</v>
      </c>
    </row>
    <row r="929" spans="1:12" x14ac:dyDescent="0.25">
      <c r="A929" t="s">
        <v>6057</v>
      </c>
      <c r="B929" t="str">
        <f>IF(ISERROR(VLOOKUP(F929,STEP!A:A, 1, FALSE)), "N", "Y")</f>
        <v>N</v>
      </c>
      <c r="C929" t="str">
        <f>IF(ISERROR(VLOOKUP(E929, BibleInEveryLanguageTexts!A:A, 1, FALSE)), "N", "Y")</f>
        <v>N</v>
      </c>
      <c r="D929" t="str">
        <f t="shared" si="28"/>
        <v>X</v>
      </c>
      <c r="E929" t="s">
        <v>6058</v>
      </c>
      <c r="F929" t="s">
        <v>6059</v>
      </c>
      <c r="G929" t="s">
        <v>4588</v>
      </c>
      <c r="H929" t="s">
        <v>3364</v>
      </c>
      <c r="I929" t="s">
        <v>2459</v>
      </c>
      <c r="J929" t="str">
        <f>IF(0 = IFERROR(VLOOKUP(DBL_FullList!I929, ContactsDbl!B:D, 2, FALSE), ""), "", IFERROR(VLOOKUP(DBL_FullList!I929, ContactsDbl!B:D, 2, FALSE), ""))</f>
        <v>gensec@nambible.org.na</v>
      </c>
      <c r="K929" t="str">
        <f>IF(0 = IFERROR(VLOOKUP(DBL_FullList!I929,ContactsDbl!B:D, 3, FALSE), ""), "", IFERROR(VLOOKUP(DBL_FullList!I929, ContactsDbl!B:D, 3, FALSE), ""))</f>
        <v>http://www.nambible.org.na</v>
      </c>
      <c r="L929">
        <f t="shared" si="29"/>
        <v>2</v>
      </c>
    </row>
    <row r="930" spans="1:12" x14ac:dyDescent="0.25">
      <c r="A930" t="s">
        <v>6060</v>
      </c>
      <c r="B930" t="str">
        <f>IF(ISERROR(VLOOKUP(F930,STEP!A:A, 1, FALSE)), "N", "Y")</f>
        <v>N</v>
      </c>
      <c r="C930" t="str">
        <f>IF(ISERROR(VLOOKUP(E930, BibleInEveryLanguageTexts!A:A, 1, FALSE)), "N", "Y")</f>
        <v>N</v>
      </c>
      <c r="D930" t="str">
        <f t="shared" si="28"/>
        <v>X</v>
      </c>
      <c r="E930" t="s">
        <v>6061</v>
      </c>
      <c r="F930" t="s">
        <v>6062</v>
      </c>
      <c r="G930" t="s">
        <v>2880</v>
      </c>
      <c r="H930" t="s">
        <v>6063</v>
      </c>
      <c r="I930" t="s">
        <v>2661</v>
      </c>
      <c r="J930" t="str">
        <f>IF(0 = IFERROR(VLOOKUP(DBL_FullList!I930, ContactsDbl!B:D, 2, FALSE), ""), "", IFERROR(VLOOKUP(DBL_FullList!I930, ContactsDbl!B:D, 2, FALSE), ""))</f>
        <v>dbladmin_intl@sil.org</v>
      </c>
      <c r="K930" t="str">
        <f>IF(0 = IFERROR(VLOOKUP(DBL_FullList!I930,ContactsDbl!B:D, 3, FALSE), ""), "", IFERROR(VLOOKUP(DBL_FullList!I930, ContactsDbl!B:D, 3, FALSE), ""))</f>
        <v>http://www.wycliffe.org</v>
      </c>
      <c r="L930">
        <f t="shared" si="29"/>
        <v>2</v>
      </c>
    </row>
    <row r="931" spans="1:12" x14ac:dyDescent="0.25">
      <c r="A931" t="s">
        <v>6064</v>
      </c>
      <c r="B931" t="str">
        <f>IF(ISERROR(VLOOKUP(F931,STEP!A:A, 1, FALSE)), "N", "Y")</f>
        <v>N</v>
      </c>
      <c r="C931" t="str">
        <f>IF(ISERROR(VLOOKUP(E931, BibleInEveryLanguageTexts!A:A, 1, FALSE)), "N", "Y")</f>
        <v>N</v>
      </c>
      <c r="D931" t="str">
        <f t="shared" si="28"/>
        <v>X</v>
      </c>
      <c r="E931" t="s">
        <v>6065</v>
      </c>
      <c r="F931" t="s">
        <v>6066</v>
      </c>
      <c r="G931" t="s">
        <v>383</v>
      </c>
      <c r="H931" t="s">
        <v>6067</v>
      </c>
      <c r="I931" t="s">
        <v>2661</v>
      </c>
      <c r="J931" t="str">
        <f>IF(0 = IFERROR(VLOOKUP(DBL_FullList!I931, ContactsDbl!B:D, 2, FALSE), ""), "", IFERROR(VLOOKUP(DBL_FullList!I931, ContactsDbl!B:D, 2, FALSE), ""))</f>
        <v>dbladmin_intl@sil.org</v>
      </c>
      <c r="K931" t="str">
        <f>IF(0 = IFERROR(VLOOKUP(DBL_FullList!I931,ContactsDbl!B:D, 3, FALSE), ""), "", IFERROR(VLOOKUP(DBL_FullList!I931, ContactsDbl!B:D, 3, FALSE), ""))</f>
        <v>http://www.wycliffe.org</v>
      </c>
      <c r="L931">
        <f t="shared" si="29"/>
        <v>2</v>
      </c>
    </row>
    <row r="932" spans="1:12" x14ac:dyDescent="0.25">
      <c r="A932" t="s">
        <v>6068</v>
      </c>
      <c r="B932" t="str">
        <f>IF(ISERROR(VLOOKUP(F932,STEP!A:A, 1, FALSE)), "N", "Y")</f>
        <v>N</v>
      </c>
      <c r="C932" t="str">
        <f>IF(ISERROR(VLOOKUP(E932, BibleInEveryLanguageTexts!A:A, 1, FALSE)), "N", "Y")</f>
        <v>N</v>
      </c>
      <c r="D932" t="str">
        <f t="shared" si="28"/>
        <v>X</v>
      </c>
      <c r="E932" t="s">
        <v>6069</v>
      </c>
      <c r="F932" t="s">
        <v>6070</v>
      </c>
      <c r="G932" t="s">
        <v>2908</v>
      </c>
      <c r="H932" t="s">
        <v>6071</v>
      </c>
      <c r="I932" t="s">
        <v>1997</v>
      </c>
      <c r="J932" t="str">
        <f>IF(0 = IFERROR(VLOOKUP(DBL_FullList!I932, ContactsDbl!B:D, 2, FALSE), ""), "", IFERROR(VLOOKUP(DBL_FullList!I932, ContactsDbl!B:D, 2, FALSE), ""))</f>
        <v>Lee.Harris@biblica.com</v>
      </c>
      <c r="K932" t="str">
        <f>IF(0 = IFERROR(VLOOKUP(DBL_FullList!I932,ContactsDbl!B:D, 3, FALSE), ""), "", IFERROR(VLOOKUP(DBL_FullList!I932, ContactsDbl!B:D, 3, FALSE), ""))</f>
        <v>http://www.Biblica.com</v>
      </c>
      <c r="L932">
        <f t="shared" si="29"/>
        <v>2</v>
      </c>
    </row>
    <row r="933" spans="1:12" x14ac:dyDescent="0.25">
      <c r="A933" t="s">
        <v>6072</v>
      </c>
      <c r="B933" t="str">
        <f>IF(ISERROR(VLOOKUP(F933,STEP!A:A, 1, FALSE)), "N", "Y")</f>
        <v>N</v>
      </c>
      <c r="C933" t="str">
        <f>IF(ISERROR(VLOOKUP(E933, BibleInEveryLanguageTexts!A:A, 1, FALSE)), "N", "Y")</f>
        <v>N</v>
      </c>
      <c r="D933" t="str">
        <f t="shared" si="28"/>
        <v>X</v>
      </c>
      <c r="E933" t="s">
        <v>6073</v>
      </c>
      <c r="F933" t="s">
        <v>6074</v>
      </c>
      <c r="G933" t="s">
        <v>2743</v>
      </c>
      <c r="H933" t="s">
        <v>6075</v>
      </c>
      <c r="I933" t="s">
        <v>2661</v>
      </c>
      <c r="J933" t="str">
        <f>IF(0 = IFERROR(VLOOKUP(DBL_FullList!I933, ContactsDbl!B:D, 2, FALSE), ""), "", IFERROR(VLOOKUP(DBL_FullList!I933, ContactsDbl!B:D, 2, FALSE), ""))</f>
        <v>dbladmin_intl@sil.org</v>
      </c>
      <c r="K933" t="str">
        <f>IF(0 = IFERROR(VLOOKUP(DBL_FullList!I933,ContactsDbl!B:D, 3, FALSE), ""), "", IFERROR(VLOOKUP(DBL_FullList!I933, ContactsDbl!B:D, 3, FALSE), ""))</f>
        <v>http://www.wycliffe.org</v>
      </c>
      <c r="L933">
        <f t="shared" si="29"/>
        <v>2</v>
      </c>
    </row>
    <row r="934" spans="1:12" x14ac:dyDescent="0.25">
      <c r="A934" t="s">
        <v>6076</v>
      </c>
      <c r="B934" t="str">
        <f>IF(ISERROR(VLOOKUP(F934,STEP!A:A, 1, FALSE)), "N", "Y")</f>
        <v>N</v>
      </c>
      <c r="C934" t="str">
        <f>IF(ISERROR(VLOOKUP(E934, BibleInEveryLanguageTexts!A:A, 1, FALSE)), "N", "Y")</f>
        <v>N</v>
      </c>
      <c r="D934" t="str">
        <f t="shared" si="28"/>
        <v>X</v>
      </c>
      <c r="E934" t="s">
        <v>3325</v>
      </c>
      <c r="F934" t="s">
        <v>3326</v>
      </c>
      <c r="G934" t="s">
        <v>3133</v>
      </c>
      <c r="H934" t="s">
        <v>6077</v>
      </c>
      <c r="I934" t="s">
        <v>2661</v>
      </c>
      <c r="J934" t="str">
        <f>IF(0 = IFERROR(VLOOKUP(DBL_FullList!I934, ContactsDbl!B:D, 2, FALSE), ""), "", IFERROR(VLOOKUP(DBL_FullList!I934, ContactsDbl!B:D, 2, FALSE), ""))</f>
        <v>dbladmin_intl@sil.org</v>
      </c>
      <c r="K934" t="str">
        <f>IF(0 = IFERROR(VLOOKUP(DBL_FullList!I934,ContactsDbl!B:D, 3, FALSE), ""), "", IFERROR(VLOOKUP(DBL_FullList!I934, ContactsDbl!B:D, 3, FALSE), ""))</f>
        <v>http://www.wycliffe.org</v>
      </c>
      <c r="L934">
        <f t="shared" si="29"/>
        <v>2</v>
      </c>
    </row>
    <row r="935" spans="1:12" x14ac:dyDescent="0.25">
      <c r="A935" t="s">
        <v>6078</v>
      </c>
      <c r="B935" t="str">
        <f>IF(ISERROR(VLOOKUP(F935,STEP!A:A, 1, FALSE)), "N", "Y")</f>
        <v>N</v>
      </c>
      <c r="C935" t="str">
        <f>IF(ISERROR(VLOOKUP(E935, BibleInEveryLanguageTexts!A:A, 1, FALSE)), "N", "Y")</f>
        <v>N</v>
      </c>
      <c r="D935" t="str">
        <f t="shared" si="28"/>
        <v>X</v>
      </c>
      <c r="E935" t="s">
        <v>6079</v>
      </c>
      <c r="F935" t="s">
        <v>6080</v>
      </c>
      <c r="G935" t="s">
        <v>3083</v>
      </c>
      <c r="H935" t="s">
        <v>6081</v>
      </c>
      <c r="I935" t="s">
        <v>2661</v>
      </c>
      <c r="J935" t="str">
        <f>IF(0 = IFERROR(VLOOKUP(DBL_FullList!I935, ContactsDbl!B:D, 2, FALSE), ""), "", IFERROR(VLOOKUP(DBL_FullList!I935, ContactsDbl!B:D, 2, FALSE), ""))</f>
        <v>dbladmin_intl@sil.org</v>
      </c>
      <c r="K935" t="str">
        <f>IF(0 = IFERROR(VLOOKUP(DBL_FullList!I935,ContactsDbl!B:D, 3, FALSE), ""), "", IFERROR(VLOOKUP(DBL_FullList!I935, ContactsDbl!B:D, 3, FALSE), ""))</f>
        <v>http://www.wycliffe.org</v>
      </c>
      <c r="L935">
        <f t="shared" si="29"/>
        <v>2</v>
      </c>
    </row>
    <row r="936" spans="1:12" x14ac:dyDescent="0.25">
      <c r="A936" t="s">
        <v>6082</v>
      </c>
      <c r="B936" t="str">
        <f>IF(ISERROR(VLOOKUP(F936,STEP!A:A, 1, FALSE)), "N", "Y")</f>
        <v>N</v>
      </c>
      <c r="C936" t="str">
        <f>IF(ISERROR(VLOOKUP(E936, BibleInEveryLanguageTexts!A:A, 1, FALSE)), "N", "Y")</f>
        <v>N</v>
      </c>
      <c r="D936" t="str">
        <f t="shared" si="28"/>
        <v>X</v>
      </c>
      <c r="E936" t="s">
        <v>6083</v>
      </c>
      <c r="F936" t="s">
        <v>6084</v>
      </c>
      <c r="G936" t="s">
        <v>48</v>
      </c>
      <c r="H936" t="s">
        <v>6085</v>
      </c>
      <c r="I936" t="s">
        <v>2661</v>
      </c>
      <c r="J936" t="str">
        <f>IF(0 = IFERROR(VLOOKUP(DBL_FullList!I936, ContactsDbl!B:D, 2, FALSE), ""), "", IFERROR(VLOOKUP(DBL_FullList!I936, ContactsDbl!B:D, 2, FALSE), ""))</f>
        <v>dbladmin_intl@sil.org</v>
      </c>
      <c r="K936" t="str">
        <f>IF(0 = IFERROR(VLOOKUP(DBL_FullList!I936,ContactsDbl!B:D, 3, FALSE), ""), "", IFERROR(VLOOKUP(DBL_FullList!I936, ContactsDbl!B:D, 3, FALSE), ""))</f>
        <v>http://www.wycliffe.org</v>
      </c>
      <c r="L936">
        <f t="shared" si="29"/>
        <v>2</v>
      </c>
    </row>
    <row r="937" spans="1:12" x14ac:dyDescent="0.25">
      <c r="A937" t="s">
        <v>6086</v>
      </c>
      <c r="B937" t="str">
        <f>IF(ISERROR(VLOOKUP(F937,STEP!A:A, 1, FALSE)), "N", "Y")</f>
        <v>Y</v>
      </c>
      <c r="C937" t="str">
        <f>IF(ISERROR(VLOOKUP(E937, BibleInEveryLanguageTexts!A:A, 1, FALSE)), "N", "Y")</f>
        <v>N</v>
      </c>
      <c r="D937" t="str">
        <f t="shared" si="28"/>
        <v/>
      </c>
      <c r="E937" t="s">
        <v>6087</v>
      </c>
      <c r="F937" t="s">
        <v>6088</v>
      </c>
      <c r="G937" t="s">
        <v>48</v>
      </c>
      <c r="H937" t="s">
        <v>6089</v>
      </c>
      <c r="I937" t="s">
        <v>2661</v>
      </c>
      <c r="J937" t="str">
        <f>IF(0 = IFERROR(VLOOKUP(DBL_FullList!I937, ContactsDbl!B:D, 2, FALSE), ""), "", IFERROR(VLOOKUP(DBL_FullList!I937, ContactsDbl!B:D, 2, FALSE), ""))</f>
        <v>dbladmin_intl@sil.org</v>
      </c>
      <c r="K937" t="str">
        <f>IF(0 = IFERROR(VLOOKUP(DBL_FullList!I937,ContactsDbl!B:D, 3, FALSE), ""), "", IFERROR(VLOOKUP(DBL_FullList!I937, ContactsDbl!B:D, 3, FALSE), ""))</f>
        <v>http://www.wycliffe.org</v>
      </c>
      <c r="L937">
        <f t="shared" si="29"/>
        <v>2</v>
      </c>
    </row>
    <row r="938" spans="1:12" x14ac:dyDescent="0.25">
      <c r="A938" t="s">
        <v>6090</v>
      </c>
      <c r="B938" t="str">
        <f>IF(ISERROR(VLOOKUP(F938,STEP!A:A, 1, FALSE)), "N", "Y")</f>
        <v>N</v>
      </c>
      <c r="C938" t="str">
        <f>IF(ISERROR(VLOOKUP(E938, BibleInEveryLanguageTexts!A:A, 1, FALSE)), "N", "Y")</f>
        <v>N</v>
      </c>
      <c r="D938" t="str">
        <f t="shared" si="28"/>
        <v>X</v>
      </c>
      <c r="E938" t="s">
        <v>2851</v>
      </c>
      <c r="F938" t="s">
        <v>2852</v>
      </c>
      <c r="G938" t="s">
        <v>2853</v>
      </c>
      <c r="H938" t="s">
        <v>6091</v>
      </c>
      <c r="I938" t="s">
        <v>2409</v>
      </c>
      <c r="J938" t="str">
        <f>IF(0 = IFERROR(VLOOKUP(DBL_FullList!I938, ContactsDbl!B:D, 2, FALSE), ""), "", IFERROR(VLOOKUP(DBL_FullList!I938, ContactsDbl!B:D, 2, FALSE), ""))</f>
        <v>ombanasoa@biblesociety-malagasy.org</v>
      </c>
      <c r="K938" t="str">
        <f>IF(0 = IFERROR(VLOOKUP(DBL_FullList!I938,ContactsDbl!B:D, 3, FALSE), ""), "", IFERROR(VLOOKUP(DBL_FullList!I938, ContactsDbl!B:D, 3, FALSE), ""))</f>
        <v>http://www.mampielybaiboly.mg/</v>
      </c>
      <c r="L938">
        <f t="shared" si="29"/>
        <v>2</v>
      </c>
    </row>
    <row r="939" spans="1:12" x14ac:dyDescent="0.25">
      <c r="A939" t="s">
        <v>6092</v>
      </c>
      <c r="B939" t="str">
        <f>IF(ISERROR(VLOOKUP(F939,STEP!A:A, 1, FALSE)), "N", "Y")</f>
        <v>N</v>
      </c>
      <c r="C939" t="str">
        <f>IF(ISERROR(VLOOKUP(E939, BibleInEveryLanguageTexts!A:A, 1, FALSE)), "N", "Y")</f>
        <v>N</v>
      </c>
      <c r="D939" t="str">
        <f t="shared" si="28"/>
        <v>X</v>
      </c>
      <c r="E939" t="s">
        <v>5314</v>
      </c>
      <c r="F939" t="s">
        <v>4805</v>
      </c>
      <c r="G939" t="s">
        <v>3074</v>
      </c>
      <c r="H939" t="s">
        <v>6093</v>
      </c>
      <c r="I939" t="s">
        <v>2673</v>
      </c>
      <c r="J939" t="str">
        <f>IF(0 = IFERROR(VLOOKUP(DBL_FullList!I939, ContactsDbl!B:D, 2, FALSE), ""), "", IFERROR(VLOOKUP(DBL_FullList!I939, ContactsDbl!B:D, 2, FALSE), ""))</f>
        <v>gnyirenda@biblesociety-zambia.org</v>
      </c>
      <c r="K939" t="str">
        <f>IF(0 = IFERROR(VLOOKUP(DBL_FullList!I939,ContactsDbl!B:D, 3, FALSE), ""), "", IFERROR(VLOOKUP(DBL_FullList!I939, ContactsDbl!B:D, 3, FALSE), ""))</f>
        <v>www.biblesociety-zambia.org</v>
      </c>
      <c r="L939">
        <f t="shared" si="29"/>
        <v>2</v>
      </c>
    </row>
    <row r="940" spans="1:12" x14ac:dyDescent="0.25">
      <c r="A940" t="s">
        <v>6094</v>
      </c>
      <c r="B940" t="str">
        <f>IF(ISERROR(VLOOKUP(F940,STEP!A:A, 1, FALSE)), "N", "Y")</f>
        <v>N</v>
      </c>
      <c r="C940" t="str">
        <f>IF(ISERROR(VLOOKUP(E940, BibleInEveryLanguageTexts!A:A, 1, FALSE)), "N", "Y")</f>
        <v>N</v>
      </c>
      <c r="D940" t="str">
        <f t="shared" si="28"/>
        <v>X</v>
      </c>
      <c r="E940" t="s">
        <v>6095</v>
      </c>
      <c r="F940" t="s">
        <v>6096</v>
      </c>
      <c r="G940" t="s">
        <v>2984</v>
      </c>
      <c r="H940" t="s">
        <v>6097</v>
      </c>
      <c r="I940" t="s">
        <v>2456</v>
      </c>
      <c r="J940" t="str">
        <f>IF(0 = IFERROR(VLOOKUP(DBL_FullList!I940, ContactsDbl!B:D, 2, FALSE), ""), "", IFERROR(VLOOKUP(DBL_FullList!I940, ContactsDbl!B:D, 2, FALSE), ""))</f>
        <v/>
      </c>
      <c r="K940" t="str">
        <f>IF(0 = IFERROR(VLOOKUP(DBL_FullList!I940,ContactsDbl!B:D, 3, FALSE), ""), "", IFERROR(VLOOKUP(DBL_FullList!I940, ContactsDbl!B:D, 3, FALSE), ""))</f>
        <v>http://www.myanmarbible.com/</v>
      </c>
      <c r="L940">
        <f t="shared" si="29"/>
        <v>1</v>
      </c>
    </row>
    <row r="941" spans="1:12" x14ac:dyDescent="0.25">
      <c r="A941" t="s">
        <v>468</v>
      </c>
      <c r="B941" t="str">
        <f>IF(ISERROR(VLOOKUP(F941,STEP!A:A, 1, FALSE)), "N", "Y")</f>
        <v>N</v>
      </c>
      <c r="C941" t="str">
        <f>IF(ISERROR(VLOOKUP(E941, BibleInEveryLanguageTexts!A:A, 1, FALSE)), "N", "Y")</f>
        <v>N</v>
      </c>
      <c r="D941" t="str">
        <f t="shared" si="28"/>
        <v>X</v>
      </c>
      <c r="E941" t="s">
        <v>467</v>
      </c>
      <c r="F941" t="s">
        <v>466</v>
      </c>
      <c r="G941" t="s">
        <v>48</v>
      </c>
      <c r="H941" t="s">
        <v>464</v>
      </c>
      <c r="I941" t="s">
        <v>45</v>
      </c>
      <c r="J941" t="str">
        <f>IF(0 = IFERROR(VLOOKUP(DBL_FullList!I941, ContactsDbl!B:D, 2, FALSE), ""), "", IFERROR(VLOOKUP(DBL_FullList!I941, ContactsDbl!B:D, 2, FALSE), ""))</f>
        <v>pbt@pbti.org</v>
      </c>
      <c r="K941" t="str">
        <f>IF(0 = IFERROR(VLOOKUP(DBL_FullList!I941,ContactsDbl!B:D, 3, FALSE), ""), "", IFERROR(VLOOKUP(DBL_FullList!I941, ContactsDbl!B:D, 3, FALSE), ""))</f>
        <v>www.pioneerbible.org</v>
      </c>
      <c r="L941">
        <f t="shared" si="29"/>
        <v>2</v>
      </c>
    </row>
    <row r="942" spans="1:12" x14ac:dyDescent="0.25">
      <c r="A942" s="1" t="s">
        <v>6098</v>
      </c>
      <c r="B942" t="str">
        <f>IF(ISERROR(VLOOKUP(F942,STEP!A:A, 1, FALSE)), "N", "Y")</f>
        <v>N</v>
      </c>
      <c r="C942" t="str">
        <f>IF(ISERROR(VLOOKUP(E942, BibleInEveryLanguageTexts!A:A, 1, FALSE)), "N", "Y")</f>
        <v>N</v>
      </c>
      <c r="D942" t="str">
        <f t="shared" si="28"/>
        <v>X</v>
      </c>
      <c r="E942" t="s">
        <v>6099</v>
      </c>
      <c r="F942" t="s">
        <v>6100</v>
      </c>
      <c r="G942" t="s">
        <v>4830</v>
      </c>
      <c r="H942" t="s">
        <v>6101</v>
      </c>
      <c r="I942" t="s">
        <v>183</v>
      </c>
      <c r="J942" t="str">
        <f>IF(0 = IFERROR(VLOOKUP(DBL_FullList!I942, ContactsDbl!B:D, 2, FALSE), ""), "", IFERROR(VLOOKUP(DBL_FullList!I942, ContactsDbl!B:D, 2, FALSE), ""))</f>
        <v>dbl@biblesocieties.org</v>
      </c>
      <c r="K942" t="str">
        <f>IF(0 = IFERROR(VLOOKUP(DBL_FullList!I942,ContactsDbl!B:D, 3, FALSE), ""), "", IFERROR(VLOOKUP(DBL_FullList!I942, ContactsDbl!B:D, 3, FALSE), ""))</f>
        <v>http://www.unitedbiblesocieties.org/</v>
      </c>
      <c r="L942">
        <f t="shared" si="29"/>
        <v>2</v>
      </c>
    </row>
    <row r="943" spans="1:12" x14ac:dyDescent="0.25">
      <c r="A943" t="s">
        <v>6102</v>
      </c>
      <c r="B943" t="str">
        <f>IF(ISERROR(VLOOKUP(F943,STEP!A:A, 1, FALSE)), "N", "Y")</f>
        <v>Y</v>
      </c>
      <c r="C943" t="str">
        <f>IF(ISERROR(VLOOKUP(E943, BibleInEveryLanguageTexts!A:A, 1, FALSE)), "N", "Y")</f>
        <v>N</v>
      </c>
      <c r="D943" t="str">
        <f t="shared" si="28"/>
        <v/>
      </c>
      <c r="E943" t="s">
        <v>6103</v>
      </c>
      <c r="F943" t="s">
        <v>6104</v>
      </c>
      <c r="G943" t="s">
        <v>48</v>
      </c>
      <c r="H943" t="s">
        <v>6105</v>
      </c>
      <c r="I943" t="s">
        <v>2661</v>
      </c>
      <c r="J943" t="str">
        <f>IF(0 = IFERROR(VLOOKUP(DBL_FullList!I943, ContactsDbl!B:D, 2, FALSE), ""), "", IFERROR(VLOOKUP(DBL_FullList!I943, ContactsDbl!B:D, 2, FALSE), ""))</f>
        <v>dbladmin_intl@sil.org</v>
      </c>
      <c r="K943" t="str">
        <f>IF(0 = IFERROR(VLOOKUP(DBL_FullList!I943,ContactsDbl!B:D, 3, FALSE), ""), "", IFERROR(VLOOKUP(DBL_FullList!I943, ContactsDbl!B:D, 3, FALSE), ""))</f>
        <v>http://www.wycliffe.org</v>
      </c>
      <c r="L943">
        <f t="shared" si="29"/>
        <v>2</v>
      </c>
    </row>
    <row r="944" spans="1:12" x14ac:dyDescent="0.25">
      <c r="A944" t="s">
        <v>6106</v>
      </c>
      <c r="B944" t="str">
        <f>IF(ISERROR(VLOOKUP(F944,STEP!A:A, 1, FALSE)), "N", "Y")</f>
        <v>N</v>
      </c>
      <c r="C944" t="str">
        <f>IF(ISERROR(VLOOKUP(E944, BibleInEveryLanguageTexts!A:A, 1, FALSE)), "N", "Y")</f>
        <v>N</v>
      </c>
      <c r="D944" t="str">
        <f t="shared" si="28"/>
        <v>X</v>
      </c>
      <c r="E944" t="s">
        <v>6107</v>
      </c>
      <c r="F944" t="s">
        <v>6108</v>
      </c>
      <c r="G944" t="s">
        <v>2923</v>
      </c>
      <c r="H944" t="s">
        <v>6109</v>
      </c>
      <c r="I944" t="s">
        <v>2091</v>
      </c>
      <c r="J944" t="str">
        <f>IF(0 = IFERROR(VLOOKUP(DBL_FullList!I944, ContactsDbl!B:D, 2, FALSE), ""), "", IFERROR(VLOOKUP(DBL_FullList!I944, ContactsDbl!B:D, 2, FALSE), ""))</f>
        <v>geldenhuys@biblesociety.co.za</v>
      </c>
      <c r="K944" t="str">
        <f>IF(0 = IFERROR(VLOOKUP(DBL_FullList!I944,ContactsDbl!B:D, 3, FALSE), ""), "", IFERROR(VLOOKUP(DBL_FullList!I944, ContactsDbl!B:D, 3, FALSE), ""))</f>
        <v>http://www.biblesociety.co.za/</v>
      </c>
      <c r="L944">
        <f t="shared" si="29"/>
        <v>2</v>
      </c>
    </row>
    <row r="945" spans="1:12" x14ac:dyDescent="0.25">
      <c r="A945" t="s">
        <v>6110</v>
      </c>
      <c r="B945" t="str">
        <f>IF(ISERROR(VLOOKUP(F945,STEP!A:A, 1, FALSE)), "N", "Y")</f>
        <v>N</v>
      </c>
      <c r="C945" t="str">
        <f>IF(ISERROR(VLOOKUP(E945, BibleInEveryLanguageTexts!A:A, 1, FALSE)), "N", "Y")</f>
        <v>N</v>
      </c>
      <c r="D945" t="str">
        <f t="shared" si="28"/>
        <v>X</v>
      </c>
      <c r="E945" t="s">
        <v>6111</v>
      </c>
      <c r="F945" t="s">
        <v>6112</v>
      </c>
      <c r="G945" t="s">
        <v>2923</v>
      </c>
      <c r="H945" t="s">
        <v>6113</v>
      </c>
      <c r="I945" t="s">
        <v>2091</v>
      </c>
      <c r="J945" t="str">
        <f>IF(0 = IFERROR(VLOOKUP(DBL_FullList!I945, ContactsDbl!B:D, 2, FALSE), ""), "", IFERROR(VLOOKUP(DBL_FullList!I945, ContactsDbl!B:D, 2, FALSE), ""))</f>
        <v>geldenhuys@biblesociety.co.za</v>
      </c>
      <c r="K945" t="str">
        <f>IF(0 = IFERROR(VLOOKUP(DBL_FullList!I945,ContactsDbl!B:D, 3, FALSE), ""), "", IFERROR(VLOOKUP(DBL_FullList!I945, ContactsDbl!B:D, 3, FALSE), ""))</f>
        <v>http://www.biblesociety.co.za/</v>
      </c>
      <c r="L945">
        <f t="shared" si="29"/>
        <v>2</v>
      </c>
    </row>
    <row r="946" spans="1:12" x14ac:dyDescent="0.25">
      <c r="A946" t="s">
        <v>6114</v>
      </c>
      <c r="B946" t="str">
        <f>IF(ISERROR(VLOOKUP(F946,STEP!A:A, 1, FALSE)), "N", "Y")</f>
        <v>N</v>
      </c>
      <c r="C946" t="str">
        <f>IF(ISERROR(VLOOKUP(E946, BibleInEveryLanguageTexts!A:A, 1, FALSE)), "N", "Y")</f>
        <v>N</v>
      </c>
      <c r="D946" t="str">
        <f t="shared" si="28"/>
        <v>X</v>
      </c>
      <c r="E946" t="s">
        <v>6115</v>
      </c>
      <c r="F946" t="s">
        <v>6116</v>
      </c>
      <c r="G946" t="s">
        <v>2923</v>
      </c>
      <c r="H946" t="s">
        <v>6117</v>
      </c>
      <c r="I946" t="s">
        <v>2091</v>
      </c>
      <c r="J946" t="str">
        <f>IF(0 = IFERROR(VLOOKUP(DBL_FullList!I946, ContactsDbl!B:D, 2, FALSE), ""), "", IFERROR(VLOOKUP(DBL_FullList!I946, ContactsDbl!B:D, 2, FALSE), ""))</f>
        <v>geldenhuys@biblesociety.co.za</v>
      </c>
      <c r="K946" t="str">
        <f>IF(0 = IFERROR(VLOOKUP(DBL_FullList!I946,ContactsDbl!B:D, 3, FALSE), ""), "", IFERROR(VLOOKUP(DBL_FullList!I946, ContactsDbl!B:D, 3, FALSE), ""))</f>
        <v>http://www.biblesociety.co.za/</v>
      </c>
      <c r="L946">
        <f t="shared" si="29"/>
        <v>2</v>
      </c>
    </row>
    <row r="947" spans="1:12" x14ac:dyDescent="0.25">
      <c r="A947" t="s">
        <v>6118</v>
      </c>
      <c r="B947" t="str">
        <f>IF(ISERROR(VLOOKUP(F947,STEP!A:A, 1, FALSE)), "N", "Y")</f>
        <v>N</v>
      </c>
      <c r="C947" t="str">
        <f>IF(ISERROR(VLOOKUP(E947, BibleInEveryLanguageTexts!A:A, 1, FALSE)), "N", "Y")</f>
        <v>N</v>
      </c>
      <c r="D947" t="str">
        <f t="shared" si="28"/>
        <v>X</v>
      </c>
      <c r="E947" t="s">
        <v>6119</v>
      </c>
      <c r="F947" t="s">
        <v>6120</v>
      </c>
      <c r="G947" t="s">
        <v>2923</v>
      </c>
      <c r="H947" t="s">
        <v>6121</v>
      </c>
      <c r="I947" t="s">
        <v>2091</v>
      </c>
      <c r="J947" t="str">
        <f>IF(0 = IFERROR(VLOOKUP(DBL_FullList!I947, ContactsDbl!B:D, 2, FALSE), ""), "", IFERROR(VLOOKUP(DBL_FullList!I947, ContactsDbl!B:D, 2, FALSE), ""))</f>
        <v>geldenhuys@biblesociety.co.za</v>
      </c>
      <c r="K947" t="str">
        <f>IF(0 = IFERROR(VLOOKUP(DBL_FullList!I947,ContactsDbl!B:D, 3, FALSE), ""), "", IFERROR(VLOOKUP(DBL_FullList!I947, ContactsDbl!B:D, 3, FALSE), ""))</f>
        <v>http://www.biblesociety.co.za/</v>
      </c>
      <c r="L947">
        <f t="shared" si="29"/>
        <v>2</v>
      </c>
    </row>
    <row r="948" spans="1:12" x14ac:dyDescent="0.25">
      <c r="A948" t="s">
        <v>6122</v>
      </c>
      <c r="B948" t="str">
        <f>IF(ISERROR(VLOOKUP(F948,STEP!A:A, 1, FALSE)), "N", "Y")</f>
        <v>N</v>
      </c>
      <c r="C948" t="str">
        <f>IF(ISERROR(VLOOKUP(E948, BibleInEveryLanguageTexts!A:A, 1, FALSE)), "N", "Y")</f>
        <v>N</v>
      </c>
      <c r="D948" t="str">
        <f t="shared" si="28"/>
        <v>X</v>
      </c>
      <c r="E948" t="s">
        <v>3405</v>
      </c>
      <c r="F948" t="s">
        <v>3406</v>
      </c>
      <c r="G948" t="s">
        <v>2923</v>
      </c>
      <c r="H948" t="s">
        <v>6123</v>
      </c>
      <c r="I948" t="s">
        <v>2091</v>
      </c>
      <c r="J948" t="str">
        <f>IF(0 = IFERROR(VLOOKUP(DBL_FullList!I948, ContactsDbl!B:D, 2, FALSE), ""), "", IFERROR(VLOOKUP(DBL_FullList!I948, ContactsDbl!B:D, 2, FALSE), ""))</f>
        <v>geldenhuys@biblesociety.co.za</v>
      </c>
      <c r="K948" t="str">
        <f>IF(0 = IFERROR(VLOOKUP(DBL_FullList!I948,ContactsDbl!B:D, 3, FALSE), ""), "", IFERROR(VLOOKUP(DBL_FullList!I948, ContactsDbl!B:D, 3, FALSE), ""))</f>
        <v>http://www.biblesociety.co.za/</v>
      </c>
      <c r="L948">
        <f t="shared" si="29"/>
        <v>2</v>
      </c>
    </row>
    <row r="949" spans="1:12" x14ac:dyDescent="0.25">
      <c r="A949" t="s">
        <v>6124</v>
      </c>
      <c r="B949" t="str">
        <f>IF(ISERROR(VLOOKUP(F949,STEP!A:A, 1, FALSE)), "N", "Y")</f>
        <v>N</v>
      </c>
      <c r="C949" t="str">
        <f>IF(ISERROR(VLOOKUP(E949, BibleInEveryLanguageTexts!A:A, 1, FALSE)), "N", "Y")</f>
        <v>N</v>
      </c>
      <c r="D949" t="str">
        <f t="shared" si="28"/>
        <v>X</v>
      </c>
      <c r="E949" t="s">
        <v>6115</v>
      </c>
      <c r="F949" t="s">
        <v>6116</v>
      </c>
      <c r="G949" t="s">
        <v>2923</v>
      </c>
      <c r="H949" t="s">
        <v>6125</v>
      </c>
      <c r="I949" t="s">
        <v>2091</v>
      </c>
      <c r="J949" t="str">
        <f>IF(0 = IFERROR(VLOOKUP(DBL_FullList!I949, ContactsDbl!B:D, 2, FALSE), ""), "", IFERROR(VLOOKUP(DBL_FullList!I949, ContactsDbl!B:D, 2, FALSE), ""))</f>
        <v>geldenhuys@biblesociety.co.za</v>
      </c>
      <c r="K949" t="str">
        <f>IF(0 = IFERROR(VLOOKUP(DBL_FullList!I949,ContactsDbl!B:D, 3, FALSE), ""), "", IFERROR(VLOOKUP(DBL_FullList!I949, ContactsDbl!B:D, 3, FALSE), ""))</f>
        <v>http://www.biblesociety.co.za/</v>
      </c>
      <c r="L949">
        <f t="shared" si="29"/>
        <v>2</v>
      </c>
    </row>
    <row r="950" spans="1:12" x14ac:dyDescent="0.25">
      <c r="A950" t="s">
        <v>6126</v>
      </c>
      <c r="B950" t="str">
        <f>IF(ISERROR(VLOOKUP(F950,STEP!A:A, 1, FALSE)), "N", "Y")</f>
        <v>N</v>
      </c>
      <c r="C950" t="str">
        <f>IF(ISERROR(VLOOKUP(E950, BibleInEveryLanguageTexts!A:A, 1, FALSE)), "N", "Y")</f>
        <v>N</v>
      </c>
      <c r="D950" t="str">
        <f t="shared" si="28"/>
        <v>X</v>
      </c>
      <c r="E950" t="s">
        <v>6119</v>
      </c>
      <c r="F950" t="s">
        <v>6120</v>
      </c>
      <c r="G950" t="s">
        <v>2923</v>
      </c>
      <c r="H950" t="s">
        <v>6127</v>
      </c>
      <c r="I950" t="s">
        <v>2091</v>
      </c>
      <c r="J950" t="str">
        <f>IF(0 = IFERROR(VLOOKUP(DBL_FullList!I950, ContactsDbl!B:D, 2, FALSE), ""), "", IFERROR(VLOOKUP(DBL_FullList!I950, ContactsDbl!B:D, 2, FALSE), ""))</f>
        <v>geldenhuys@biblesociety.co.za</v>
      </c>
      <c r="K950" t="str">
        <f>IF(0 = IFERROR(VLOOKUP(DBL_FullList!I950,ContactsDbl!B:D, 3, FALSE), ""), "", IFERROR(VLOOKUP(DBL_FullList!I950, ContactsDbl!B:D, 3, FALSE), ""))</f>
        <v>http://www.biblesociety.co.za/</v>
      </c>
      <c r="L950">
        <f t="shared" si="29"/>
        <v>2</v>
      </c>
    </row>
    <row r="951" spans="1:12" x14ac:dyDescent="0.25">
      <c r="A951" t="s">
        <v>6128</v>
      </c>
      <c r="B951" t="str">
        <f>IF(ISERROR(VLOOKUP(F951,STEP!A:A, 1, FALSE)), "N", "Y")</f>
        <v>N</v>
      </c>
      <c r="C951" t="str">
        <f>IF(ISERROR(VLOOKUP(E951, BibleInEveryLanguageTexts!A:A, 1, FALSE)), "N", "Y")</f>
        <v>N</v>
      </c>
      <c r="D951" t="str">
        <f t="shared" si="28"/>
        <v>X</v>
      </c>
      <c r="E951" t="s">
        <v>6129</v>
      </c>
      <c r="F951" t="s">
        <v>6130</v>
      </c>
      <c r="G951" t="s">
        <v>2923</v>
      </c>
      <c r="H951" t="s">
        <v>6131</v>
      </c>
      <c r="I951" t="s">
        <v>2091</v>
      </c>
      <c r="J951" t="str">
        <f>IF(0 = IFERROR(VLOOKUP(DBL_FullList!I951, ContactsDbl!B:D, 2, FALSE), ""), "", IFERROR(VLOOKUP(DBL_FullList!I951, ContactsDbl!B:D, 2, FALSE), ""))</f>
        <v>geldenhuys@biblesociety.co.za</v>
      </c>
      <c r="K951" t="str">
        <f>IF(0 = IFERROR(VLOOKUP(DBL_FullList!I951,ContactsDbl!B:D, 3, FALSE), ""), "", IFERROR(VLOOKUP(DBL_FullList!I951, ContactsDbl!B:D, 3, FALSE), ""))</f>
        <v>http://www.biblesociety.co.za/</v>
      </c>
      <c r="L951">
        <f t="shared" si="29"/>
        <v>2</v>
      </c>
    </row>
    <row r="952" spans="1:12" x14ac:dyDescent="0.25">
      <c r="A952" t="s">
        <v>6132</v>
      </c>
      <c r="B952" t="str">
        <f>IF(ISERROR(VLOOKUP(F952,STEP!A:A, 1, FALSE)), "N", "Y")</f>
        <v>N</v>
      </c>
      <c r="C952" t="str">
        <f>IF(ISERROR(VLOOKUP(E952, BibleInEveryLanguageTexts!A:A, 1, FALSE)), "N", "Y")</f>
        <v>N</v>
      </c>
      <c r="D952" t="str">
        <f t="shared" si="28"/>
        <v>X</v>
      </c>
      <c r="E952" t="s">
        <v>6111</v>
      </c>
      <c r="F952" t="s">
        <v>6112</v>
      </c>
      <c r="G952" t="s">
        <v>2923</v>
      </c>
      <c r="H952" t="s">
        <v>6133</v>
      </c>
      <c r="I952" t="s">
        <v>2091</v>
      </c>
      <c r="J952" t="str">
        <f>IF(0 = IFERROR(VLOOKUP(DBL_FullList!I952, ContactsDbl!B:D, 2, FALSE), ""), "", IFERROR(VLOOKUP(DBL_FullList!I952, ContactsDbl!B:D, 2, FALSE), ""))</f>
        <v>geldenhuys@biblesociety.co.za</v>
      </c>
      <c r="K952" t="str">
        <f>IF(0 = IFERROR(VLOOKUP(DBL_FullList!I952,ContactsDbl!B:D, 3, FALSE), ""), "", IFERROR(VLOOKUP(DBL_FullList!I952, ContactsDbl!B:D, 3, FALSE), ""))</f>
        <v>http://www.biblesociety.co.za/</v>
      </c>
      <c r="L952">
        <f t="shared" si="29"/>
        <v>2</v>
      </c>
    </row>
    <row r="953" spans="1:12" x14ac:dyDescent="0.25">
      <c r="A953" t="s">
        <v>6134</v>
      </c>
      <c r="B953" t="str">
        <f>IF(ISERROR(VLOOKUP(F953,STEP!A:A, 1, FALSE)), "N", "Y")</f>
        <v>N</v>
      </c>
      <c r="C953" t="str">
        <f>IF(ISERROR(VLOOKUP(E953, BibleInEveryLanguageTexts!A:A, 1, FALSE)), "N", "Y")</f>
        <v>N</v>
      </c>
      <c r="D953" t="str">
        <f t="shared" si="28"/>
        <v>X</v>
      </c>
      <c r="E953" t="s">
        <v>6129</v>
      </c>
      <c r="F953" t="s">
        <v>6130</v>
      </c>
      <c r="G953" t="s">
        <v>2923</v>
      </c>
      <c r="H953" t="s">
        <v>6135</v>
      </c>
      <c r="I953" t="s">
        <v>2091</v>
      </c>
      <c r="J953" t="str">
        <f>IF(0 = IFERROR(VLOOKUP(DBL_FullList!I953, ContactsDbl!B:D, 2, FALSE), ""), "", IFERROR(VLOOKUP(DBL_FullList!I953, ContactsDbl!B:D, 2, FALSE), ""))</f>
        <v>geldenhuys@biblesociety.co.za</v>
      </c>
      <c r="K953" t="str">
        <f>IF(0 = IFERROR(VLOOKUP(DBL_FullList!I953,ContactsDbl!B:D, 3, FALSE), ""), "", IFERROR(VLOOKUP(DBL_FullList!I953, ContactsDbl!B:D, 3, FALSE), ""))</f>
        <v>http://www.biblesociety.co.za/</v>
      </c>
      <c r="L953">
        <f t="shared" si="29"/>
        <v>2</v>
      </c>
    </row>
    <row r="954" spans="1:12" x14ac:dyDescent="0.25">
      <c r="A954" t="s">
        <v>6136</v>
      </c>
      <c r="B954" t="str">
        <f>IF(ISERROR(VLOOKUP(F954,STEP!A:A, 1, FALSE)), "N", "Y")</f>
        <v>N</v>
      </c>
      <c r="C954" t="str">
        <f>IF(ISERROR(VLOOKUP(E954, BibleInEveryLanguageTexts!A:A, 1, FALSE)), "N", "Y")</f>
        <v>N</v>
      </c>
      <c r="D954" t="str">
        <f t="shared" si="28"/>
        <v>X</v>
      </c>
      <c r="E954" t="s">
        <v>5818</v>
      </c>
      <c r="F954" t="s">
        <v>3846</v>
      </c>
      <c r="G954" t="s">
        <v>27</v>
      </c>
      <c r="H954" t="s">
        <v>6137</v>
      </c>
      <c r="I954" t="s">
        <v>2563</v>
      </c>
      <c r="J954" t="str">
        <f>IF(0 = IFERROR(VLOOKUP(DBL_FullList!I954, ContactsDbl!B:D, 2, FALSE), ""), "", IFERROR(VLOOKUP(DBL_FullList!I954, ContactsDbl!B:D, 2, FALSE), ""))</f>
        <v/>
      </c>
      <c r="K954" t="str">
        <f>IF(0 = IFERROR(VLOOKUP(DBL_FullList!I954,ContactsDbl!B:D, 3, FALSE), ""), "", IFERROR(VLOOKUP(DBL_FullList!I954, ContactsDbl!B:D, 3, FALSE), ""))</f>
        <v>http://www.scottishbiblesociety.org</v>
      </c>
      <c r="L954">
        <f t="shared" si="29"/>
        <v>1</v>
      </c>
    </row>
    <row r="955" spans="1:12" x14ac:dyDescent="0.25">
      <c r="A955" t="s">
        <v>6138</v>
      </c>
      <c r="B955" t="str">
        <f>IF(ISERROR(VLOOKUP(F955,STEP!A:A, 1, FALSE)), "N", "Y")</f>
        <v>N</v>
      </c>
      <c r="C955" t="str">
        <f>IF(ISERROR(VLOOKUP(E955, BibleInEveryLanguageTexts!A:A, 1, FALSE)), "N", "Y")</f>
        <v>N</v>
      </c>
      <c r="D955" t="str">
        <f t="shared" si="28"/>
        <v>X</v>
      </c>
      <c r="E955" t="s">
        <v>4189</v>
      </c>
      <c r="F955" t="s">
        <v>4190</v>
      </c>
      <c r="G955" t="s">
        <v>4191</v>
      </c>
      <c r="H955" t="s">
        <v>6139</v>
      </c>
      <c r="I955" t="s">
        <v>3104</v>
      </c>
      <c r="J955" t="str">
        <f>IF(0 = IFERROR(VLOOKUP(DBL_FullList!I955, ContactsDbl!B:D, 2, FALSE), ""), "", IFERROR(VLOOKUP(DBL_FullList!I955, ContactsDbl!B:D, 2, FALSE), ""))</f>
        <v/>
      </c>
      <c r="K955" t="str">
        <f>IF(0 = IFERROR(VLOOKUP(DBL_FullList!I955,ContactsDbl!B:D, 3, FALSE), ""), "", IFERROR(VLOOKUP(DBL_FullList!I955, ContactsDbl!B:D, 3, FALSE), ""))</f>
        <v/>
      </c>
      <c r="L955">
        <f t="shared" si="29"/>
        <v>0</v>
      </c>
    </row>
    <row r="956" spans="1:12" x14ac:dyDescent="0.25">
      <c r="A956" t="s">
        <v>6140</v>
      </c>
      <c r="B956" t="str">
        <f>IF(ISERROR(VLOOKUP(F956,STEP!A:A, 1, FALSE)), "N", "Y")</f>
        <v>Y</v>
      </c>
      <c r="C956" t="str">
        <f>IF(ISERROR(VLOOKUP(E956, BibleInEveryLanguageTexts!A:A, 1, FALSE)), "N", "Y")</f>
        <v>N</v>
      </c>
      <c r="D956" t="str">
        <f t="shared" si="28"/>
        <v/>
      </c>
      <c r="E956" t="s">
        <v>6141</v>
      </c>
      <c r="F956" t="s">
        <v>6142</v>
      </c>
      <c r="G956" t="s">
        <v>48</v>
      </c>
      <c r="H956" t="s">
        <v>6143</v>
      </c>
      <c r="I956" t="s">
        <v>2661</v>
      </c>
      <c r="J956" t="str">
        <f>IF(0 = IFERROR(VLOOKUP(DBL_FullList!I956, ContactsDbl!B:D, 2, FALSE), ""), "", IFERROR(VLOOKUP(DBL_FullList!I956, ContactsDbl!B:D, 2, FALSE), ""))</f>
        <v>dbladmin_intl@sil.org</v>
      </c>
      <c r="K956" t="str">
        <f>IF(0 = IFERROR(VLOOKUP(DBL_FullList!I956,ContactsDbl!B:D, 3, FALSE), ""), "", IFERROR(VLOOKUP(DBL_FullList!I956, ContactsDbl!B:D, 3, FALSE), ""))</f>
        <v>http://www.wycliffe.org</v>
      </c>
      <c r="L956">
        <f t="shared" si="29"/>
        <v>2</v>
      </c>
    </row>
    <row r="957" spans="1:12" x14ac:dyDescent="0.25">
      <c r="A957" t="s">
        <v>6144</v>
      </c>
      <c r="B957" t="str">
        <f>IF(ISERROR(VLOOKUP(F957,STEP!A:A, 1, FALSE)), "N", "Y")</f>
        <v>N</v>
      </c>
      <c r="C957" t="str">
        <f>IF(ISERROR(VLOOKUP(E957, BibleInEveryLanguageTexts!A:A, 1, FALSE)), "N", "Y")</f>
        <v>N</v>
      </c>
      <c r="D957" t="str">
        <f t="shared" si="28"/>
        <v>X</v>
      </c>
      <c r="E957" t="s">
        <v>6145</v>
      </c>
      <c r="F957" t="s">
        <v>6146</v>
      </c>
      <c r="G957" t="s">
        <v>4050</v>
      </c>
      <c r="H957" t="s">
        <v>6147</v>
      </c>
      <c r="I957" t="s">
        <v>2661</v>
      </c>
      <c r="J957" t="str">
        <f>IF(0 = IFERROR(VLOOKUP(DBL_FullList!I957, ContactsDbl!B:D, 2, FALSE), ""), "", IFERROR(VLOOKUP(DBL_FullList!I957, ContactsDbl!B:D, 2, FALSE), ""))</f>
        <v>dbladmin_intl@sil.org</v>
      </c>
      <c r="K957" t="str">
        <f>IF(0 = IFERROR(VLOOKUP(DBL_FullList!I957,ContactsDbl!B:D, 3, FALSE), ""), "", IFERROR(VLOOKUP(DBL_FullList!I957, ContactsDbl!B:D, 3, FALSE), ""))</f>
        <v>http://www.wycliffe.org</v>
      </c>
      <c r="L957">
        <f t="shared" si="29"/>
        <v>2</v>
      </c>
    </row>
    <row r="958" spans="1:12" x14ac:dyDescent="0.25">
      <c r="A958" t="s">
        <v>6148</v>
      </c>
      <c r="B958" t="str">
        <f>IF(ISERROR(VLOOKUP(F958,STEP!A:A, 1, FALSE)), "N", "Y")</f>
        <v>N</v>
      </c>
      <c r="C958" t="str">
        <f>IF(ISERROR(VLOOKUP(E958, BibleInEveryLanguageTexts!A:A, 1, FALSE)), "N", "Y")</f>
        <v>N</v>
      </c>
      <c r="D958" t="str">
        <f t="shared" si="28"/>
        <v>X</v>
      </c>
      <c r="E958" t="s">
        <v>334</v>
      </c>
      <c r="F958" t="s">
        <v>332</v>
      </c>
      <c r="G958" t="s">
        <v>333</v>
      </c>
      <c r="H958" t="s">
        <v>6149</v>
      </c>
      <c r="I958" t="s">
        <v>1997</v>
      </c>
      <c r="J958" t="str">
        <f>IF(0 = IFERROR(VLOOKUP(DBL_FullList!I958, ContactsDbl!B:D, 2, FALSE), ""), "", IFERROR(VLOOKUP(DBL_FullList!I958, ContactsDbl!B:D, 2, FALSE), ""))</f>
        <v>Lee.Harris@biblica.com</v>
      </c>
      <c r="K958" t="str">
        <f>IF(0 = IFERROR(VLOOKUP(DBL_FullList!I958,ContactsDbl!B:D, 3, FALSE), ""), "", IFERROR(VLOOKUP(DBL_FullList!I958, ContactsDbl!B:D, 3, FALSE), ""))</f>
        <v>http://www.Biblica.com</v>
      </c>
      <c r="L958">
        <f t="shared" si="29"/>
        <v>2</v>
      </c>
    </row>
    <row r="959" spans="1:12" x14ac:dyDescent="0.25">
      <c r="A959" t="s">
        <v>6150</v>
      </c>
      <c r="B959" t="str">
        <f>IF(ISERROR(VLOOKUP(F959,STEP!A:A, 1, FALSE)), "N", "Y")</f>
        <v>N</v>
      </c>
      <c r="C959" t="str">
        <f>IF(ISERROR(VLOOKUP(E959, BibleInEveryLanguageTexts!A:A, 1, FALSE)), "N", "Y")</f>
        <v>N</v>
      </c>
      <c r="D959" t="str">
        <f t="shared" si="28"/>
        <v>X</v>
      </c>
      <c r="E959" t="s">
        <v>205</v>
      </c>
      <c r="F959" t="s">
        <v>204</v>
      </c>
      <c r="G959" t="s">
        <v>20</v>
      </c>
      <c r="H959" t="s">
        <v>6151</v>
      </c>
      <c r="I959" t="s">
        <v>2329</v>
      </c>
      <c r="J959" t="str">
        <f>IF(0 = IFERROR(VLOOKUP(DBL_FullList!I959, ContactsDbl!B:D, 2, FALSE), ""), "", IFERROR(VLOOKUP(DBL_FullList!I959, ContactsDbl!B:D, 2, FALSE), ""))</f>
        <v/>
      </c>
      <c r="K959" t="str">
        <f>IF(0 = IFERROR(VLOOKUP(DBL_FullList!I959,ContactsDbl!B:D, 3, FALSE), ""), "", IFERROR(VLOOKUP(DBL_FullList!I959, ContactsDbl!B:D, 3, FALSE), ""))</f>
        <v>http://www.bsind.org/</v>
      </c>
      <c r="L959">
        <f t="shared" si="29"/>
        <v>1</v>
      </c>
    </row>
    <row r="960" spans="1:12" x14ac:dyDescent="0.25">
      <c r="A960" t="s">
        <v>6152</v>
      </c>
      <c r="B960" t="str">
        <f>IF(ISERROR(VLOOKUP(F960,STEP!A:A, 1, FALSE)), "N", "Y")</f>
        <v>N</v>
      </c>
      <c r="C960" t="str">
        <f>IF(ISERROR(VLOOKUP(E960, BibleInEveryLanguageTexts!A:A, 1, FALSE)), "N", "Y")</f>
        <v>N</v>
      </c>
      <c r="D960" t="str">
        <f t="shared" si="28"/>
        <v>X</v>
      </c>
      <c r="E960" t="s">
        <v>6153</v>
      </c>
      <c r="F960" t="s">
        <v>6154</v>
      </c>
      <c r="G960" t="s">
        <v>98</v>
      </c>
      <c r="H960" t="s">
        <v>6155</v>
      </c>
      <c r="I960" t="s">
        <v>2135</v>
      </c>
      <c r="J960" t="str">
        <f>IF(0 = IFERROR(VLOOKUP(DBL_FullList!I960, ContactsDbl!B:D, 2, FALSE), ""), "", IFERROR(VLOOKUP(DBL_FullList!I960, ContactsDbl!B:D, 2, FALSE), ""))</f>
        <v>info@ceylonbiblesociety.org</v>
      </c>
      <c r="K960" t="str">
        <f>IF(0 = IFERROR(VLOOKUP(DBL_FullList!I960,ContactsDbl!B:D, 3, FALSE), ""), "", IFERROR(VLOOKUP(DBL_FullList!I960, ContactsDbl!B:D, 3, FALSE), ""))</f>
        <v>http://www.ceylonbiblesociety.org/</v>
      </c>
      <c r="L960">
        <f t="shared" si="29"/>
        <v>2</v>
      </c>
    </row>
    <row r="961" spans="1:12" x14ac:dyDescent="0.25">
      <c r="A961" t="s">
        <v>6156</v>
      </c>
      <c r="B961" t="str">
        <f>IF(ISERROR(VLOOKUP(F961,STEP!A:A, 1, FALSE)), "N", "Y")</f>
        <v>N</v>
      </c>
      <c r="C961" t="str">
        <f>IF(ISERROR(VLOOKUP(E961, BibleInEveryLanguageTexts!A:A, 1, FALSE)), "N", "Y")</f>
        <v>N</v>
      </c>
      <c r="D961" t="str">
        <f t="shared" si="28"/>
        <v>X</v>
      </c>
      <c r="E961" t="s">
        <v>4976</v>
      </c>
      <c r="F961" t="s">
        <v>163</v>
      </c>
      <c r="G961" t="s">
        <v>20</v>
      </c>
      <c r="H961" t="s">
        <v>6157</v>
      </c>
      <c r="I961" t="s">
        <v>2329</v>
      </c>
      <c r="J961" t="str">
        <f>IF(0 = IFERROR(VLOOKUP(DBL_FullList!I961, ContactsDbl!B:D, 2, FALSE), ""), "", IFERROR(VLOOKUP(DBL_FullList!I961, ContactsDbl!B:D, 2, FALSE), ""))</f>
        <v/>
      </c>
      <c r="K961" t="str">
        <f>IF(0 = IFERROR(VLOOKUP(DBL_FullList!I961,ContactsDbl!B:D, 3, FALSE), ""), "", IFERROR(VLOOKUP(DBL_FullList!I961, ContactsDbl!B:D, 3, FALSE), ""))</f>
        <v>http://www.bsind.org/</v>
      </c>
      <c r="L961">
        <f t="shared" si="29"/>
        <v>1</v>
      </c>
    </row>
    <row r="962" spans="1:12" x14ac:dyDescent="0.25">
      <c r="A962" t="s">
        <v>6158</v>
      </c>
      <c r="B962" t="str">
        <f>IF(ISERROR(VLOOKUP(F962,STEP!A:A, 1, FALSE)), "N", "Y")</f>
        <v>N</v>
      </c>
      <c r="C962" t="str">
        <f>IF(ISERROR(VLOOKUP(E962, BibleInEveryLanguageTexts!A:A, 1, FALSE)), "N", "Y")</f>
        <v>Y</v>
      </c>
      <c r="D962" t="str">
        <f t="shared" si="28"/>
        <v/>
      </c>
      <c r="E962" t="s">
        <v>12</v>
      </c>
      <c r="F962" t="s">
        <v>10</v>
      </c>
      <c r="G962" t="s">
        <v>11</v>
      </c>
      <c r="H962" t="s">
        <v>6159</v>
      </c>
      <c r="I962" t="s">
        <v>2469</v>
      </c>
      <c r="J962" t="str">
        <f>IF(0 = IFERROR(VLOOKUP(DBL_FullList!I962, ContactsDbl!B:D, 2, FALSE), ""), "", IFERROR(VLOOKUP(DBL_FullList!I962, ContactsDbl!B:D, 2, FALSE), ""))</f>
        <v>nrsvcopyright@mosaicrights.com</v>
      </c>
      <c r="K962" t="str">
        <f>IF(0 = IFERROR(VLOOKUP(DBL_FullList!I962,ContactsDbl!B:D, 3, FALSE), ""), "", IFERROR(VLOOKUP(DBL_FullList!I962, ContactsDbl!B:D, 3, FALSE), ""))</f>
        <v>http://www.nrsvbibles.org/</v>
      </c>
      <c r="L962">
        <f t="shared" si="29"/>
        <v>2</v>
      </c>
    </row>
    <row r="963" spans="1:12" x14ac:dyDescent="0.25">
      <c r="A963" t="s">
        <v>6160</v>
      </c>
      <c r="B963" t="str">
        <f>IF(ISERROR(VLOOKUP(F963,STEP!A:A, 1, FALSE)), "N", "Y")</f>
        <v>N</v>
      </c>
      <c r="C963" t="str">
        <f>IF(ISERROR(VLOOKUP(E963, BibleInEveryLanguageTexts!A:A, 1, FALSE)), "N", "Y")</f>
        <v>N</v>
      </c>
      <c r="D963" t="str">
        <f t="shared" ref="D963:D1026" si="30">IF(AND("N" = B963, "N" = C963), "X", "")</f>
        <v>X</v>
      </c>
      <c r="E963" t="s">
        <v>3578</v>
      </c>
      <c r="F963" t="s">
        <v>3579</v>
      </c>
      <c r="G963" t="s">
        <v>2833</v>
      </c>
      <c r="H963" t="s">
        <v>6161</v>
      </c>
      <c r="I963" t="s">
        <v>2647</v>
      </c>
      <c r="J963" t="str">
        <f>IF(0 = IFERROR(VLOOKUP(DBL_FullList!I963, ContactsDbl!B:D, 2, FALSE), ""), "", IFERROR(VLOOKUP(DBL_FullList!I963, ContactsDbl!B:D, 2, FALSE), ""))</f>
        <v>info@biblesociety-uganda.org</v>
      </c>
      <c r="K963" t="str">
        <f>IF(0 = IFERROR(VLOOKUP(DBL_FullList!I963,ContactsDbl!B:D, 3, FALSE), ""), "", IFERROR(VLOOKUP(DBL_FullList!I963, ContactsDbl!B:D, 3, FALSE), ""))</f>
        <v>http://www.biblesociety-uganda.org/</v>
      </c>
      <c r="L963">
        <f t="shared" ref="L963:L1026" si="31">IF("" &lt;&gt; J963, 2, IF("" &lt;&gt; K963, 1, 0))</f>
        <v>2</v>
      </c>
    </row>
    <row r="964" spans="1:12" x14ac:dyDescent="0.25">
      <c r="A964" t="s">
        <v>6162</v>
      </c>
      <c r="B964" t="str">
        <f>IF(ISERROR(VLOOKUP(F964,STEP!A:A, 1, FALSE)), "N", "Y")</f>
        <v>N</v>
      </c>
      <c r="C964" t="str">
        <f>IF(ISERROR(VLOOKUP(E964, BibleInEveryLanguageTexts!A:A, 1, FALSE)), "N", "Y")</f>
        <v>N</v>
      </c>
      <c r="D964" t="str">
        <f t="shared" si="30"/>
        <v>X</v>
      </c>
      <c r="E964" t="s">
        <v>6163</v>
      </c>
      <c r="F964" t="s">
        <v>6164</v>
      </c>
      <c r="G964" t="s">
        <v>268</v>
      </c>
      <c r="H964" t="s">
        <v>6165</v>
      </c>
      <c r="I964" t="s">
        <v>183</v>
      </c>
      <c r="J964" t="str">
        <f>IF(0 = IFERROR(VLOOKUP(DBL_FullList!I964, ContactsDbl!B:D, 2, FALSE), ""), "", IFERROR(VLOOKUP(DBL_FullList!I964, ContactsDbl!B:D, 2, FALSE), ""))</f>
        <v>dbl@biblesocieties.org</v>
      </c>
      <c r="K964" t="str">
        <f>IF(0 = IFERROR(VLOOKUP(DBL_FullList!I964,ContactsDbl!B:D, 3, FALSE), ""), "", IFERROR(VLOOKUP(DBL_FullList!I964, ContactsDbl!B:D, 3, FALSE), ""))</f>
        <v>http://www.unitedbiblesocieties.org/</v>
      </c>
      <c r="L964">
        <f t="shared" si="31"/>
        <v>2</v>
      </c>
    </row>
    <row r="965" spans="1:12" x14ac:dyDescent="0.25">
      <c r="A965" t="s">
        <v>6166</v>
      </c>
      <c r="B965" t="str">
        <f>IF(ISERROR(VLOOKUP(F965,STEP!A:A, 1, FALSE)), "N", "Y")</f>
        <v>N</v>
      </c>
      <c r="C965" t="str">
        <f>IF(ISERROR(VLOOKUP(E965, BibleInEveryLanguageTexts!A:A, 1, FALSE)), "N", "Y")</f>
        <v>Y</v>
      </c>
      <c r="D965" t="str">
        <f t="shared" si="30"/>
        <v/>
      </c>
      <c r="E965" t="s">
        <v>1515</v>
      </c>
      <c r="F965" t="s">
        <v>4076</v>
      </c>
      <c r="G965" t="s">
        <v>2858</v>
      </c>
      <c r="H965" t="s">
        <v>6167</v>
      </c>
      <c r="I965" t="s">
        <v>1997</v>
      </c>
      <c r="J965" t="str">
        <f>IF(0 = IFERROR(VLOOKUP(DBL_FullList!I965, ContactsDbl!B:D, 2, FALSE), ""), "", IFERROR(VLOOKUP(DBL_FullList!I965, ContactsDbl!B:D, 2, FALSE), ""))</f>
        <v>Lee.Harris@biblica.com</v>
      </c>
      <c r="K965" t="str">
        <f>IF(0 = IFERROR(VLOOKUP(DBL_FullList!I965,ContactsDbl!B:D, 3, FALSE), ""), "", IFERROR(VLOOKUP(DBL_FullList!I965, ContactsDbl!B:D, 3, FALSE), ""))</f>
        <v>http://www.Biblica.com</v>
      </c>
      <c r="L965">
        <f t="shared" si="31"/>
        <v>2</v>
      </c>
    </row>
    <row r="966" spans="1:12" x14ac:dyDescent="0.25">
      <c r="A966" t="s">
        <v>6168</v>
      </c>
      <c r="B966" t="str">
        <f>IF(ISERROR(VLOOKUP(F966,STEP!A:A, 1, FALSE)), "N", "Y")</f>
        <v>N</v>
      </c>
      <c r="C966" t="str">
        <f>IF(ISERROR(VLOOKUP(E966, BibleInEveryLanguageTexts!A:A, 1, FALSE)), "N", "Y")</f>
        <v>Y</v>
      </c>
      <c r="D966" t="str">
        <f t="shared" si="30"/>
        <v/>
      </c>
      <c r="E966" t="s">
        <v>2700</v>
      </c>
      <c r="F966" t="s">
        <v>3317</v>
      </c>
      <c r="G966" t="s">
        <v>3418</v>
      </c>
      <c r="H966" t="s">
        <v>6169</v>
      </c>
      <c r="I966" t="s">
        <v>2226</v>
      </c>
      <c r="J966" t="str">
        <f>IF(0 = IFERROR(VLOOKUP(DBL_FullList!I966, ContactsDbl!B:D, 2, FALSE), ""), "", IFERROR(VLOOKUP(DBL_FullList!I966, ContactsDbl!B:D, 2, FALSE), ""))</f>
        <v>alliance.biblique@sbf.fr</v>
      </c>
      <c r="K966" t="str">
        <f>IF(0 = IFERROR(VLOOKUP(DBL_FullList!I966,ContactsDbl!B:D, 3, FALSE), ""), "", IFERROR(VLOOKUP(DBL_FullList!I966, ContactsDbl!B:D, 3, FALSE), ""))</f>
        <v>www.alliancebiblique.fr</v>
      </c>
      <c r="L966">
        <f t="shared" si="31"/>
        <v>2</v>
      </c>
    </row>
    <row r="967" spans="1:12" x14ac:dyDescent="0.25">
      <c r="A967" t="s">
        <v>6170</v>
      </c>
      <c r="B967" t="str">
        <f>IF(ISERROR(VLOOKUP(F967,STEP!A:A, 1, FALSE)), "N", "Y")</f>
        <v>N</v>
      </c>
      <c r="C967" t="str">
        <f>IF(ISERROR(VLOOKUP(E967, BibleInEveryLanguageTexts!A:A, 1, FALSE)), "N", "Y")</f>
        <v>N</v>
      </c>
      <c r="D967" t="str">
        <f t="shared" si="30"/>
        <v>X</v>
      </c>
      <c r="E967" t="s">
        <v>5711</v>
      </c>
      <c r="F967" t="s">
        <v>5712</v>
      </c>
      <c r="G967" t="s">
        <v>6171</v>
      </c>
      <c r="H967" t="s">
        <v>6172</v>
      </c>
      <c r="I967" t="s">
        <v>2061</v>
      </c>
      <c r="J967" t="str">
        <f>IF(0 = IFERROR(VLOOKUP(DBL_FullList!I967, ContactsDbl!B:D, 2, FALSE), ""), "", IFERROR(VLOOKUP(DBL_FullList!I967, ContactsDbl!B:D, 2, FALSE), ""))</f>
        <v>bsl@biblesociety.org.lb</v>
      </c>
      <c r="K967" t="str">
        <f>IF(0 = IFERROR(VLOOKUP(DBL_FullList!I967,ContactsDbl!B:D, 3, FALSE), ""), "", IFERROR(VLOOKUP(DBL_FullList!I967, ContactsDbl!B:D, 3, FALSE), ""))</f>
        <v>http://www.biblesociety.org.lb/</v>
      </c>
      <c r="L967">
        <f t="shared" si="31"/>
        <v>2</v>
      </c>
    </row>
    <row r="968" spans="1:12" x14ac:dyDescent="0.25">
      <c r="A968" t="s">
        <v>6173</v>
      </c>
      <c r="B968" t="str">
        <f>IF(ISERROR(VLOOKUP(F968,STEP!A:A, 1, FALSE)), "N", "Y")</f>
        <v>N</v>
      </c>
      <c r="C968" t="str">
        <f>IF(ISERROR(VLOOKUP(E968, BibleInEveryLanguageTexts!A:A, 1, FALSE)), "N", "Y")</f>
        <v>N</v>
      </c>
      <c r="D968" t="str">
        <f t="shared" si="30"/>
        <v>X</v>
      </c>
      <c r="E968" t="s">
        <v>6047</v>
      </c>
      <c r="F968" t="s">
        <v>6048</v>
      </c>
      <c r="G968" t="s">
        <v>6049</v>
      </c>
      <c r="H968" t="s">
        <v>6174</v>
      </c>
      <c r="I968" t="s">
        <v>2061</v>
      </c>
      <c r="J968" t="str">
        <f>IF(0 = IFERROR(VLOOKUP(DBL_FullList!I968, ContactsDbl!B:D, 2, FALSE), ""), "", IFERROR(VLOOKUP(DBL_FullList!I968, ContactsDbl!B:D, 2, FALSE), ""))</f>
        <v>bsl@biblesociety.org.lb</v>
      </c>
      <c r="K968" t="str">
        <f>IF(0 = IFERROR(VLOOKUP(DBL_FullList!I968,ContactsDbl!B:D, 3, FALSE), ""), "", IFERROR(VLOOKUP(DBL_FullList!I968, ContactsDbl!B:D, 3, FALSE), ""))</f>
        <v>http://www.biblesociety.org.lb/</v>
      </c>
      <c r="L968">
        <f t="shared" si="31"/>
        <v>2</v>
      </c>
    </row>
    <row r="969" spans="1:12" x14ac:dyDescent="0.25">
      <c r="A969" t="s">
        <v>6175</v>
      </c>
      <c r="B969" t="str">
        <f>IF(ISERROR(VLOOKUP(F969,STEP!A:A, 1, FALSE)), "N", "Y")</f>
        <v>N</v>
      </c>
      <c r="C969" t="str">
        <f>IF(ISERROR(VLOOKUP(E969, BibleInEveryLanguageTexts!A:A, 1, FALSE)), "N", "Y")</f>
        <v>N</v>
      </c>
      <c r="D969" t="str">
        <f t="shared" si="30"/>
        <v>X</v>
      </c>
      <c r="E969" t="s">
        <v>6047</v>
      </c>
      <c r="F969" t="s">
        <v>6048</v>
      </c>
      <c r="G969" t="s">
        <v>6171</v>
      </c>
      <c r="H969" t="s">
        <v>6176</v>
      </c>
      <c r="I969" t="s">
        <v>2061</v>
      </c>
      <c r="J969" t="str">
        <f>IF(0 = IFERROR(VLOOKUP(DBL_FullList!I969, ContactsDbl!B:D, 2, FALSE), ""), "", IFERROR(VLOOKUP(DBL_FullList!I969, ContactsDbl!B:D, 2, FALSE), ""))</f>
        <v>bsl@biblesociety.org.lb</v>
      </c>
      <c r="K969" t="str">
        <f>IF(0 = IFERROR(VLOOKUP(DBL_FullList!I969,ContactsDbl!B:D, 3, FALSE), ""), "", IFERROR(VLOOKUP(DBL_FullList!I969, ContactsDbl!B:D, 3, FALSE), ""))</f>
        <v>http://www.biblesociety.org.lb/</v>
      </c>
      <c r="L969">
        <f t="shared" si="31"/>
        <v>2</v>
      </c>
    </row>
    <row r="970" spans="1:12" x14ac:dyDescent="0.25">
      <c r="A970" t="s">
        <v>6177</v>
      </c>
      <c r="B970" t="str">
        <f>IF(ISERROR(VLOOKUP(F970,STEP!A:A, 1, FALSE)), "N", "Y")</f>
        <v>N</v>
      </c>
      <c r="C970" t="str">
        <f>IF(ISERROR(VLOOKUP(E970, BibleInEveryLanguageTexts!A:A, 1, FALSE)), "N", "Y")</f>
        <v>Y</v>
      </c>
      <c r="D970" t="str">
        <f t="shared" si="30"/>
        <v/>
      </c>
      <c r="E970" t="s">
        <v>12</v>
      </c>
      <c r="F970" t="s">
        <v>10</v>
      </c>
      <c r="G970" t="s">
        <v>11</v>
      </c>
      <c r="H970" t="s">
        <v>6178</v>
      </c>
      <c r="I970" t="s">
        <v>1997</v>
      </c>
      <c r="J970" t="str">
        <f>IF(0 = IFERROR(VLOOKUP(DBL_FullList!I970, ContactsDbl!B:D, 2, FALSE), ""), "", IFERROR(VLOOKUP(DBL_FullList!I970, ContactsDbl!B:D, 2, FALSE), ""))</f>
        <v>Lee.Harris@biblica.com</v>
      </c>
      <c r="K970" t="str">
        <f>IF(0 = IFERROR(VLOOKUP(DBL_FullList!I970,ContactsDbl!B:D, 3, FALSE), ""), "", IFERROR(VLOOKUP(DBL_FullList!I970, ContactsDbl!B:D, 3, FALSE), ""))</f>
        <v>http://www.Biblica.com</v>
      </c>
      <c r="L970">
        <f t="shared" si="31"/>
        <v>2</v>
      </c>
    </row>
    <row r="971" spans="1:12" x14ac:dyDescent="0.25">
      <c r="A971" t="s">
        <v>6179</v>
      </c>
      <c r="B971" t="str">
        <f>IF(ISERROR(VLOOKUP(F971,STEP!A:A, 1, FALSE)), "N", "Y")</f>
        <v>N</v>
      </c>
      <c r="C971" t="str">
        <f>IF(ISERROR(VLOOKUP(E971, BibleInEveryLanguageTexts!A:A, 1, FALSE)), "N", "Y")</f>
        <v>N</v>
      </c>
      <c r="D971" t="str">
        <f t="shared" si="30"/>
        <v>X</v>
      </c>
      <c r="E971" t="s">
        <v>6180</v>
      </c>
      <c r="F971" t="s">
        <v>6181</v>
      </c>
      <c r="G971" t="s">
        <v>110</v>
      </c>
      <c r="H971" t="s">
        <v>6182</v>
      </c>
      <c r="I971" t="s">
        <v>2370</v>
      </c>
      <c r="J971" t="str">
        <f>IF(0 = IFERROR(VLOOKUP(DBL_FullList!I971, ContactsDbl!B:D, 2, FALSE), ""), "", IFERROR(VLOOKUP(DBL_FullList!I971, ContactsDbl!B:D, 2, FALSE), ""))</f>
        <v>anwartjen@alkitab.or.id</v>
      </c>
      <c r="K971" t="str">
        <f>IF(0 = IFERROR(VLOOKUP(DBL_FullList!I971,ContactsDbl!B:D, 3, FALSE), ""), "", IFERROR(VLOOKUP(DBL_FullList!I971, ContactsDbl!B:D, 3, FALSE), ""))</f>
        <v>http://www.alkitab.or.id/</v>
      </c>
      <c r="L971">
        <f t="shared" si="31"/>
        <v>2</v>
      </c>
    </row>
    <row r="972" spans="1:12" x14ac:dyDescent="0.25">
      <c r="A972" t="s">
        <v>6183</v>
      </c>
      <c r="B972" t="str">
        <f>IF(ISERROR(VLOOKUP(F972,STEP!A:A, 1, FALSE)), "N", "Y")</f>
        <v>N</v>
      </c>
      <c r="C972" t="str">
        <f>IF(ISERROR(VLOOKUP(E972, BibleInEveryLanguageTexts!A:A, 1, FALSE)), "N", "Y")</f>
        <v>N</v>
      </c>
      <c r="D972" t="str">
        <f t="shared" si="30"/>
        <v>X</v>
      </c>
      <c r="E972" t="s">
        <v>1698</v>
      </c>
      <c r="F972" t="s">
        <v>4065</v>
      </c>
      <c r="G972" t="s">
        <v>2858</v>
      </c>
      <c r="H972" t="s">
        <v>6184</v>
      </c>
      <c r="I972" t="s">
        <v>1997</v>
      </c>
      <c r="J972" t="str">
        <f>IF(0 = IFERROR(VLOOKUP(DBL_FullList!I972, ContactsDbl!B:D, 2, FALSE), ""), "", IFERROR(VLOOKUP(DBL_FullList!I972, ContactsDbl!B:D, 2, FALSE), ""))</f>
        <v>Lee.Harris@biblica.com</v>
      </c>
      <c r="K972" t="str">
        <f>IF(0 = IFERROR(VLOOKUP(DBL_FullList!I972,ContactsDbl!B:D, 3, FALSE), ""), "", IFERROR(VLOOKUP(DBL_FullList!I972, ContactsDbl!B:D, 3, FALSE), ""))</f>
        <v>http://www.Biblica.com</v>
      </c>
      <c r="L972">
        <f t="shared" si="31"/>
        <v>2</v>
      </c>
    </row>
    <row r="973" spans="1:12" x14ac:dyDescent="0.25">
      <c r="A973" t="s">
        <v>6185</v>
      </c>
      <c r="B973" t="str">
        <f>IF(ISERROR(VLOOKUP(F973,STEP!A:A, 1, FALSE)), "N", "Y")</f>
        <v>N</v>
      </c>
      <c r="C973" t="str">
        <f>IF(ISERROR(VLOOKUP(E973, BibleInEveryLanguageTexts!A:A, 1, FALSE)), "N", "Y")</f>
        <v>N</v>
      </c>
      <c r="D973" t="str">
        <f t="shared" si="30"/>
        <v>X</v>
      </c>
      <c r="E973" t="s">
        <v>6186</v>
      </c>
      <c r="F973" t="s">
        <v>6187</v>
      </c>
      <c r="G973" t="s">
        <v>2997</v>
      </c>
      <c r="H973" t="s">
        <v>6188</v>
      </c>
      <c r="I973" t="s">
        <v>2661</v>
      </c>
      <c r="J973" t="str">
        <f>IF(0 = IFERROR(VLOOKUP(DBL_FullList!I973, ContactsDbl!B:D, 2, FALSE), ""), "", IFERROR(VLOOKUP(DBL_FullList!I973, ContactsDbl!B:D, 2, FALSE), ""))</f>
        <v>dbladmin_intl@sil.org</v>
      </c>
      <c r="K973" t="str">
        <f>IF(0 = IFERROR(VLOOKUP(DBL_FullList!I973,ContactsDbl!B:D, 3, FALSE), ""), "", IFERROR(VLOOKUP(DBL_FullList!I973, ContactsDbl!B:D, 3, FALSE), ""))</f>
        <v>http://www.wycliffe.org</v>
      </c>
      <c r="L973">
        <f t="shared" si="31"/>
        <v>2</v>
      </c>
    </row>
    <row r="974" spans="1:12" x14ac:dyDescent="0.25">
      <c r="A974" t="s">
        <v>6189</v>
      </c>
      <c r="B974" t="str">
        <f>IF(ISERROR(VLOOKUP(F974,STEP!A:A, 1, FALSE)), "N", "Y")</f>
        <v>N</v>
      </c>
      <c r="C974" t="str">
        <f>IF(ISERROR(VLOOKUP(E974, BibleInEveryLanguageTexts!A:A, 1, FALSE)), "N", "Y")</f>
        <v>N</v>
      </c>
      <c r="D974" t="str">
        <f t="shared" si="30"/>
        <v>X</v>
      </c>
      <c r="E974" t="s">
        <v>6190</v>
      </c>
      <c r="F974" t="s">
        <v>6191</v>
      </c>
      <c r="G974" t="s">
        <v>2723</v>
      </c>
      <c r="H974" t="s">
        <v>6192</v>
      </c>
      <c r="I974" t="s">
        <v>2661</v>
      </c>
      <c r="J974" t="str">
        <f>IF(0 = IFERROR(VLOOKUP(DBL_FullList!I974, ContactsDbl!B:D, 2, FALSE), ""), "", IFERROR(VLOOKUP(DBL_FullList!I974, ContactsDbl!B:D, 2, FALSE), ""))</f>
        <v>dbladmin_intl@sil.org</v>
      </c>
      <c r="K974" t="str">
        <f>IF(0 = IFERROR(VLOOKUP(DBL_FullList!I974,ContactsDbl!B:D, 3, FALSE), ""), "", IFERROR(VLOOKUP(DBL_FullList!I974, ContactsDbl!B:D, 3, FALSE), ""))</f>
        <v>http://www.wycliffe.org</v>
      </c>
      <c r="L974">
        <f t="shared" si="31"/>
        <v>2</v>
      </c>
    </row>
    <row r="975" spans="1:12" x14ac:dyDescent="0.25">
      <c r="A975" t="s">
        <v>6193</v>
      </c>
      <c r="B975" t="str">
        <f>IF(ISERROR(VLOOKUP(F975,STEP!A:A, 1, FALSE)), "N", "Y")</f>
        <v>N</v>
      </c>
      <c r="C975" t="str">
        <f>IF(ISERROR(VLOOKUP(E975, BibleInEveryLanguageTexts!A:A, 1, FALSE)), "N", "Y")</f>
        <v>N</v>
      </c>
      <c r="D975" t="str">
        <f t="shared" si="30"/>
        <v>X</v>
      </c>
      <c r="E975" t="s">
        <v>6194</v>
      </c>
      <c r="F975" t="s">
        <v>6195</v>
      </c>
      <c r="G975" t="s">
        <v>2997</v>
      </c>
      <c r="H975" t="s">
        <v>6196</v>
      </c>
      <c r="I975" t="s">
        <v>2661</v>
      </c>
      <c r="J975" t="str">
        <f>IF(0 = IFERROR(VLOOKUP(DBL_FullList!I975, ContactsDbl!B:D, 2, FALSE), ""), "", IFERROR(VLOOKUP(DBL_FullList!I975, ContactsDbl!B:D, 2, FALSE), ""))</f>
        <v>dbladmin_intl@sil.org</v>
      </c>
      <c r="K975" t="str">
        <f>IF(0 = IFERROR(VLOOKUP(DBL_FullList!I975,ContactsDbl!B:D, 3, FALSE), ""), "", IFERROR(VLOOKUP(DBL_FullList!I975, ContactsDbl!B:D, 3, FALSE), ""))</f>
        <v>http://www.wycliffe.org</v>
      </c>
      <c r="L975">
        <f t="shared" si="31"/>
        <v>2</v>
      </c>
    </row>
    <row r="976" spans="1:12" x14ac:dyDescent="0.25">
      <c r="A976" t="s">
        <v>6197</v>
      </c>
      <c r="B976" t="str">
        <f>IF(ISERROR(VLOOKUP(F976,STEP!A:A, 1, FALSE)), "N", "Y")</f>
        <v>N</v>
      </c>
      <c r="C976" t="str">
        <f>IF(ISERROR(VLOOKUP(E976, BibleInEveryLanguageTexts!A:A, 1, FALSE)), "N", "Y")</f>
        <v>N</v>
      </c>
      <c r="D976" t="str">
        <f t="shared" si="30"/>
        <v>X</v>
      </c>
      <c r="E976" t="s">
        <v>6198</v>
      </c>
      <c r="F976" t="s">
        <v>4663</v>
      </c>
      <c r="G976" t="s">
        <v>2723</v>
      </c>
      <c r="H976" t="s">
        <v>6199</v>
      </c>
      <c r="I976" t="s">
        <v>2502</v>
      </c>
      <c r="J976" t="str">
        <f>IF(0 = IFERROR(VLOOKUP(DBL_FullList!I976, ContactsDbl!B:D, 2, FALSE), ""), "", IFERROR(VLOOKUP(DBL_FullList!I976, ContactsDbl!B:D, 2, FALSE), ""))</f>
        <v/>
      </c>
      <c r="K976" t="str">
        <f>IF(0 = IFERROR(VLOOKUP(DBL_FullList!I976,ContactsDbl!B:D, 3, FALSE), ""), "", IFERROR(VLOOKUP(DBL_FullList!I976, ContactsDbl!B:D, 3, FALSE), ""))</f>
        <v>http://www.sbp.org.pe/</v>
      </c>
      <c r="L976">
        <f t="shared" si="31"/>
        <v>1</v>
      </c>
    </row>
    <row r="977" spans="1:12" x14ac:dyDescent="0.25">
      <c r="A977" t="s">
        <v>6200</v>
      </c>
      <c r="B977" t="str">
        <f>IF(ISERROR(VLOOKUP(F977,STEP!A:A, 1, FALSE)), "N", "Y")</f>
        <v>N</v>
      </c>
      <c r="C977" t="str">
        <f>IF(ISERROR(VLOOKUP(E977, BibleInEveryLanguageTexts!A:A, 1, FALSE)), "N", "Y")</f>
        <v>N</v>
      </c>
      <c r="D977" t="str">
        <f t="shared" si="30"/>
        <v>X</v>
      </c>
      <c r="E977" t="s">
        <v>6201</v>
      </c>
      <c r="F977" t="s">
        <v>6202</v>
      </c>
      <c r="G977" t="s">
        <v>2723</v>
      </c>
      <c r="H977" t="s">
        <v>6203</v>
      </c>
      <c r="I977" t="s">
        <v>2502</v>
      </c>
      <c r="J977" t="str">
        <f>IF(0 = IFERROR(VLOOKUP(DBL_FullList!I977, ContactsDbl!B:D, 2, FALSE), ""), "", IFERROR(VLOOKUP(DBL_FullList!I977, ContactsDbl!B:D, 2, FALSE), ""))</f>
        <v/>
      </c>
      <c r="K977" t="str">
        <f>IF(0 = IFERROR(VLOOKUP(DBL_FullList!I977,ContactsDbl!B:D, 3, FALSE), ""), "", IFERROR(VLOOKUP(DBL_FullList!I977, ContactsDbl!B:D, 3, FALSE), ""))</f>
        <v>http://www.sbp.org.pe/</v>
      </c>
      <c r="L977">
        <f t="shared" si="31"/>
        <v>1</v>
      </c>
    </row>
    <row r="978" spans="1:12" x14ac:dyDescent="0.25">
      <c r="A978" t="s">
        <v>6204</v>
      </c>
      <c r="B978" t="str">
        <f>IF(ISERROR(VLOOKUP(F978,STEP!A:A, 1, FALSE)), "N", "Y")</f>
        <v>N</v>
      </c>
      <c r="C978" t="str">
        <f>IF(ISERROR(VLOOKUP(E978, BibleInEveryLanguageTexts!A:A, 1, FALSE)), "N", "Y")</f>
        <v>N</v>
      </c>
      <c r="D978" t="str">
        <f t="shared" si="30"/>
        <v>X</v>
      </c>
      <c r="E978" t="s">
        <v>6205</v>
      </c>
      <c r="F978" t="s">
        <v>4043</v>
      </c>
      <c r="G978" t="s">
        <v>2723</v>
      </c>
      <c r="H978" t="s">
        <v>6206</v>
      </c>
      <c r="I978" t="s">
        <v>2502</v>
      </c>
      <c r="J978" t="str">
        <f>IF(0 = IFERROR(VLOOKUP(DBL_FullList!I978, ContactsDbl!B:D, 2, FALSE), ""), "", IFERROR(VLOOKUP(DBL_FullList!I978, ContactsDbl!B:D, 2, FALSE), ""))</f>
        <v/>
      </c>
      <c r="K978" t="str">
        <f>IF(0 = IFERROR(VLOOKUP(DBL_FullList!I978,ContactsDbl!B:D, 3, FALSE), ""), "", IFERROR(VLOOKUP(DBL_FullList!I978, ContactsDbl!B:D, 3, FALSE), ""))</f>
        <v>http://www.sbp.org.pe/</v>
      </c>
      <c r="L978">
        <f t="shared" si="31"/>
        <v>1</v>
      </c>
    </row>
    <row r="979" spans="1:12" x14ac:dyDescent="0.25">
      <c r="A979" t="s">
        <v>6207</v>
      </c>
      <c r="B979" t="str">
        <f>IF(ISERROR(VLOOKUP(F979,STEP!A:A, 1, FALSE)), "N", "Y")</f>
        <v>N</v>
      </c>
      <c r="C979" t="str">
        <f>IF(ISERROR(VLOOKUP(E979, BibleInEveryLanguageTexts!A:A, 1, FALSE)), "N", "Y")</f>
        <v>N</v>
      </c>
      <c r="D979" t="str">
        <f t="shared" si="30"/>
        <v>X</v>
      </c>
      <c r="E979" t="s">
        <v>6208</v>
      </c>
      <c r="F979" t="s">
        <v>6202</v>
      </c>
      <c r="G979" t="s">
        <v>2723</v>
      </c>
      <c r="H979" t="s">
        <v>6209</v>
      </c>
      <c r="I979" t="s">
        <v>2502</v>
      </c>
      <c r="J979" t="str">
        <f>IF(0 = IFERROR(VLOOKUP(DBL_FullList!I979, ContactsDbl!B:D, 2, FALSE), ""), "", IFERROR(VLOOKUP(DBL_FullList!I979, ContactsDbl!B:D, 2, FALSE), ""))</f>
        <v/>
      </c>
      <c r="K979" t="str">
        <f>IF(0 = IFERROR(VLOOKUP(DBL_FullList!I979,ContactsDbl!B:D, 3, FALSE), ""), "", IFERROR(VLOOKUP(DBL_FullList!I979, ContactsDbl!B:D, 3, FALSE), ""))</f>
        <v>http://www.sbp.org.pe/</v>
      </c>
      <c r="L979">
        <f t="shared" si="31"/>
        <v>1</v>
      </c>
    </row>
    <row r="980" spans="1:12" x14ac:dyDescent="0.25">
      <c r="A980" t="s">
        <v>6210</v>
      </c>
      <c r="B980" t="str">
        <f>IF(ISERROR(VLOOKUP(F980,STEP!A:A, 1, FALSE)), "N", "Y")</f>
        <v>N</v>
      </c>
      <c r="C980" t="str">
        <f>IF(ISERROR(VLOOKUP(E980, BibleInEveryLanguageTexts!A:A, 1, FALSE)), "N", "Y")</f>
        <v>N</v>
      </c>
      <c r="D980" t="str">
        <f t="shared" si="30"/>
        <v>X</v>
      </c>
      <c r="E980" t="s">
        <v>3831</v>
      </c>
      <c r="F980" t="s">
        <v>3832</v>
      </c>
      <c r="G980" t="s">
        <v>3886</v>
      </c>
      <c r="H980" t="s">
        <v>6211</v>
      </c>
      <c r="I980" t="s">
        <v>2354</v>
      </c>
      <c r="J980" t="str">
        <f>IF(0 = IFERROR(VLOOKUP(DBL_FullList!I980, ContactsDbl!B:D, 2, FALSE), ""), "", IFERROR(VLOOKUP(DBL_FullList!I980, ContactsDbl!B:D, 2, FALSE), ""))</f>
        <v>hjyang@bskorea.or.kr</v>
      </c>
      <c r="K980" t="str">
        <f>IF(0 = IFERROR(VLOOKUP(DBL_FullList!I980,ContactsDbl!B:D, 3, FALSE), ""), "", IFERROR(VLOOKUP(DBL_FullList!I980, ContactsDbl!B:D, 3, FALSE), ""))</f>
        <v>http://www.bskorea.or.kr/</v>
      </c>
      <c r="L980">
        <f t="shared" si="31"/>
        <v>2</v>
      </c>
    </row>
    <row r="981" spans="1:12" x14ac:dyDescent="0.25">
      <c r="A981" t="s">
        <v>6212</v>
      </c>
      <c r="B981" t="str">
        <f>IF(ISERROR(VLOOKUP(F981,STEP!A:A, 1, FALSE)), "N", "Y")</f>
        <v>N</v>
      </c>
      <c r="C981" t="str">
        <f>IF(ISERROR(VLOOKUP(E981, BibleInEveryLanguageTexts!A:A, 1, FALSE)), "N", "Y")</f>
        <v>N</v>
      </c>
      <c r="D981" t="str">
        <f t="shared" si="30"/>
        <v>X</v>
      </c>
      <c r="E981" t="s">
        <v>3925</v>
      </c>
      <c r="F981" t="s">
        <v>3926</v>
      </c>
      <c r="G981" t="s">
        <v>306</v>
      </c>
      <c r="H981" t="s">
        <v>6213</v>
      </c>
      <c r="I981" t="s">
        <v>2106</v>
      </c>
      <c r="J981" t="str">
        <f>IF(0 = IFERROR(VLOOKUP(DBL_FullList!I981, ContactsDbl!B:D, 2, FALSE), ""), "", IFERROR(VLOOKUP(DBL_FullList!I981, ContactsDbl!B:D, 2, FALSE), ""))</f>
        <v>info@biblesociety-tanzania.org</v>
      </c>
      <c r="K981" t="str">
        <f>IF(0 = IFERROR(VLOOKUP(DBL_FullList!I981,ContactsDbl!B:D, 3, FALSE), ""), "", IFERROR(VLOOKUP(DBL_FullList!I981, ContactsDbl!B:D, 3, FALSE), ""))</f>
        <v>http://biblesociety-tanzania.org/</v>
      </c>
      <c r="L981">
        <f t="shared" si="31"/>
        <v>2</v>
      </c>
    </row>
    <row r="982" spans="1:12" x14ac:dyDescent="0.25">
      <c r="A982" t="s">
        <v>6214</v>
      </c>
      <c r="B982" t="str">
        <f>IF(ISERROR(VLOOKUP(F982,STEP!A:A, 1, FALSE)), "N", "Y")</f>
        <v>N</v>
      </c>
      <c r="C982" t="str">
        <f>IF(ISERROR(VLOOKUP(E982, BibleInEveryLanguageTexts!A:A, 1, FALSE)), "N", "Y")</f>
        <v>N</v>
      </c>
      <c r="D982" t="str">
        <f t="shared" si="30"/>
        <v>X</v>
      </c>
      <c r="E982" t="s">
        <v>6215</v>
      </c>
      <c r="F982" t="s">
        <v>6216</v>
      </c>
      <c r="G982" t="s">
        <v>3181</v>
      </c>
      <c r="H982" t="s">
        <v>6217</v>
      </c>
      <c r="I982" t="s">
        <v>2661</v>
      </c>
      <c r="J982" t="str">
        <f>IF(0 = IFERROR(VLOOKUP(DBL_FullList!I982, ContactsDbl!B:D, 2, FALSE), ""), "", IFERROR(VLOOKUP(DBL_FullList!I982, ContactsDbl!B:D, 2, FALSE), ""))</f>
        <v>dbladmin_intl@sil.org</v>
      </c>
      <c r="K982" t="str">
        <f>IF(0 = IFERROR(VLOOKUP(DBL_FullList!I982,ContactsDbl!B:D, 3, FALSE), ""), "", IFERROR(VLOOKUP(DBL_FullList!I982, ContactsDbl!B:D, 3, FALSE), ""))</f>
        <v>http://www.wycliffe.org</v>
      </c>
      <c r="L982">
        <f t="shared" si="31"/>
        <v>2</v>
      </c>
    </row>
    <row r="983" spans="1:12" x14ac:dyDescent="0.25">
      <c r="A983" t="s">
        <v>6218</v>
      </c>
      <c r="B983" t="str">
        <f>IF(ISERROR(VLOOKUP(F983,STEP!A:A, 1, FALSE)), "N", "Y")</f>
        <v>N</v>
      </c>
      <c r="C983" t="str">
        <f>IF(ISERROR(VLOOKUP(E983, BibleInEveryLanguageTexts!A:A, 1, FALSE)), "N", "Y")</f>
        <v>N</v>
      </c>
      <c r="D983" t="str">
        <f t="shared" si="30"/>
        <v>X</v>
      </c>
      <c r="E983" t="s">
        <v>6219</v>
      </c>
      <c r="F983" t="s">
        <v>6220</v>
      </c>
      <c r="G983" t="s">
        <v>284</v>
      </c>
      <c r="H983" t="s">
        <v>6221</v>
      </c>
      <c r="I983" t="s">
        <v>1993</v>
      </c>
      <c r="J983" t="str">
        <f>IF(0 = IFERROR(VLOOKUP(DBL_FullList!I983, ContactsDbl!B:D, 2, FALSE), ""), "", IFERROR(VLOOKUP(DBL_FullList!I983, ContactsDbl!B:D, 2, FALSE), ""))</f>
        <v>infor@biblecambodia.org</v>
      </c>
      <c r="K983" t="str">
        <f>IF(0 = IFERROR(VLOOKUP(DBL_FullList!I983,ContactsDbl!B:D, 3, FALSE), ""), "", IFERROR(VLOOKUP(DBL_FullList!I983, ContactsDbl!B:D, 3, FALSE), ""))</f>
        <v>www.biblecambodia.org</v>
      </c>
      <c r="L983">
        <f t="shared" si="31"/>
        <v>2</v>
      </c>
    </row>
    <row r="984" spans="1:12" x14ac:dyDescent="0.25">
      <c r="A984" t="s">
        <v>200</v>
      </c>
      <c r="B984" t="str">
        <f>IF(ISERROR(VLOOKUP(F984,STEP!A:A, 1, FALSE)), "N", "Y")</f>
        <v>N</v>
      </c>
      <c r="C984" t="str">
        <f>IF(ISERROR(VLOOKUP(E984, BibleInEveryLanguageTexts!A:A, 1, FALSE)), "N", "Y")</f>
        <v>N</v>
      </c>
      <c r="D984" t="str">
        <f t="shared" si="30"/>
        <v>X</v>
      </c>
      <c r="E984" t="s">
        <v>199</v>
      </c>
      <c r="F984" t="s">
        <v>197</v>
      </c>
      <c r="G984" t="s">
        <v>198</v>
      </c>
      <c r="H984" t="s">
        <v>195</v>
      </c>
      <c r="I984" t="s">
        <v>196</v>
      </c>
      <c r="J984" t="str">
        <f>IF(0 = IFERROR(VLOOKUP(DBL_FullList!I984, ContactsDbl!B:D, 2, FALSE), ""), "", IFERROR(VLOOKUP(DBL_FullList!I984, ContactsDbl!B:D, 2, FALSE), ""))</f>
        <v>info@freebibleministry.org</v>
      </c>
      <c r="K984" t="str">
        <f>IF(0 = IFERROR(VLOOKUP(DBL_FullList!I984,ContactsDbl!B:D, 3, FALSE), ""), "", IFERROR(VLOOKUP(DBL_FullList!I984, ContactsDbl!B:D, 3, FALSE), ""))</f>
        <v>http://www.freebibleministry.org/</v>
      </c>
      <c r="L984">
        <f t="shared" si="31"/>
        <v>2</v>
      </c>
    </row>
    <row r="985" spans="1:12" x14ac:dyDescent="0.25">
      <c r="A985" t="s">
        <v>6222</v>
      </c>
      <c r="B985" t="str">
        <f>IF(ISERROR(VLOOKUP(F985,STEP!A:A, 1, FALSE)), "N", "Y")</f>
        <v>N</v>
      </c>
      <c r="C985" t="str">
        <f>IF(ISERROR(VLOOKUP(E985, BibleInEveryLanguageTexts!A:A, 1, FALSE)), "N", "Y")</f>
        <v>N</v>
      </c>
      <c r="D985" t="str">
        <f t="shared" si="30"/>
        <v>X</v>
      </c>
      <c r="E985" t="s">
        <v>6223</v>
      </c>
      <c r="F985" t="s">
        <v>6224</v>
      </c>
      <c r="G985" t="s">
        <v>3194</v>
      </c>
      <c r="H985" t="s">
        <v>6225</v>
      </c>
      <c r="I985" t="s">
        <v>2318</v>
      </c>
      <c r="J985" t="str">
        <f>IF(0 = IFERROR(VLOOKUP(DBL_FullList!I985, ContactsDbl!B:D, 2, FALSE), ""), "", IFERROR(VLOOKUP(DBL_FullList!I985, ContactsDbl!B:D, 2, FALSE), ""))</f>
        <v/>
      </c>
      <c r="K985" t="str">
        <f>IF(0 = IFERROR(VLOOKUP(DBL_FullList!I985,ContactsDbl!B:D, 3, FALSE), ""), "", IFERROR(VLOOKUP(DBL_FullList!I985, ContactsDbl!B:D, 3, FALSE), ""))</f>
        <v>http://www.ifb.nu</v>
      </c>
      <c r="L985">
        <f t="shared" si="31"/>
        <v>1</v>
      </c>
    </row>
    <row r="986" spans="1:12" x14ac:dyDescent="0.25">
      <c r="A986" t="s">
        <v>6226</v>
      </c>
      <c r="B986" t="str">
        <f>IF(ISERROR(VLOOKUP(F986,STEP!A:A, 1, FALSE)), "N", "Y")</f>
        <v>N</v>
      </c>
      <c r="C986" t="str">
        <f>IF(ISERROR(VLOOKUP(E986, BibleInEveryLanguageTexts!A:A, 1, FALSE)), "N", "Y")</f>
        <v>N</v>
      </c>
      <c r="D986" t="str">
        <f t="shared" si="30"/>
        <v>X</v>
      </c>
      <c r="E986" t="s">
        <v>2921</v>
      </c>
      <c r="F986" t="s">
        <v>2922</v>
      </c>
      <c r="G986" t="s">
        <v>2923</v>
      </c>
      <c r="H986" t="s">
        <v>6227</v>
      </c>
      <c r="I986" t="s">
        <v>2091</v>
      </c>
      <c r="J986" t="str">
        <f>IF(0 = IFERROR(VLOOKUP(DBL_FullList!I986, ContactsDbl!B:D, 2, FALSE), ""), "", IFERROR(VLOOKUP(DBL_FullList!I986, ContactsDbl!B:D, 2, FALSE), ""))</f>
        <v>geldenhuys@biblesociety.co.za</v>
      </c>
      <c r="K986" t="str">
        <f>IF(0 = IFERROR(VLOOKUP(DBL_FullList!I986,ContactsDbl!B:D, 3, FALSE), ""), "", IFERROR(VLOOKUP(DBL_FullList!I986, ContactsDbl!B:D, 3, FALSE), ""))</f>
        <v>http://www.biblesociety.co.za/</v>
      </c>
      <c r="L986">
        <f t="shared" si="31"/>
        <v>2</v>
      </c>
    </row>
    <row r="987" spans="1:12" x14ac:dyDescent="0.25">
      <c r="A987" t="s">
        <v>6228</v>
      </c>
      <c r="B987" t="str">
        <f>IF(ISERROR(VLOOKUP(F987,STEP!A:A, 1, FALSE)), "N", "Y")</f>
        <v>N</v>
      </c>
      <c r="C987" t="str">
        <f>IF(ISERROR(VLOOKUP(E987, BibleInEveryLanguageTexts!A:A, 1, FALSE)), "N", "Y")</f>
        <v>N</v>
      </c>
      <c r="D987" t="str">
        <f t="shared" si="30"/>
        <v>X</v>
      </c>
      <c r="E987" t="s">
        <v>6229</v>
      </c>
      <c r="F987" t="s">
        <v>6230</v>
      </c>
      <c r="G987" t="s">
        <v>4919</v>
      </c>
      <c r="H987" t="s">
        <v>6231</v>
      </c>
      <c r="I987" t="s">
        <v>2444</v>
      </c>
      <c r="J987" t="str">
        <f>IF(0 = IFERROR(VLOOKUP(DBL_FullList!I987, ContactsDbl!B:D, 2, FALSE), ""), "", IFERROR(VLOOKUP(DBL_FullList!I987, ContactsDbl!B:D, 2, FALSE), ""))</f>
        <v>sbmoz@tvcabo.co.mz</v>
      </c>
      <c r="K987" t="str">
        <f>IF(0 = IFERROR(VLOOKUP(DBL_FullList!I987,ContactsDbl!B:D, 3, FALSE), ""), "", IFERROR(VLOOKUP(DBL_FullList!I987, ContactsDbl!B:D, 3, FALSE), ""))</f>
        <v>http://www.unitedbiblesocieties.org/society/bible-society-in-mozambique/</v>
      </c>
      <c r="L987">
        <f t="shared" si="31"/>
        <v>2</v>
      </c>
    </row>
    <row r="988" spans="1:12" x14ac:dyDescent="0.25">
      <c r="A988" t="s">
        <v>6232</v>
      </c>
      <c r="B988" t="str">
        <f>IF(ISERROR(VLOOKUP(F988,STEP!A:A, 1, FALSE)), "N", "Y")</f>
        <v>N</v>
      </c>
      <c r="C988" t="str">
        <f>IF(ISERROR(VLOOKUP(E988, BibleInEveryLanguageTexts!A:A, 1, FALSE)), "N", "Y")</f>
        <v>N</v>
      </c>
      <c r="D988" t="str">
        <f t="shared" si="30"/>
        <v>X</v>
      </c>
      <c r="E988" t="s">
        <v>517</v>
      </c>
      <c r="F988" t="s">
        <v>515</v>
      </c>
      <c r="G988" t="s">
        <v>516</v>
      </c>
      <c r="H988" t="s">
        <v>6233</v>
      </c>
      <c r="I988" t="s">
        <v>2519</v>
      </c>
      <c r="J988" t="str">
        <f>IF(0 = IFERROR(VLOOKUP(DBL_FullList!I988, ContactsDbl!B:D, 2, FALSE), ""), "", IFERROR(VLOOKUP(DBL_FullList!I988, ContactsDbl!B:D, 2, FALSE), ""))</f>
        <v>gjjkarsten@jongbloed.com</v>
      </c>
      <c r="K988" t="str">
        <f>IF(0 = IFERROR(VLOOKUP(DBL_FullList!I988,ContactsDbl!B:D, 3, FALSE), ""), "", IFERROR(VLOOKUP(DBL_FullList!I988, ContactsDbl!B:D, 3, FALSE), ""))</f>
        <v>http://www.royaljongbloed.com/</v>
      </c>
      <c r="L988">
        <f t="shared" si="31"/>
        <v>2</v>
      </c>
    </row>
    <row r="989" spans="1:12" x14ac:dyDescent="0.25">
      <c r="A989" t="s">
        <v>6234</v>
      </c>
      <c r="B989" t="str">
        <f>IF(ISERROR(VLOOKUP(F989,STEP!A:A, 1, FALSE)), "N", "Y")</f>
        <v>N</v>
      </c>
      <c r="C989" t="str">
        <f>IF(ISERROR(VLOOKUP(E989, BibleInEveryLanguageTexts!A:A, 1, FALSE)), "N", "Y")</f>
        <v>N</v>
      </c>
      <c r="D989" t="str">
        <f t="shared" si="30"/>
        <v>X</v>
      </c>
      <c r="E989" t="s">
        <v>6153</v>
      </c>
      <c r="F989" t="s">
        <v>6154</v>
      </c>
      <c r="G989" t="s">
        <v>98</v>
      </c>
      <c r="H989" t="s">
        <v>6235</v>
      </c>
      <c r="I989" t="s">
        <v>2135</v>
      </c>
      <c r="J989" t="str">
        <f>IF(0 = IFERROR(VLOOKUP(DBL_FullList!I989, ContactsDbl!B:D, 2, FALSE), ""), "", IFERROR(VLOOKUP(DBL_FullList!I989, ContactsDbl!B:D, 2, FALSE), ""))</f>
        <v>info@ceylonbiblesociety.org</v>
      </c>
      <c r="K989" t="str">
        <f>IF(0 = IFERROR(VLOOKUP(DBL_FullList!I989,ContactsDbl!B:D, 3, FALSE), ""), "", IFERROR(VLOOKUP(DBL_FullList!I989, ContactsDbl!B:D, 3, FALSE), ""))</f>
        <v>http://www.ceylonbiblesociety.org/</v>
      </c>
      <c r="L989">
        <f t="shared" si="31"/>
        <v>2</v>
      </c>
    </row>
    <row r="990" spans="1:12" x14ac:dyDescent="0.25">
      <c r="A990" t="s">
        <v>6236</v>
      </c>
      <c r="B990" t="str">
        <f>IF(ISERROR(VLOOKUP(F990,STEP!A:A, 1, FALSE)), "N", "Y")</f>
        <v>N</v>
      </c>
      <c r="C990" t="str">
        <f>IF(ISERROR(VLOOKUP(E990, BibleInEveryLanguageTexts!A:A, 1, FALSE)), "N", "Y")</f>
        <v>N</v>
      </c>
      <c r="D990" t="str">
        <f t="shared" si="30"/>
        <v>X</v>
      </c>
      <c r="E990" t="s">
        <v>6237</v>
      </c>
      <c r="F990" t="s">
        <v>6238</v>
      </c>
      <c r="G990" t="s">
        <v>4120</v>
      </c>
      <c r="H990" t="s">
        <v>6239</v>
      </c>
      <c r="I990" t="s">
        <v>183</v>
      </c>
      <c r="J990" t="str">
        <f>IF(0 = IFERROR(VLOOKUP(DBL_FullList!I990, ContactsDbl!B:D, 2, FALSE), ""), "", IFERROR(VLOOKUP(DBL_FullList!I990, ContactsDbl!B:D, 2, FALSE), ""))</f>
        <v>dbl@biblesocieties.org</v>
      </c>
      <c r="K990" t="str">
        <f>IF(0 = IFERROR(VLOOKUP(DBL_FullList!I990,ContactsDbl!B:D, 3, FALSE), ""), "", IFERROR(VLOOKUP(DBL_FullList!I990, ContactsDbl!B:D, 3, FALSE), ""))</f>
        <v>http://www.unitedbiblesocieties.org/</v>
      </c>
      <c r="L990">
        <f t="shared" si="31"/>
        <v>2</v>
      </c>
    </row>
    <row r="991" spans="1:12" x14ac:dyDescent="0.25">
      <c r="A991" t="s">
        <v>6240</v>
      </c>
      <c r="B991" t="str">
        <f>IF(ISERROR(VLOOKUP(F991,STEP!A:A, 1, FALSE)), "N", "Y")</f>
        <v>N</v>
      </c>
      <c r="C991" t="str">
        <f>IF(ISERROR(VLOOKUP(E991, BibleInEveryLanguageTexts!A:A, 1, FALSE)), "N", "Y")</f>
        <v>Y</v>
      </c>
      <c r="D991" t="str">
        <f t="shared" si="30"/>
        <v/>
      </c>
      <c r="E991" t="s">
        <v>2700</v>
      </c>
      <c r="F991" t="s">
        <v>3317</v>
      </c>
      <c r="G991" t="s">
        <v>3418</v>
      </c>
      <c r="H991" t="s">
        <v>6241</v>
      </c>
      <c r="I991" t="s">
        <v>1997</v>
      </c>
      <c r="J991" t="str">
        <f>IF(0 = IFERROR(VLOOKUP(DBL_FullList!I991, ContactsDbl!B:D, 2, FALSE), ""), "", IFERROR(VLOOKUP(DBL_FullList!I991, ContactsDbl!B:D, 2, FALSE), ""))</f>
        <v>Lee.Harris@biblica.com</v>
      </c>
      <c r="K991" t="str">
        <f>IF(0 = IFERROR(VLOOKUP(DBL_FullList!I991,ContactsDbl!B:D, 3, FALSE), ""), "", IFERROR(VLOOKUP(DBL_FullList!I991, ContactsDbl!B:D, 3, FALSE), ""))</f>
        <v>http://www.Biblica.com</v>
      </c>
      <c r="L991">
        <f t="shared" si="31"/>
        <v>2</v>
      </c>
    </row>
    <row r="992" spans="1:12" x14ac:dyDescent="0.25">
      <c r="A992" t="s">
        <v>6242</v>
      </c>
      <c r="B992" t="str">
        <f>IF(ISERROR(VLOOKUP(F992,STEP!A:A, 1, FALSE)), "N", "Y")</f>
        <v>N</v>
      </c>
      <c r="C992" t="str">
        <f>IF(ISERROR(VLOOKUP(E992, BibleInEveryLanguageTexts!A:A, 1, FALSE)), "N", "Y")</f>
        <v>N</v>
      </c>
      <c r="D992" t="str">
        <f t="shared" si="30"/>
        <v>X</v>
      </c>
      <c r="E992" t="s">
        <v>6243</v>
      </c>
      <c r="F992" t="s">
        <v>3202</v>
      </c>
      <c r="G992" t="s">
        <v>2743</v>
      </c>
      <c r="H992" t="s">
        <v>6244</v>
      </c>
      <c r="I992" t="s">
        <v>2661</v>
      </c>
      <c r="J992" t="str">
        <f>IF(0 = IFERROR(VLOOKUP(DBL_FullList!I992, ContactsDbl!B:D, 2, FALSE), ""), "", IFERROR(VLOOKUP(DBL_FullList!I992, ContactsDbl!B:D, 2, FALSE), ""))</f>
        <v>dbladmin_intl@sil.org</v>
      </c>
      <c r="K992" t="str">
        <f>IF(0 = IFERROR(VLOOKUP(DBL_FullList!I992,ContactsDbl!B:D, 3, FALSE), ""), "", IFERROR(VLOOKUP(DBL_FullList!I992, ContactsDbl!B:D, 3, FALSE), ""))</f>
        <v>http://www.wycliffe.org</v>
      </c>
      <c r="L992">
        <f t="shared" si="31"/>
        <v>2</v>
      </c>
    </row>
    <row r="993" spans="1:12" x14ac:dyDescent="0.25">
      <c r="A993" t="s">
        <v>6245</v>
      </c>
      <c r="B993" t="str">
        <f>IF(ISERROR(VLOOKUP(F993,STEP!A:A, 1, FALSE)), "N", "Y")</f>
        <v>N</v>
      </c>
      <c r="C993" t="str">
        <f>IF(ISERROR(VLOOKUP(E993, BibleInEveryLanguageTexts!A:A, 1, FALSE)), "N", "Y")</f>
        <v>N</v>
      </c>
      <c r="D993" t="str">
        <f t="shared" si="30"/>
        <v>X</v>
      </c>
      <c r="E993" t="s">
        <v>6219</v>
      </c>
      <c r="F993" t="s">
        <v>6220</v>
      </c>
      <c r="G993" t="s">
        <v>284</v>
      </c>
      <c r="H993" t="s">
        <v>6246</v>
      </c>
      <c r="I993" t="s">
        <v>183</v>
      </c>
      <c r="J993" t="str">
        <f>IF(0 = IFERROR(VLOOKUP(DBL_FullList!I993, ContactsDbl!B:D, 2, FALSE), ""), "", IFERROR(VLOOKUP(DBL_FullList!I993, ContactsDbl!B:D, 2, FALSE), ""))</f>
        <v>dbl@biblesocieties.org</v>
      </c>
      <c r="K993" t="str">
        <f>IF(0 = IFERROR(VLOOKUP(DBL_FullList!I993,ContactsDbl!B:D, 3, FALSE), ""), "", IFERROR(VLOOKUP(DBL_FullList!I993, ContactsDbl!B:D, 3, FALSE), ""))</f>
        <v>http://www.unitedbiblesocieties.org/</v>
      </c>
      <c r="L993">
        <f t="shared" si="31"/>
        <v>2</v>
      </c>
    </row>
    <row r="994" spans="1:12" x14ac:dyDescent="0.25">
      <c r="A994" t="s">
        <v>6247</v>
      </c>
      <c r="B994" t="str">
        <f>IF(ISERROR(VLOOKUP(F994,STEP!A:A, 1, FALSE)), "N", "Y")</f>
        <v>N</v>
      </c>
      <c r="C994" t="str">
        <f>IF(ISERROR(VLOOKUP(E994, BibleInEveryLanguageTexts!A:A, 1, FALSE)), "N", "Y")</f>
        <v>N</v>
      </c>
      <c r="D994" t="str">
        <f t="shared" si="30"/>
        <v>X</v>
      </c>
      <c r="E994" t="s">
        <v>6248</v>
      </c>
      <c r="F994" t="s">
        <v>6249</v>
      </c>
      <c r="G994" t="s">
        <v>2997</v>
      </c>
      <c r="H994" t="s">
        <v>6250</v>
      </c>
      <c r="I994" t="s">
        <v>2661</v>
      </c>
      <c r="J994" t="str">
        <f>IF(0 = IFERROR(VLOOKUP(DBL_FullList!I994, ContactsDbl!B:D, 2, FALSE), ""), "", IFERROR(VLOOKUP(DBL_FullList!I994, ContactsDbl!B:D, 2, FALSE), ""))</f>
        <v>dbladmin_intl@sil.org</v>
      </c>
      <c r="K994" t="str">
        <f>IF(0 = IFERROR(VLOOKUP(DBL_FullList!I994,ContactsDbl!B:D, 3, FALSE), ""), "", IFERROR(VLOOKUP(DBL_FullList!I994, ContactsDbl!B:D, 3, FALSE), ""))</f>
        <v>http://www.wycliffe.org</v>
      </c>
      <c r="L994">
        <f t="shared" si="31"/>
        <v>2</v>
      </c>
    </row>
    <row r="995" spans="1:12" x14ac:dyDescent="0.25">
      <c r="A995" s="1" t="s">
        <v>6251</v>
      </c>
      <c r="B995" t="str">
        <f>IF(ISERROR(VLOOKUP(F995,STEP!A:A, 1, FALSE)), "N", "Y")</f>
        <v>N</v>
      </c>
      <c r="C995" t="str">
        <f>IF(ISERROR(VLOOKUP(E995, BibleInEveryLanguageTexts!A:A, 1, FALSE)), "N", "Y")</f>
        <v>N</v>
      </c>
      <c r="D995" t="str">
        <f t="shared" si="30"/>
        <v>X</v>
      </c>
      <c r="E995" t="s">
        <v>6252</v>
      </c>
      <c r="F995" t="s">
        <v>6253</v>
      </c>
      <c r="G995" t="s">
        <v>2756</v>
      </c>
      <c r="H995" t="s">
        <v>6254</v>
      </c>
      <c r="I995" t="s">
        <v>2661</v>
      </c>
      <c r="J995" t="str">
        <f>IF(0 = IFERROR(VLOOKUP(DBL_FullList!I995, ContactsDbl!B:D, 2, FALSE), ""), "", IFERROR(VLOOKUP(DBL_FullList!I995, ContactsDbl!B:D, 2, FALSE), ""))</f>
        <v>dbladmin_intl@sil.org</v>
      </c>
      <c r="K995" t="str">
        <f>IF(0 = IFERROR(VLOOKUP(DBL_FullList!I995,ContactsDbl!B:D, 3, FALSE), ""), "", IFERROR(VLOOKUP(DBL_FullList!I995, ContactsDbl!B:D, 3, FALSE), ""))</f>
        <v>http://www.wycliffe.org</v>
      </c>
      <c r="L995">
        <f t="shared" si="31"/>
        <v>2</v>
      </c>
    </row>
    <row r="996" spans="1:12" x14ac:dyDescent="0.25">
      <c r="A996" t="s">
        <v>6255</v>
      </c>
      <c r="B996" t="str">
        <f>IF(ISERROR(VLOOKUP(F996,STEP!A:A, 1, FALSE)), "N", "Y")</f>
        <v>N</v>
      </c>
      <c r="C996" t="str">
        <f>IF(ISERROR(VLOOKUP(E996, BibleInEveryLanguageTexts!A:A, 1, FALSE)), "N", "Y")</f>
        <v>N</v>
      </c>
      <c r="D996" t="str">
        <f t="shared" si="30"/>
        <v>X</v>
      </c>
      <c r="E996" t="s">
        <v>6256</v>
      </c>
      <c r="F996" t="s">
        <v>6257</v>
      </c>
      <c r="G996" t="s">
        <v>2997</v>
      </c>
      <c r="H996" t="s">
        <v>6258</v>
      </c>
      <c r="I996" t="s">
        <v>2661</v>
      </c>
      <c r="J996" t="str">
        <f>IF(0 = IFERROR(VLOOKUP(DBL_FullList!I996, ContactsDbl!B:D, 2, FALSE), ""), "", IFERROR(VLOOKUP(DBL_FullList!I996, ContactsDbl!B:D, 2, FALSE), ""))</f>
        <v>dbladmin_intl@sil.org</v>
      </c>
      <c r="K996" t="str">
        <f>IF(0 = IFERROR(VLOOKUP(DBL_FullList!I996,ContactsDbl!B:D, 3, FALSE), ""), "", IFERROR(VLOOKUP(DBL_FullList!I996, ContactsDbl!B:D, 3, FALSE), ""))</f>
        <v>http://www.wycliffe.org</v>
      </c>
      <c r="L996">
        <f t="shared" si="31"/>
        <v>2</v>
      </c>
    </row>
    <row r="997" spans="1:12" x14ac:dyDescent="0.25">
      <c r="A997" t="s">
        <v>6259</v>
      </c>
      <c r="B997" t="str">
        <f>IF(ISERROR(VLOOKUP(F997,STEP!A:A, 1, FALSE)), "N", "Y")</f>
        <v>N</v>
      </c>
      <c r="C997" t="str">
        <f>IF(ISERROR(VLOOKUP(E997, BibleInEveryLanguageTexts!A:A, 1, FALSE)), "N", "Y")</f>
        <v>N</v>
      </c>
      <c r="D997" t="str">
        <f t="shared" si="30"/>
        <v>X</v>
      </c>
      <c r="E997" t="s">
        <v>6260</v>
      </c>
      <c r="F997" t="s">
        <v>6261</v>
      </c>
      <c r="G997" t="s">
        <v>2984</v>
      </c>
      <c r="H997" t="s">
        <v>6262</v>
      </c>
      <c r="I997" t="s">
        <v>2456</v>
      </c>
      <c r="J997" t="str">
        <f>IF(0 = IFERROR(VLOOKUP(DBL_FullList!I997, ContactsDbl!B:D, 2, FALSE), ""), "", IFERROR(VLOOKUP(DBL_FullList!I997, ContactsDbl!B:D, 2, FALSE), ""))</f>
        <v/>
      </c>
      <c r="K997" t="str">
        <f>IF(0 = IFERROR(VLOOKUP(DBL_FullList!I997,ContactsDbl!B:D, 3, FALSE), ""), "", IFERROR(VLOOKUP(DBL_FullList!I997, ContactsDbl!B:D, 3, FALSE), ""))</f>
        <v>http://www.myanmarbible.com/</v>
      </c>
      <c r="L997">
        <f t="shared" si="31"/>
        <v>1</v>
      </c>
    </row>
    <row r="998" spans="1:12" x14ac:dyDescent="0.25">
      <c r="A998" t="s">
        <v>6263</v>
      </c>
      <c r="B998" t="str">
        <f>IF(ISERROR(VLOOKUP(F998,STEP!A:A, 1, FALSE)), "N", "Y")</f>
        <v>N</v>
      </c>
      <c r="C998" t="str">
        <f>IF(ISERROR(VLOOKUP(E998, BibleInEveryLanguageTexts!A:A, 1, FALSE)), "N", "Y")</f>
        <v>N</v>
      </c>
      <c r="D998" t="str">
        <f t="shared" si="30"/>
        <v>X</v>
      </c>
      <c r="E998" t="s">
        <v>199</v>
      </c>
      <c r="F998" t="s">
        <v>197</v>
      </c>
      <c r="G998" t="s">
        <v>198</v>
      </c>
      <c r="H998" t="s">
        <v>6264</v>
      </c>
      <c r="I998" t="s">
        <v>1997</v>
      </c>
      <c r="J998" t="str">
        <f>IF(0 = IFERROR(VLOOKUP(DBL_FullList!I998, ContactsDbl!B:D, 2, FALSE), ""), "", IFERROR(VLOOKUP(DBL_FullList!I998, ContactsDbl!B:D, 2, FALSE), ""))</f>
        <v>Lee.Harris@biblica.com</v>
      </c>
      <c r="K998" t="str">
        <f>IF(0 = IFERROR(VLOOKUP(DBL_FullList!I998,ContactsDbl!B:D, 3, FALSE), ""), "", IFERROR(VLOOKUP(DBL_FullList!I998, ContactsDbl!B:D, 3, FALSE), ""))</f>
        <v>http://www.Biblica.com</v>
      </c>
      <c r="L998">
        <f t="shared" si="31"/>
        <v>2</v>
      </c>
    </row>
    <row r="999" spans="1:12" x14ac:dyDescent="0.25">
      <c r="A999" t="s">
        <v>6265</v>
      </c>
      <c r="B999" t="str">
        <f>IF(ISERROR(VLOOKUP(F999,STEP!A:A, 1, FALSE)), "N", "Y")</f>
        <v>N</v>
      </c>
      <c r="C999" t="str">
        <f>IF(ISERROR(VLOOKUP(E999, BibleInEveryLanguageTexts!A:A, 1, FALSE)), "N", "Y")</f>
        <v>N</v>
      </c>
      <c r="D999" t="str">
        <f t="shared" si="30"/>
        <v>X</v>
      </c>
      <c r="E999" t="s">
        <v>6219</v>
      </c>
      <c r="F999" t="s">
        <v>6220</v>
      </c>
      <c r="G999" t="s">
        <v>284</v>
      </c>
      <c r="H999" t="s">
        <v>6266</v>
      </c>
      <c r="I999" t="s">
        <v>183</v>
      </c>
      <c r="J999" t="str">
        <f>IF(0 = IFERROR(VLOOKUP(DBL_FullList!I999, ContactsDbl!B:D, 2, FALSE), ""), "", IFERROR(VLOOKUP(DBL_FullList!I999, ContactsDbl!B:D, 2, FALSE), ""))</f>
        <v>dbl@biblesocieties.org</v>
      </c>
      <c r="K999" t="str">
        <f>IF(0 = IFERROR(VLOOKUP(DBL_FullList!I999,ContactsDbl!B:D, 3, FALSE), ""), "", IFERROR(VLOOKUP(DBL_FullList!I999, ContactsDbl!B:D, 3, FALSE), ""))</f>
        <v>http://www.unitedbiblesocieties.org/</v>
      </c>
      <c r="L999">
        <f t="shared" si="31"/>
        <v>2</v>
      </c>
    </row>
    <row r="1000" spans="1:12" x14ac:dyDescent="0.25">
      <c r="A1000" t="s">
        <v>6267</v>
      </c>
      <c r="B1000" t="str">
        <f>IF(ISERROR(VLOOKUP(F1000,STEP!A:A, 1, FALSE)), "N", "Y")</f>
        <v>N</v>
      </c>
      <c r="C1000" t="str">
        <f>IF(ISERROR(VLOOKUP(E1000, BibleInEveryLanguageTexts!A:A, 1, FALSE)), "N", "Y")</f>
        <v>N</v>
      </c>
      <c r="D1000" t="str">
        <f t="shared" si="30"/>
        <v>X</v>
      </c>
      <c r="E1000" t="s">
        <v>5680</v>
      </c>
      <c r="F1000" t="s">
        <v>5681</v>
      </c>
      <c r="G1000" t="s">
        <v>115</v>
      </c>
      <c r="H1000" t="s">
        <v>6268</v>
      </c>
      <c r="I1000" t="s">
        <v>2661</v>
      </c>
      <c r="J1000" t="str">
        <f>IF(0 = IFERROR(VLOOKUP(DBL_FullList!I1000, ContactsDbl!B:D, 2, FALSE), ""), "", IFERROR(VLOOKUP(DBL_FullList!I1000, ContactsDbl!B:D, 2, FALSE), ""))</f>
        <v>dbladmin_intl@sil.org</v>
      </c>
      <c r="K1000" t="str">
        <f>IF(0 = IFERROR(VLOOKUP(DBL_FullList!I1000,ContactsDbl!B:D, 3, FALSE), ""), "", IFERROR(VLOOKUP(DBL_FullList!I1000, ContactsDbl!B:D, 3, FALSE), ""))</f>
        <v>http://www.wycliffe.org</v>
      </c>
      <c r="L1000">
        <f t="shared" si="31"/>
        <v>2</v>
      </c>
    </row>
    <row r="1001" spans="1:12" x14ac:dyDescent="0.25">
      <c r="A1001" t="s">
        <v>6269</v>
      </c>
      <c r="B1001" t="str">
        <f>IF(ISERROR(VLOOKUP(F1001,STEP!A:A, 1, FALSE)), "N", "Y")</f>
        <v>N</v>
      </c>
      <c r="C1001" t="str">
        <f>IF(ISERROR(VLOOKUP(E1001, BibleInEveryLanguageTexts!A:A, 1, FALSE)), "N", "Y")</f>
        <v>Y</v>
      </c>
      <c r="D1001" t="str">
        <f t="shared" si="30"/>
        <v/>
      </c>
      <c r="E1001" t="s">
        <v>12</v>
      </c>
      <c r="F1001" t="s">
        <v>10</v>
      </c>
      <c r="G1001" t="s">
        <v>27</v>
      </c>
      <c r="H1001" t="s">
        <v>6270</v>
      </c>
      <c r="I1001" t="s">
        <v>3104</v>
      </c>
      <c r="J1001" t="str">
        <f>IF(0 = IFERROR(VLOOKUP(DBL_FullList!I1001, ContactsDbl!B:D, 2, FALSE), ""), "", IFERROR(VLOOKUP(DBL_FullList!I1001, ContactsDbl!B:D, 2, FALSE), ""))</f>
        <v/>
      </c>
      <c r="K1001" t="str">
        <f>IF(0 = IFERROR(VLOOKUP(DBL_FullList!I1001,ContactsDbl!B:D, 3, FALSE), ""), "", IFERROR(VLOOKUP(DBL_FullList!I1001, ContactsDbl!B:D, 3, FALSE), ""))</f>
        <v/>
      </c>
      <c r="L1001">
        <f t="shared" si="31"/>
        <v>0</v>
      </c>
    </row>
    <row r="1002" spans="1:12" x14ac:dyDescent="0.25">
      <c r="A1002" t="s">
        <v>6271</v>
      </c>
      <c r="B1002" t="str">
        <f>IF(ISERROR(VLOOKUP(F1002,STEP!A:A, 1, FALSE)), "N", "Y")</f>
        <v>N</v>
      </c>
      <c r="C1002" t="str">
        <f>IF(ISERROR(VLOOKUP(E1002, BibleInEveryLanguageTexts!A:A, 1, FALSE)), "N", "Y")</f>
        <v>N</v>
      </c>
      <c r="D1002" t="str">
        <f t="shared" si="30"/>
        <v>X</v>
      </c>
      <c r="E1002" t="s">
        <v>4383</v>
      </c>
      <c r="F1002" t="s">
        <v>4384</v>
      </c>
      <c r="G1002" t="s">
        <v>4385</v>
      </c>
      <c r="H1002" t="s">
        <v>6272</v>
      </c>
      <c r="I1002" t="s">
        <v>2587</v>
      </c>
      <c r="J1002" t="str">
        <f>IF(0 = IFERROR(VLOOKUP(DBL_FullList!I1002, ContactsDbl!B:D, 2, FALSE), ""), "", IFERROR(VLOOKUP(DBL_FullList!I1002, ContactsDbl!B:D, 2, FALSE), ""))</f>
        <v>matjaz.crnivec@svetopismo.si</v>
      </c>
      <c r="K1002" t="str">
        <f>IF(0 = IFERROR(VLOOKUP(DBL_FullList!I1002,ContactsDbl!B:D, 3, FALSE), ""), "", IFERROR(VLOOKUP(DBL_FullList!I1002, ContactsDbl!B:D, 3, FALSE), ""))</f>
        <v>www.svetopismo.si</v>
      </c>
      <c r="L1002">
        <f t="shared" si="31"/>
        <v>2</v>
      </c>
    </row>
    <row r="1003" spans="1:12" x14ac:dyDescent="0.25">
      <c r="A1003" t="s">
        <v>6273</v>
      </c>
      <c r="B1003" t="str">
        <f>IF(ISERROR(VLOOKUP(F1003,STEP!A:A, 1, FALSE)), "N", "Y")</f>
        <v>N</v>
      </c>
      <c r="C1003" t="str">
        <f>IF(ISERROR(VLOOKUP(E1003, BibleInEveryLanguageTexts!A:A, 1, FALSE)), "N", "Y")</f>
        <v>N</v>
      </c>
      <c r="D1003" t="str">
        <f t="shared" si="30"/>
        <v>X</v>
      </c>
      <c r="E1003" t="s">
        <v>4505</v>
      </c>
      <c r="F1003" t="s">
        <v>4384</v>
      </c>
      <c r="G1003" t="s">
        <v>4385</v>
      </c>
      <c r="H1003" t="s">
        <v>6274</v>
      </c>
      <c r="I1003" t="s">
        <v>2587</v>
      </c>
      <c r="J1003" t="str">
        <f>IF(0 = IFERROR(VLOOKUP(DBL_FullList!I1003, ContactsDbl!B:D, 2, FALSE), ""), "", IFERROR(VLOOKUP(DBL_FullList!I1003, ContactsDbl!B:D, 2, FALSE), ""))</f>
        <v>matjaz.crnivec@svetopismo.si</v>
      </c>
      <c r="K1003" t="str">
        <f>IF(0 = IFERROR(VLOOKUP(DBL_FullList!I1003,ContactsDbl!B:D, 3, FALSE), ""), "", IFERROR(VLOOKUP(DBL_FullList!I1003, ContactsDbl!B:D, 3, FALSE), ""))</f>
        <v>www.svetopismo.si</v>
      </c>
      <c r="L1003">
        <f t="shared" si="31"/>
        <v>2</v>
      </c>
    </row>
    <row r="1004" spans="1:12" x14ac:dyDescent="0.25">
      <c r="A1004" t="s">
        <v>6275</v>
      </c>
      <c r="B1004" t="str">
        <f>IF(ISERROR(VLOOKUP(F1004,STEP!A:A, 1, FALSE)), "N", "Y")</f>
        <v>N</v>
      </c>
      <c r="C1004" t="str">
        <f>IF(ISERROR(VLOOKUP(E1004, BibleInEveryLanguageTexts!A:A, 1, FALSE)), "N", "Y")</f>
        <v>N</v>
      </c>
      <c r="D1004" t="str">
        <f t="shared" si="30"/>
        <v>X</v>
      </c>
      <c r="E1004" t="s">
        <v>4505</v>
      </c>
      <c r="F1004" t="s">
        <v>4384</v>
      </c>
      <c r="G1004" t="s">
        <v>4385</v>
      </c>
      <c r="H1004" t="s">
        <v>6276</v>
      </c>
      <c r="I1004" t="s">
        <v>2587</v>
      </c>
      <c r="J1004" t="str">
        <f>IF(0 = IFERROR(VLOOKUP(DBL_FullList!I1004, ContactsDbl!B:D, 2, FALSE), ""), "", IFERROR(VLOOKUP(DBL_FullList!I1004, ContactsDbl!B:D, 2, FALSE), ""))</f>
        <v>matjaz.crnivec@svetopismo.si</v>
      </c>
      <c r="K1004" t="str">
        <f>IF(0 = IFERROR(VLOOKUP(DBL_FullList!I1004,ContactsDbl!B:D, 3, FALSE), ""), "", IFERROR(VLOOKUP(DBL_FullList!I1004, ContactsDbl!B:D, 3, FALSE), ""))</f>
        <v>www.svetopismo.si</v>
      </c>
      <c r="L1004">
        <f t="shared" si="31"/>
        <v>2</v>
      </c>
    </row>
    <row r="1005" spans="1:12" x14ac:dyDescent="0.25">
      <c r="A1005" t="s">
        <v>6277</v>
      </c>
      <c r="B1005" t="str">
        <f>IF(ISERROR(VLOOKUP(F1005,STEP!A:A, 1, FALSE)), "N", "Y")</f>
        <v>N</v>
      </c>
      <c r="C1005" t="str">
        <f>IF(ISERROR(VLOOKUP(E1005, BibleInEveryLanguageTexts!A:A, 1, FALSE)), "N", "Y")</f>
        <v>Y</v>
      </c>
      <c r="D1005" t="str">
        <f t="shared" si="30"/>
        <v/>
      </c>
      <c r="E1005" t="s">
        <v>12</v>
      </c>
      <c r="F1005" t="s">
        <v>10</v>
      </c>
      <c r="G1005" t="s">
        <v>27</v>
      </c>
      <c r="H1005" t="s">
        <v>6278</v>
      </c>
      <c r="I1005" t="s">
        <v>3104</v>
      </c>
      <c r="J1005" t="str">
        <f>IF(0 = IFERROR(VLOOKUP(DBL_FullList!I1005, ContactsDbl!B:D, 2, FALSE), ""), "", IFERROR(VLOOKUP(DBL_FullList!I1005, ContactsDbl!B:D, 2, FALSE), ""))</f>
        <v/>
      </c>
      <c r="K1005" t="str">
        <f>IF(0 = IFERROR(VLOOKUP(DBL_FullList!I1005,ContactsDbl!B:D, 3, FALSE), ""), "", IFERROR(VLOOKUP(DBL_FullList!I1005, ContactsDbl!B:D, 3, FALSE), ""))</f>
        <v/>
      </c>
      <c r="L1005">
        <f t="shared" si="31"/>
        <v>0</v>
      </c>
    </row>
    <row r="1006" spans="1:12" x14ac:dyDescent="0.25">
      <c r="A1006" t="s">
        <v>6279</v>
      </c>
      <c r="B1006" t="str">
        <f>IF(ISERROR(VLOOKUP(F1006,STEP!A:A, 1, FALSE)), "N", "Y")</f>
        <v>N</v>
      </c>
      <c r="C1006" t="str">
        <f>IF(ISERROR(VLOOKUP(E1006, BibleInEveryLanguageTexts!A:A, 1, FALSE)), "N", "Y")</f>
        <v>N</v>
      </c>
      <c r="D1006" t="str">
        <f t="shared" si="30"/>
        <v>X</v>
      </c>
      <c r="E1006" t="s">
        <v>6219</v>
      </c>
      <c r="F1006" t="s">
        <v>6220</v>
      </c>
      <c r="G1006" t="s">
        <v>284</v>
      </c>
      <c r="H1006" t="s">
        <v>6280</v>
      </c>
      <c r="I1006" t="s">
        <v>183</v>
      </c>
      <c r="J1006" t="str">
        <f>IF(0 = IFERROR(VLOOKUP(DBL_FullList!I1006, ContactsDbl!B:D, 2, FALSE), ""), "", IFERROR(VLOOKUP(DBL_FullList!I1006, ContactsDbl!B:D, 2, FALSE), ""))</f>
        <v>dbl@biblesocieties.org</v>
      </c>
      <c r="K1006" t="str">
        <f>IF(0 = IFERROR(VLOOKUP(DBL_FullList!I1006,ContactsDbl!B:D, 3, FALSE), ""), "", IFERROR(VLOOKUP(DBL_FullList!I1006, ContactsDbl!B:D, 3, FALSE), ""))</f>
        <v>http://www.unitedbiblesocieties.org/</v>
      </c>
      <c r="L1006">
        <f t="shared" si="31"/>
        <v>2</v>
      </c>
    </row>
    <row r="1007" spans="1:12" x14ac:dyDescent="0.25">
      <c r="A1007" t="s">
        <v>6281</v>
      </c>
      <c r="B1007" t="str">
        <f>IF(ISERROR(VLOOKUP(F1007,STEP!A:A, 1, FALSE)), "N", "Y")</f>
        <v>N</v>
      </c>
      <c r="C1007" t="str">
        <f>IF(ISERROR(VLOOKUP(E1007, BibleInEveryLanguageTexts!A:A, 1, FALSE)), "N", "Y")</f>
        <v>N</v>
      </c>
      <c r="D1007" t="str">
        <f t="shared" si="30"/>
        <v>X</v>
      </c>
      <c r="E1007" t="s">
        <v>103</v>
      </c>
      <c r="F1007" t="s">
        <v>101</v>
      </c>
      <c r="G1007" t="s">
        <v>102</v>
      </c>
      <c r="H1007" t="s">
        <v>6282</v>
      </c>
      <c r="I1007" t="s">
        <v>3104</v>
      </c>
      <c r="J1007" t="str">
        <f>IF(0 = IFERROR(VLOOKUP(DBL_FullList!I1007, ContactsDbl!B:D, 2, FALSE), ""), "", IFERROR(VLOOKUP(DBL_FullList!I1007, ContactsDbl!B:D, 2, FALSE), ""))</f>
        <v/>
      </c>
      <c r="K1007" t="str">
        <f>IF(0 = IFERROR(VLOOKUP(DBL_FullList!I1007,ContactsDbl!B:D, 3, FALSE), ""), "", IFERROR(VLOOKUP(DBL_FullList!I1007, ContactsDbl!B:D, 3, FALSE), ""))</f>
        <v/>
      </c>
      <c r="L1007">
        <f t="shared" si="31"/>
        <v>0</v>
      </c>
    </row>
    <row r="1008" spans="1:12" x14ac:dyDescent="0.25">
      <c r="A1008" s="1" t="s">
        <v>6283</v>
      </c>
      <c r="B1008" t="str">
        <f>IF(ISERROR(VLOOKUP(F1008,STEP!A:A, 1, FALSE)), "N", "Y")</f>
        <v>N</v>
      </c>
      <c r="C1008" t="str">
        <f>IF(ISERROR(VLOOKUP(E1008, BibleInEveryLanguageTexts!A:A, 1, FALSE)), "N", "Y")</f>
        <v>N</v>
      </c>
      <c r="D1008" t="str">
        <f t="shared" si="30"/>
        <v>X</v>
      </c>
      <c r="E1008" t="s">
        <v>84</v>
      </c>
      <c r="F1008" t="s">
        <v>82</v>
      </c>
      <c r="G1008" t="s">
        <v>83</v>
      </c>
      <c r="H1008" t="s">
        <v>6284</v>
      </c>
      <c r="I1008" t="s">
        <v>1997</v>
      </c>
      <c r="J1008" t="str">
        <f>IF(0 = IFERROR(VLOOKUP(DBL_FullList!I1008, ContactsDbl!B:D, 2, FALSE), ""), "", IFERROR(VLOOKUP(DBL_FullList!I1008, ContactsDbl!B:D, 2, FALSE), ""))</f>
        <v>Lee.Harris@biblica.com</v>
      </c>
      <c r="K1008" t="str">
        <f>IF(0 = IFERROR(VLOOKUP(DBL_FullList!I1008,ContactsDbl!B:D, 3, FALSE), ""), "", IFERROR(VLOOKUP(DBL_FullList!I1008, ContactsDbl!B:D, 3, FALSE), ""))</f>
        <v>http://www.Biblica.com</v>
      </c>
      <c r="L1008">
        <f t="shared" si="31"/>
        <v>2</v>
      </c>
    </row>
    <row r="1009" spans="1:12" x14ac:dyDescent="0.25">
      <c r="A1009" t="s">
        <v>6285</v>
      </c>
      <c r="B1009" t="str">
        <f>IF(ISERROR(VLOOKUP(F1009,STEP!A:A, 1, FALSE)), "N", "Y")</f>
        <v>N</v>
      </c>
      <c r="C1009" t="str">
        <f>IF(ISERROR(VLOOKUP(E1009, BibleInEveryLanguageTexts!A:A, 1, FALSE)), "N", "Y")</f>
        <v>N</v>
      </c>
      <c r="D1009" t="str">
        <f t="shared" si="30"/>
        <v>X</v>
      </c>
      <c r="E1009" t="s">
        <v>4462</v>
      </c>
      <c r="F1009" t="s">
        <v>4463</v>
      </c>
      <c r="G1009" t="s">
        <v>186</v>
      </c>
      <c r="H1009" t="s">
        <v>6286</v>
      </c>
      <c r="I1009" t="s">
        <v>3104</v>
      </c>
      <c r="J1009" t="str">
        <f>IF(0 = IFERROR(VLOOKUP(DBL_FullList!I1009, ContactsDbl!B:D, 2, FALSE), ""), "", IFERROR(VLOOKUP(DBL_FullList!I1009, ContactsDbl!B:D, 2, FALSE), ""))</f>
        <v/>
      </c>
      <c r="K1009" t="str">
        <f>IF(0 = IFERROR(VLOOKUP(DBL_FullList!I1009,ContactsDbl!B:D, 3, FALSE), ""), "", IFERROR(VLOOKUP(DBL_FullList!I1009, ContactsDbl!B:D, 3, FALSE), ""))</f>
        <v/>
      </c>
      <c r="L1009">
        <f t="shared" si="31"/>
        <v>0</v>
      </c>
    </row>
    <row r="1010" spans="1:12" x14ac:dyDescent="0.25">
      <c r="A1010" t="s">
        <v>6287</v>
      </c>
      <c r="B1010" t="str">
        <f>IF(ISERROR(VLOOKUP(F1010,STEP!A:A, 1, FALSE)), "N", "Y")</f>
        <v>N</v>
      </c>
      <c r="C1010" t="str">
        <f>IF(ISERROR(VLOOKUP(E1010, BibleInEveryLanguageTexts!A:A, 1, FALSE)), "N", "Y")</f>
        <v>N</v>
      </c>
      <c r="D1010" t="str">
        <f t="shared" si="30"/>
        <v>X</v>
      </c>
      <c r="E1010" t="s">
        <v>4837</v>
      </c>
      <c r="F1010" t="s">
        <v>4838</v>
      </c>
      <c r="G1010" t="s">
        <v>5353</v>
      </c>
      <c r="H1010" t="s">
        <v>6288</v>
      </c>
      <c r="I1010" t="s">
        <v>2139</v>
      </c>
      <c r="J1010" t="str">
        <f>IF(0 = IFERROR(VLOOKUP(DBL_FullList!I1010, ContactsDbl!B:D, 2, FALSE), ""), "", IFERROR(VLOOKUP(DBL_FullList!I1010, ContactsDbl!B:D, 2, FALSE), ""))</f>
        <v>info@sbch.cl</v>
      </c>
      <c r="K1010" t="str">
        <f>IF(0 = IFERROR(VLOOKUP(DBL_FullList!I1010,ContactsDbl!B:D, 3, FALSE), ""), "", IFERROR(VLOOKUP(DBL_FullList!I1010, ContactsDbl!B:D, 3, FALSE), ""))</f>
        <v>http://www.sbch.cl/</v>
      </c>
      <c r="L1010">
        <f t="shared" si="31"/>
        <v>2</v>
      </c>
    </row>
    <row r="1011" spans="1:12" x14ac:dyDescent="0.25">
      <c r="A1011" t="s">
        <v>6289</v>
      </c>
      <c r="B1011" t="str">
        <f>IF(ISERROR(VLOOKUP(F1011,STEP!A:A, 1, FALSE)), "N", "Y")</f>
        <v>N</v>
      </c>
      <c r="C1011" t="str">
        <f>IF(ISERROR(VLOOKUP(E1011, BibleInEveryLanguageTexts!A:A, 1, FALSE)), "N", "Y")</f>
        <v>N</v>
      </c>
      <c r="D1011" t="str">
        <f t="shared" si="30"/>
        <v>X</v>
      </c>
      <c r="E1011" t="s">
        <v>4520</v>
      </c>
      <c r="F1011" t="s">
        <v>4521</v>
      </c>
      <c r="G1011" t="s">
        <v>27</v>
      </c>
      <c r="H1011" t="s">
        <v>6290</v>
      </c>
      <c r="I1011" t="s">
        <v>3104</v>
      </c>
      <c r="J1011" t="str">
        <f>IF(0 = IFERROR(VLOOKUP(DBL_FullList!I1011, ContactsDbl!B:D, 2, FALSE), ""), "", IFERROR(VLOOKUP(DBL_FullList!I1011, ContactsDbl!B:D, 2, FALSE), ""))</f>
        <v/>
      </c>
      <c r="K1011" t="str">
        <f>IF(0 = IFERROR(VLOOKUP(DBL_FullList!I1011,ContactsDbl!B:D, 3, FALSE), ""), "", IFERROR(VLOOKUP(DBL_FullList!I1011, ContactsDbl!B:D, 3, FALSE), ""))</f>
        <v/>
      </c>
      <c r="L1011">
        <f t="shared" si="31"/>
        <v>0</v>
      </c>
    </row>
    <row r="1012" spans="1:12" x14ac:dyDescent="0.25">
      <c r="A1012" t="s">
        <v>6291</v>
      </c>
      <c r="B1012" t="str">
        <f>IF(ISERROR(VLOOKUP(F1012,STEP!A:A, 1, FALSE)), "N", "Y")</f>
        <v>N</v>
      </c>
      <c r="C1012" t="str">
        <f>IF(ISERROR(VLOOKUP(E1012, BibleInEveryLanguageTexts!A:A, 1, FALSE)), "N", "Y")</f>
        <v>N</v>
      </c>
      <c r="D1012" t="str">
        <f t="shared" si="30"/>
        <v>X</v>
      </c>
      <c r="E1012" t="s">
        <v>4520</v>
      </c>
      <c r="F1012" t="s">
        <v>4521</v>
      </c>
      <c r="G1012" t="s">
        <v>27</v>
      </c>
      <c r="H1012" t="s">
        <v>6292</v>
      </c>
      <c r="I1012" t="s">
        <v>3104</v>
      </c>
      <c r="J1012" t="str">
        <f>IF(0 = IFERROR(VLOOKUP(DBL_FullList!I1012, ContactsDbl!B:D, 2, FALSE), ""), "", IFERROR(VLOOKUP(DBL_FullList!I1012, ContactsDbl!B:D, 2, FALSE), ""))</f>
        <v/>
      </c>
      <c r="K1012" t="str">
        <f>IF(0 = IFERROR(VLOOKUP(DBL_FullList!I1012,ContactsDbl!B:D, 3, FALSE), ""), "", IFERROR(VLOOKUP(DBL_FullList!I1012, ContactsDbl!B:D, 3, FALSE), ""))</f>
        <v/>
      </c>
      <c r="L1012">
        <f t="shared" si="31"/>
        <v>0</v>
      </c>
    </row>
    <row r="1013" spans="1:12" x14ac:dyDescent="0.25">
      <c r="A1013" t="s">
        <v>6293</v>
      </c>
      <c r="B1013" t="str">
        <f>IF(ISERROR(VLOOKUP(F1013,STEP!A:A, 1, FALSE)), "N", "Y")</f>
        <v>N</v>
      </c>
      <c r="C1013" t="str">
        <f>IF(ISERROR(VLOOKUP(E1013, BibleInEveryLanguageTexts!A:A, 1, FALSE)), "N", "Y")</f>
        <v>N</v>
      </c>
      <c r="D1013" t="str">
        <f t="shared" si="30"/>
        <v>X</v>
      </c>
      <c r="E1013" t="s">
        <v>4837</v>
      </c>
      <c r="F1013" t="s">
        <v>4838</v>
      </c>
      <c r="G1013" t="s">
        <v>3322</v>
      </c>
      <c r="H1013" t="s">
        <v>6294</v>
      </c>
      <c r="I1013" t="s">
        <v>2304</v>
      </c>
      <c r="J1013" t="str">
        <f>IF(0 = IFERROR(VLOOKUP(DBL_FullList!I1013, ContactsDbl!B:D, 2, FALSE), ""), "", IFERROR(VLOOKUP(DBL_FullList!I1013, ContactsDbl!B:D, 2, FALSE), ""))</f>
        <v/>
      </c>
      <c r="K1013" t="str">
        <f>IF(0 = IFERROR(VLOOKUP(DBL_FullList!I1013,ContactsDbl!B:D, 3, FALSE), ""), "", IFERROR(VLOOKUP(DBL_FullList!I1013, ContactsDbl!B:D, 3, FALSE), ""))</f>
        <v>http://www.societateabiblica.org</v>
      </c>
      <c r="L1013">
        <f t="shared" si="31"/>
        <v>1</v>
      </c>
    </row>
    <row r="1014" spans="1:12" x14ac:dyDescent="0.25">
      <c r="A1014" t="s">
        <v>6295</v>
      </c>
      <c r="B1014" t="str">
        <f>IF(ISERROR(VLOOKUP(F1014,STEP!A:A, 1, FALSE)), "N", "Y")</f>
        <v>N</v>
      </c>
      <c r="C1014" t="str">
        <f>IF(ISERROR(VLOOKUP(E1014, BibleInEveryLanguageTexts!A:A, 1, FALSE)), "N", "Y")</f>
        <v>N</v>
      </c>
      <c r="D1014" t="str">
        <f t="shared" si="30"/>
        <v>X</v>
      </c>
      <c r="E1014" t="s">
        <v>4837</v>
      </c>
      <c r="F1014" t="s">
        <v>4838</v>
      </c>
      <c r="G1014" t="s">
        <v>3322</v>
      </c>
      <c r="H1014" t="s">
        <v>6296</v>
      </c>
      <c r="I1014" t="s">
        <v>2304</v>
      </c>
      <c r="J1014" t="str">
        <f>IF(0 = IFERROR(VLOOKUP(DBL_FullList!I1014, ContactsDbl!B:D, 2, FALSE), ""), "", IFERROR(VLOOKUP(DBL_FullList!I1014, ContactsDbl!B:D, 2, FALSE), ""))</f>
        <v/>
      </c>
      <c r="K1014" t="str">
        <f>IF(0 = IFERROR(VLOOKUP(DBL_FullList!I1014,ContactsDbl!B:D, 3, FALSE), ""), "", IFERROR(VLOOKUP(DBL_FullList!I1014, ContactsDbl!B:D, 3, FALSE), ""))</f>
        <v>http://www.societateabiblica.org</v>
      </c>
      <c r="L1014">
        <f t="shared" si="31"/>
        <v>1</v>
      </c>
    </row>
    <row r="1015" spans="1:12" x14ac:dyDescent="0.25">
      <c r="A1015" t="s">
        <v>6297</v>
      </c>
      <c r="B1015" t="str">
        <f>IF(ISERROR(VLOOKUP(F1015,STEP!A:A, 1, FALSE)), "N", "Y")</f>
        <v>N</v>
      </c>
      <c r="C1015" t="str">
        <f>IF(ISERROR(VLOOKUP(E1015, BibleInEveryLanguageTexts!A:A, 1, FALSE)), "N", "Y")</f>
        <v>N</v>
      </c>
      <c r="D1015" t="str">
        <f t="shared" si="30"/>
        <v>X</v>
      </c>
      <c r="E1015" t="s">
        <v>6298</v>
      </c>
      <c r="F1015" t="s">
        <v>6299</v>
      </c>
      <c r="G1015" t="s">
        <v>2743</v>
      </c>
      <c r="H1015" t="s">
        <v>6300</v>
      </c>
      <c r="I1015" t="s">
        <v>2073</v>
      </c>
      <c r="J1015" t="str">
        <f>IF(0 = IFERROR(VLOOKUP(DBL_FullList!I1015, ContactsDbl!B:D, 2, FALSE), ""), "", IFERROR(VLOOKUP(DBL_FullList!I1015, ContactsDbl!B:D, 2, FALSE), ""))</f>
        <v>ajiboye@biblesociety-nigeria.org</v>
      </c>
      <c r="K1015" t="str">
        <f>IF(0 = IFERROR(VLOOKUP(DBL_FullList!I1015,ContactsDbl!B:D, 3, FALSE), ""), "", IFERROR(VLOOKUP(DBL_FullList!I1015, ContactsDbl!B:D, 3, FALSE), ""))</f>
        <v>http://www.biblesociety-nigeria.org/</v>
      </c>
      <c r="L1015">
        <f t="shared" si="31"/>
        <v>2</v>
      </c>
    </row>
    <row r="1016" spans="1:12" x14ac:dyDescent="0.25">
      <c r="A1016" t="s">
        <v>6301</v>
      </c>
      <c r="B1016" t="str">
        <f>IF(ISERROR(VLOOKUP(F1016,STEP!A:A, 1, FALSE)), "N", "Y")</f>
        <v>N</v>
      </c>
      <c r="C1016" t="str">
        <f>IF(ISERROR(VLOOKUP(E1016, BibleInEveryLanguageTexts!A:A, 1, FALSE)), "N", "Y")</f>
        <v>N</v>
      </c>
      <c r="D1016" t="str">
        <f t="shared" si="30"/>
        <v>X</v>
      </c>
      <c r="E1016" t="s">
        <v>3030</v>
      </c>
      <c r="F1016" t="s">
        <v>3031</v>
      </c>
      <c r="G1016" t="s">
        <v>171</v>
      </c>
      <c r="H1016" t="s">
        <v>6302</v>
      </c>
      <c r="I1016" t="s">
        <v>168</v>
      </c>
      <c r="J1016" t="str">
        <f>IF(0 = IFERROR(VLOOKUP(DBL_FullList!I1016, ContactsDbl!B:D, 2, FALSE), ""), "", IFERROR(VLOOKUP(DBL_FullList!I1016, ContactsDbl!B:D, 2, FALSE), ""))</f>
        <v>admin@biblesociety-ethiopia.org</v>
      </c>
      <c r="K1016" t="str">
        <f>IF(0 = IFERROR(VLOOKUP(DBL_FullList!I1016,ContactsDbl!B:D, 3, FALSE), ""), "", IFERROR(VLOOKUP(DBL_FullList!I1016, ContactsDbl!B:D, 3, FALSE), ""))</f>
        <v>http://biblesociety-ethiopia.org</v>
      </c>
      <c r="L1016">
        <f t="shared" si="31"/>
        <v>2</v>
      </c>
    </row>
    <row r="1017" spans="1:12" x14ac:dyDescent="0.25">
      <c r="A1017" t="s">
        <v>6303</v>
      </c>
      <c r="B1017" t="str">
        <f>IF(ISERROR(VLOOKUP(F1017,STEP!A:A, 1, FALSE)), "N", "Y")</f>
        <v>N</v>
      </c>
      <c r="C1017" t="str">
        <f>IF(ISERROR(VLOOKUP(E1017, BibleInEveryLanguageTexts!A:A, 1, FALSE)), "N", "Y")</f>
        <v>N</v>
      </c>
      <c r="D1017" t="str">
        <f t="shared" si="30"/>
        <v>X</v>
      </c>
      <c r="E1017" t="s">
        <v>6304</v>
      </c>
      <c r="F1017" t="s">
        <v>6305</v>
      </c>
      <c r="G1017" t="s">
        <v>2815</v>
      </c>
      <c r="H1017" t="s">
        <v>6306</v>
      </c>
      <c r="I1017" t="s">
        <v>2362</v>
      </c>
      <c r="J1017" t="str">
        <f>IF(0 = IFERROR(VLOOKUP(DBL_FullList!I1017, ContactsDbl!B:D, 2, FALSE), ""), "", IFERROR(VLOOKUP(DBL_FullList!I1017, ContactsDbl!B:D, 2, FALSE), ""))</f>
        <v>muriuki@biblesociety-kenya.org</v>
      </c>
      <c r="K1017" t="str">
        <f>IF(0 = IFERROR(VLOOKUP(DBL_FullList!I1017,ContactsDbl!B:D, 3, FALSE), ""), "", IFERROR(VLOOKUP(DBL_FullList!I1017, ContactsDbl!B:D, 3, FALSE), ""))</f>
        <v>http://www.biblesociety-kenya.org/</v>
      </c>
      <c r="L1017">
        <f t="shared" si="31"/>
        <v>2</v>
      </c>
    </row>
    <row r="1018" spans="1:12" x14ac:dyDescent="0.25">
      <c r="A1018" t="s">
        <v>6307</v>
      </c>
      <c r="B1018" t="str">
        <f>IF(ISERROR(VLOOKUP(F1018,STEP!A:A, 1, FALSE)), "N", "Y")</f>
        <v>N</v>
      </c>
      <c r="C1018" t="str">
        <f>IF(ISERROR(VLOOKUP(E1018, BibleInEveryLanguageTexts!A:A, 1, FALSE)), "N", "Y")</f>
        <v>N</v>
      </c>
      <c r="D1018" t="str">
        <f t="shared" si="30"/>
        <v>X</v>
      </c>
      <c r="E1018" t="s">
        <v>6308</v>
      </c>
      <c r="F1018" t="s">
        <v>6309</v>
      </c>
      <c r="G1018" t="s">
        <v>2815</v>
      </c>
      <c r="H1018" t="s">
        <v>6310</v>
      </c>
      <c r="I1018" t="s">
        <v>2362</v>
      </c>
      <c r="J1018" t="str">
        <f>IF(0 = IFERROR(VLOOKUP(DBL_FullList!I1018, ContactsDbl!B:D, 2, FALSE), ""), "", IFERROR(VLOOKUP(DBL_FullList!I1018, ContactsDbl!B:D, 2, FALSE), ""))</f>
        <v>muriuki@biblesociety-kenya.org</v>
      </c>
      <c r="K1018" t="str">
        <f>IF(0 = IFERROR(VLOOKUP(DBL_FullList!I1018,ContactsDbl!B:D, 3, FALSE), ""), "", IFERROR(VLOOKUP(DBL_FullList!I1018, ContactsDbl!B:D, 3, FALSE), ""))</f>
        <v>http://www.biblesociety-kenya.org/</v>
      </c>
      <c r="L1018">
        <f t="shared" si="31"/>
        <v>2</v>
      </c>
    </row>
    <row r="1019" spans="1:12" x14ac:dyDescent="0.25">
      <c r="A1019" t="s">
        <v>6311</v>
      </c>
      <c r="B1019" t="str">
        <f>IF(ISERROR(VLOOKUP(F1019,STEP!A:A, 1, FALSE)), "N", "Y")</f>
        <v>N</v>
      </c>
      <c r="C1019" t="str">
        <f>IF(ISERROR(VLOOKUP(E1019, BibleInEveryLanguageTexts!A:A, 1, FALSE)), "N", "Y")</f>
        <v>N</v>
      </c>
      <c r="D1019" t="str">
        <f t="shared" si="30"/>
        <v>X</v>
      </c>
      <c r="E1019" t="s">
        <v>4374</v>
      </c>
      <c r="F1019" t="s">
        <v>4375</v>
      </c>
      <c r="G1019" t="s">
        <v>4376</v>
      </c>
      <c r="H1019" t="s">
        <v>6312</v>
      </c>
      <c r="I1019" t="s">
        <v>2636</v>
      </c>
      <c r="J1019" t="str">
        <f>IF(0 = IFERROR(VLOOKUP(DBL_FullList!I1019, ContactsDbl!B:D, 2, FALSE), ""), "", IFERROR(VLOOKUP(DBL_FullList!I1019, ContactsDbl!B:D, 2, FALSE), ""))</f>
        <v>deborab@kitabimukaddes.com</v>
      </c>
      <c r="K1019" t="str">
        <f>IF(0 = IFERROR(VLOOKUP(DBL_FullList!I1019,ContactsDbl!B:D, 3, FALSE), ""), "", IFERROR(VLOOKUP(DBL_FullList!I1019, ContactsDbl!B:D, 3, FALSE), ""))</f>
        <v>http://www.kitabimukaddes.com/</v>
      </c>
      <c r="L1019">
        <f t="shared" si="31"/>
        <v>2</v>
      </c>
    </row>
    <row r="1020" spans="1:12" x14ac:dyDescent="0.25">
      <c r="A1020" t="s">
        <v>6313</v>
      </c>
      <c r="B1020" t="str">
        <f>IF(ISERROR(VLOOKUP(F1020,STEP!A:A, 1, FALSE)), "N", "Y")</f>
        <v>N</v>
      </c>
      <c r="C1020" t="str">
        <f>IF(ISERROR(VLOOKUP(E1020, BibleInEveryLanguageTexts!A:A, 1, FALSE)), "N", "Y")</f>
        <v>Y</v>
      </c>
      <c r="D1020" t="str">
        <f t="shared" si="30"/>
        <v/>
      </c>
      <c r="E1020" t="s">
        <v>12</v>
      </c>
      <c r="F1020" t="s">
        <v>10</v>
      </c>
      <c r="G1020" t="s">
        <v>11</v>
      </c>
      <c r="H1020" t="s">
        <v>6314</v>
      </c>
      <c r="I1020" t="s">
        <v>1964</v>
      </c>
      <c r="J1020" t="str">
        <f>IF(0 = IFERROR(VLOOKUP(DBL_FullList!I1020, ContactsDbl!B:D, 2, FALSE), ""), "", IFERROR(VLOOKUP(DBL_FullList!I1020, ContactsDbl!B:D, 2, FALSE), ""))</f>
        <v/>
      </c>
      <c r="K1020" t="str">
        <f>IF(0 = IFERROR(VLOOKUP(DBL_FullList!I1020,ContactsDbl!B:D, 3, FALSE), ""), "", IFERROR(VLOOKUP(DBL_FullList!I1020, ContactsDbl!B:D, 3, FALSE), ""))</f>
        <v>http://www.americanbible.org/</v>
      </c>
      <c r="L1020">
        <f t="shared" si="31"/>
        <v>1</v>
      </c>
    </row>
    <row r="1021" spans="1:12" x14ac:dyDescent="0.25">
      <c r="A1021" t="s">
        <v>6315</v>
      </c>
      <c r="B1021" t="str">
        <f>IF(ISERROR(VLOOKUP(F1021,STEP!A:A, 1, FALSE)), "N", "Y")</f>
        <v>N</v>
      </c>
      <c r="C1021" t="str">
        <f>IF(ISERROR(VLOOKUP(E1021, BibleInEveryLanguageTexts!A:A, 1, FALSE)), "N", "Y")</f>
        <v>N</v>
      </c>
      <c r="D1021" t="str">
        <f t="shared" si="30"/>
        <v>X</v>
      </c>
      <c r="E1021" t="s">
        <v>6316</v>
      </c>
      <c r="F1021" t="s">
        <v>6317</v>
      </c>
      <c r="G1021" t="s">
        <v>121</v>
      </c>
      <c r="H1021" t="s">
        <v>6318</v>
      </c>
      <c r="I1021" t="s">
        <v>3104</v>
      </c>
      <c r="J1021" t="str">
        <f>IF(0 = IFERROR(VLOOKUP(DBL_FullList!I1021, ContactsDbl!B:D, 2, FALSE), ""), "", IFERROR(VLOOKUP(DBL_FullList!I1021, ContactsDbl!B:D, 2, FALSE), ""))</f>
        <v/>
      </c>
      <c r="K1021" t="str">
        <f>IF(0 = IFERROR(VLOOKUP(DBL_FullList!I1021,ContactsDbl!B:D, 3, FALSE), ""), "", IFERROR(VLOOKUP(DBL_FullList!I1021, ContactsDbl!B:D, 3, FALSE), ""))</f>
        <v/>
      </c>
      <c r="L1021">
        <f t="shared" si="31"/>
        <v>0</v>
      </c>
    </row>
    <row r="1022" spans="1:12" x14ac:dyDescent="0.25">
      <c r="A1022" s="1" t="s">
        <v>6319</v>
      </c>
      <c r="B1022" t="str">
        <f>IF(ISERROR(VLOOKUP(F1022,STEP!A:A, 1, FALSE)), "N", "Y")</f>
        <v>N</v>
      </c>
      <c r="C1022" t="str">
        <f>IF(ISERROR(VLOOKUP(E1022, BibleInEveryLanguageTexts!A:A, 1, FALSE)), "N", "Y")</f>
        <v>N</v>
      </c>
      <c r="D1022" t="str">
        <f t="shared" si="30"/>
        <v>X</v>
      </c>
      <c r="E1022" t="s">
        <v>4189</v>
      </c>
      <c r="F1022" t="s">
        <v>4190</v>
      </c>
      <c r="G1022" t="s">
        <v>4191</v>
      </c>
      <c r="H1022" t="s">
        <v>6320</v>
      </c>
      <c r="I1022" t="s">
        <v>3104</v>
      </c>
      <c r="J1022" t="str">
        <f>IF(0 = IFERROR(VLOOKUP(DBL_FullList!I1022, ContactsDbl!B:D, 2, FALSE), ""), "", IFERROR(VLOOKUP(DBL_FullList!I1022, ContactsDbl!B:D, 2, FALSE), ""))</f>
        <v/>
      </c>
      <c r="K1022" t="str">
        <f>IF(0 = IFERROR(VLOOKUP(DBL_FullList!I1022,ContactsDbl!B:D, 3, FALSE), ""), "", IFERROR(VLOOKUP(DBL_FullList!I1022, ContactsDbl!B:D, 3, FALSE), ""))</f>
        <v/>
      </c>
      <c r="L1022">
        <f t="shared" si="31"/>
        <v>0</v>
      </c>
    </row>
    <row r="1023" spans="1:12" x14ac:dyDescent="0.25">
      <c r="A1023" t="s">
        <v>6321</v>
      </c>
      <c r="B1023" t="str">
        <f>IF(ISERROR(VLOOKUP(F1023,STEP!A:A, 1, FALSE)), "N", "Y")</f>
        <v>N</v>
      </c>
      <c r="C1023" t="str">
        <f>IF(ISERROR(VLOOKUP(E1023, BibleInEveryLanguageTexts!A:A, 1, FALSE)), "N", "Y")</f>
        <v>N</v>
      </c>
      <c r="D1023" t="str">
        <f t="shared" si="30"/>
        <v>X</v>
      </c>
      <c r="E1023" t="s">
        <v>4189</v>
      </c>
      <c r="F1023" t="s">
        <v>4190</v>
      </c>
      <c r="G1023" t="s">
        <v>4191</v>
      </c>
      <c r="H1023" t="s">
        <v>6322</v>
      </c>
      <c r="I1023" t="s">
        <v>3104</v>
      </c>
      <c r="J1023" t="str">
        <f>IF(0 = IFERROR(VLOOKUP(DBL_FullList!I1023, ContactsDbl!B:D, 2, FALSE), ""), "", IFERROR(VLOOKUP(DBL_FullList!I1023, ContactsDbl!B:D, 2, FALSE), ""))</f>
        <v/>
      </c>
      <c r="K1023" t="str">
        <f>IF(0 = IFERROR(VLOOKUP(DBL_FullList!I1023,ContactsDbl!B:D, 3, FALSE), ""), "", IFERROR(VLOOKUP(DBL_FullList!I1023, ContactsDbl!B:D, 3, FALSE), ""))</f>
        <v/>
      </c>
      <c r="L1023">
        <f t="shared" si="31"/>
        <v>0</v>
      </c>
    </row>
    <row r="1024" spans="1:12" x14ac:dyDescent="0.25">
      <c r="A1024" t="s">
        <v>6323</v>
      </c>
      <c r="B1024" t="str">
        <f>IF(ISERROR(VLOOKUP(F1024,STEP!A:A, 1, FALSE)), "N", "Y")</f>
        <v>N</v>
      </c>
      <c r="C1024" t="str">
        <f>IF(ISERROR(VLOOKUP(E1024, BibleInEveryLanguageTexts!A:A, 1, FALSE)), "N", "Y")</f>
        <v>N</v>
      </c>
      <c r="D1024" t="str">
        <f t="shared" si="30"/>
        <v>X</v>
      </c>
      <c r="E1024" t="s">
        <v>2726</v>
      </c>
      <c r="F1024" t="s">
        <v>2727</v>
      </c>
      <c r="G1024" t="s">
        <v>2728</v>
      </c>
      <c r="H1024" t="s">
        <v>6324</v>
      </c>
      <c r="I1024" t="s">
        <v>2084</v>
      </c>
      <c r="J1024" t="str">
        <f>IF(0 = IFERROR(VLOOKUP(DBL_FullList!I1024, ContactsDbl!B:D, 2, FALSE), ""), "", IFERROR(VLOOKUP(DBL_FullList!I1024, ContactsDbl!B:D, 2, FALSE), ""))</f>
        <v>pzlateski@yahoo.it</v>
      </c>
      <c r="K1024" t="str">
        <f>IF(0 = IFERROR(VLOOKUP(DBL_FullList!I1024,ContactsDbl!B:D, 3, FALSE), ""), "", IFERROR(VLOOKUP(DBL_FullList!I1024, ContactsDbl!B:D, 3, FALSE), ""))</f>
        <v/>
      </c>
      <c r="L1024">
        <f t="shared" si="31"/>
        <v>2</v>
      </c>
    </row>
    <row r="1025" spans="1:12" x14ac:dyDescent="0.25">
      <c r="A1025" t="s">
        <v>6325</v>
      </c>
      <c r="B1025" t="str">
        <f>IF(ISERROR(VLOOKUP(F1025,STEP!A:A, 1, FALSE)), "N", "Y")</f>
        <v>N</v>
      </c>
      <c r="C1025" t="str">
        <f>IF(ISERROR(VLOOKUP(E1025, BibleInEveryLanguageTexts!A:A, 1, FALSE)), "N", "Y")</f>
        <v>N</v>
      </c>
      <c r="D1025" t="str">
        <f t="shared" si="30"/>
        <v>X</v>
      </c>
      <c r="E1025" t="s">
        <v>6326</v>
      </c>
      <c r="F1025" t="s">
        <v>6327</v>
      </c>
      <c r="G1025" t="s">
        <v>383</v>
      </c>
      <c r="H1025" t="s">
        <v>6328</v>
      </c>
      <c r="I1025" t="s">
        <v>2661</v>
      </c>
      <c r="J1025" t="str">
        <f>IF(0 = IFERROR(VLOOKUP(DBL_FullList!I1025, ContactsDbl!B:D, 2, FALSE), ""), "", IFERROR(VLOOKUP(DBL_FullList!I1025, ContactsDbl!B:D, 2, FALSE), ""))</f>
        <v>dbladmin_intl@sil.org</v>
      </c>
      <c r="K1025" t="str">
        <f>IF(0 = IFERROR(VLOOKUP(DBL_FullList!I1025,ContactsDbl!B:D, 3, FALSE), ""), "", IFERROR(VLOOKUP(DBL_FullList!I1025, ContactsDbl!B:D, 3, FALSE), ""))</f>
        <v>http://www.wycliffe.org</v>
      </c>
      <c r="L1025">
        <f t="shared" si="31"/>
        <v>2</v>
      </c>
    </row>
    <row r="1026" spans="1:12" x14ac:dyDescent="0.25">
      <c r="A1026" t="s">
        <v>6329</v>
      </c>
      <c r="B1026" t="str">
        <f>IF(ISERROR(VLOOKUP(F1026,STEP!A:A, 1, FALSE)), "N", "Y")</f>
        <v>N</v>
      </c>
      <c r="C1026" t="str">
        <f>IF(ISERROR(VLOOKUP(E1026, BibleInEveryLanguageTexts!A:A, 1, FALSE)), "N", "Y")</f>
        <v>N</v>
      </c>
      <c r="D1026" t="str">
        <f t="shared" si="30"/>
        <v>X</v>
      </c>
      <c r="E1026" t="s">
        <v>6330</v>
      </c>
      <c r="F1026" t="s">
        <v>6331</v>
      </c>
      <c r="G1026" t="s">
        <v>171</v>
      </c>
      <c r="H1026" t="s">
        <v>6332</v>
      </c>
      <c r="I1026" t="s">
        <v>168</v>
      </c>
      <c r="J1026" t="str">
        <f>IF(0 = IFERROR(VLOOKUP(DBL_FullList!I1026, ContactsDbl!B:D, 2, FALSE), ""), "", IFERROR(VLOOKUP(DBL_FullList!I1026, ContactsDbl!B:D, 2, FALSE), ""))</f>
        <v>admin@biblesociety-ethiopia.org</v>
      </c>
      <c r="K1026" t="str">
        <f>IF(0 = IFERROR(VLOOKUP(DBL_FullList!I1026,ContactsDbl!B:D, 3, FALSE), ""), "", IFERROR(VLOOKUP(DBL_FullList!I1026, ContactsDbl!B:D, 3, FALSE), ""))</f>
        <v>http://biblesociety-ethiopia.org</v>
      </c>
      <c r="L1026">
        <f t="shared" si="31"/>
        <v>2</v>
      </c>
    </row>
    <row r="1027" spans="1:12" x14ac:dyDescent="0.25">
      <c r="A1027" s="1" t="s">
        <v>6333</v>
      </c>
      <c r="B1027" t="str">
        <f>IF(ISERROR(VLOOKUP(F1027,STEP!A:A, 1, FALSE)), "N", "Y")</f>
        <v>N</v>
      </c>
      <c r="C1027" t="str">
        <f>IF(ISERROR(VLOOKUP(E1027, BibleInEveryLanguageTexts!A:A, 1, FALSE)), "N", "Y")</f>
        <v>N</v>
      </c>
      <c r="D1027" t="str">
        <f t="shared" ref="D1027:D1090" si="32">IF(AND("N" = B1027, "N" = C1027), "X", "")</f>
        <v>X</v>
      </c>
      <c r="E1027" t="s">
        <v>6334</v>
      </c>
      <c r="F1027" t="s">
        <v>6335</v>
      </c>
      <c r="G1027" t="s">
        <v>171</v>
      </c>
      <c r="H1027" t="s">
        <v>6336</v>
      </c>
      <c r="I1027" t="s">
        <v>168</v>
      </c>
      <c r="J1027" t="str">
        <f>IF(0 = IFERROR(VLOOKUP(DBL_FullList!I1027, ContactsDbl!B:D, 2, FALSE), ""), "", IFERROR(VLOOKUP(DBL_FullList!I1027, ContactsDbl!B:D, 2, FALSE), ""))</f>
        <v>admin@biblesociety-ethiopia.org</v>
      </c>
      <c r="K1027" t="str">
        <f>IF(0 = IFERROR(VLOOKUP(DBL_FullList!I1027,ContactsDbl!B:D, 3, FALSE), ""), "", IFERROR(VLOOKUP(DBL_FullList!I1027, ContactsDbl!B:D, 3, FALSE), ""))</f>
        <v>http://biblesociety-ethiopia.org</v>
      </c>
      <c r="L1027">
        <f t="shared" ref="L1027:L1090" si="33">IF("" &lt;&gt; J1027, 2, IF("" &lt;&gt; K1027, 1, 0))</f>
        <v>2</v>
      </c>
    </row>
    <row r="1028" spans="1:12" x14ac:dyDescent="0.25">
      <c r="A1028" t="s">
        <v>6337</v>
      </c>
      <c r="B1028" t="str">
        <f>IF(ISERROR(VLOOKUP(F1028,STEP!A:A, 1, FALSE)), "N", "Y")</f>
        <v>N</v>
      </c>
      <c r="C1028" t="str">
        <f>IF(ISERROR(VLOOKUP(E1028, BibleInEveryLanguageTexts!A:A, 1, FALSE)), "N", "Y")</f>
        <v>N</v>
      </c>
      <c r="D1028" t="str">
        <f t="shared" si="32"/>
        <v>X</v>
      </c>
      <c r="E1028" t="s">
        <v>6338</v>
      </c>
      <c r="F1028" t="s">
        <v>6339</v>
      </c>
      <c r="G1028" t="s">
        <v>171</v>
      </c>
      <c r="H1028" t="s">
        <v>6340</v>
      </c>
      <c r="I1028" t="s">
        <v>168</v>
      </c>
      <c r="J1028" t="str">
        <f>IF(0 = IFERROR(VLOOKUP(DBL_FullList!I1028, ContactsDbl!B:D, 2, FALSE), ""), "", IFERROR(VLOOKUP(DBL_FullList!I1028, ContactsDbl!B:D, 2, FALSE), ""))</f>
        <v>admin@biblesociety-ethiopia.org</v>
      </c>
      <c r="K1028" t="str">
        <f>IF(0 = IFERROR(VLOOKUP(DBL_FullList!I1028,ContactsDbl!B:D, 3, FALSE), ""), "", IFERROR(VLOOKUP(DBL_FullList!I1028, ContactsDbl!B:D, 3, FALSE), ""))</f>
        <v>http://biblesociety-ethiopia.org</v>
      </c>
      <c r="L1028">
        <f t="shared" si="33"/>
        <v>2</v>
      </c>
    </row>
    <row r="1029" spans="1:12" x14ac:dyDescent="0.25">
      <c r="A1029" t="s">
        <v>6341</v>
      </c>
      <c r="B1029" t="str">
        <f>IF(ISERROR(VLOOKUP(F1029,STEP!A:A, 1, FALSE)), "N", "Y")</f>
        <v>N</v>
      </c>
      <c r="C1029" t="str">
        <f>IF(ISERROR(VLOOKUP(E1029, BibleInEveryLanguageTexts!A:A, 1, FALSE)), "N", "Y")</f>
        <v>N</v>
      </c>
      <c r="D1029" t="str">
        <f t="shared" si="32"/>
        <v>X</v>
      </c>
      <c r="E1029" t="s">
        <v>6342</v>
      </c>
      <c r="F1029" t="s">
        <v>6343</v>
      </c>
      <c r="G1029" t="s">
        <v>3784</v>
      </c>
      <c r="H1029" t="s">
        <v>6344</v>
      </c>
      <c r="I1029" t="s">
        <v>2661</v>
      </c>
      <c r="J1029" t="str">
        <f>IF(0 = IFERROR(VLOOKUP(DBL_FullList!I1029, ContactsDbl!B:D, 2, FALSE), ""), "", IFERROR(VLOOKUP(DBL_FullList!I1029, ContactsDbl!B:D, 2, FALSE), ""))</f>
        <v>dbladmin_intl@sil.org</v>
      </c>
      <c r="K1029" t="str">
        <f>IF(0 = IFERROR(VLOOKUP(DBL_FullList!I1029,ContactsDbl!B:D, 3, FALSE), ""), "", IFERROR(VLOOKUP(DBL_FullList!I1029, ContactsDbl!B:D, 3, FALSE), ""))</f>
        <v>http://www.wycliffe.org</v>
      </c>
      <c r="L1029">
        <f t="shared" si="33"/>
        <v>2</v>
      </c>
    </row>
    <row r="1030" spans="1:12" x14ac:dyDescent="0.25">
      <c r="A1030" t="s">
        <v>6345</v>
      </c>
      <c r="B1030" t="str">
        <f>IF(ISERROR(VLOOKUP(F1030,STEP!A:A, 1, FALSE)), "N", "Y")</f>
        <v>N</v>
      </c>
      <c r="C1030" t="str">
        <f>IF(ISERROR(VLOOKUP(E1030, BibleInEveryLanguageTexts!A:A, 1, FALSE)), "N", "Y")</f>
        <v>N</v>
      </c>
      <c r="D1030" t="str">
        <f t="shared" si="32"/>
        <v>X</v>
      </c>
      <c r="E1030" t="s">
        <v>6346</v>
      </c>
      <c r="F1030" t="s">
        <v>6347</v>
      </c>
      <c r="G1030" t="s">
        <v>2738</v>
      </c>
      <c r="H1030" t="s">
        <v>6348</v>
      </c>
      <c r="I1030" t="s">
        <v>2102</v>
      </c>
      <c r="J1030" t="str">
        <f>IF(0 = IFERROR(VLOOKUP(DBL_FullList!I1030, ContactsDbl!B:D, 2, FALSE), ""), "", IFERROR(VLOOKUP(DBL_FullList!I1030, ContactsDbl!B:D, 2, FALSE), ""))</f>
        <v>mkatonivere@bible.org.fj</v>
      </c>
      <c r="K1030" t="str">
        <f>IF(0 = IFERROR(VLOOKUP(DBL_FullList!I1030,ContactsDbl!B:D, 3, FALSE), ""), "", IFERROR(VLOOKUP(DBL_FullList!I1030, ContactsDbl!B:D, 3, FALSE), ""))</f>
        <v>http://www.bible.org.fj/</v>
      </c>
      <c r="L1030">
        <f t="shared" si="33"/>
        <v>2</v>
      </c>
    </row>
    <row r="1031" spans="1:12" x14ac:dyDescent="0.25">
      <c r="A1031" t="s">
        <v>6349</v>
      </c>
      <c r="B1031" t="str">
        <f>IF(ISERROR(VLOOKUP(F1031,STEP!A:A, 1, FALSE)), "N", "Y")</f>
        <v>N</v>
      </c>
      <c r="C1031" t="str">
        <f>IF(ISERROR(VLOOKUP(E1031, BibleInEveryLanguageTexts!A:A, 1, FALSE)), "N", "Y")</f>
        <v>N</v>
      </c>
      <c r="D1031" t="str">
        <f t="shared" si="32"/>
        <v>X</v>
      </c>
      <c r="E1031" t="s">
        <v>5818</v>
      </c>
      <c r="F1031" t="s">
        <v>3846</v>
      </c>
      <c r="G1031" t="s">
        <v>27</v>
      </c>
      <c r="H1031" t="s">
        <v>6350</v>
      </c>
      <c r="I1031" t="s">
        <v>2563</v>
      </c>
      <c r="J1031" t="str">
        <f>IF(0 = IFERROR(VLOOKUP(DBL_FullList!I1031, ContactsDbl!B:D, 2, FALSE), ""), "", IFERROR(VLOOKUP(DBL_FullList!I1031, ContactsDbl!B:D, 2, FALSE), ""))</f>
        <v/>
      </c>
      <c r="K1031" t="str">
        <f>IF(0 = IFERROR(VLOOKUP(DBL_FullList!I1031,ContactsDbl!B:D, 3, FALSE), ""), "", IFERROR(VLOOKUP(DBL_FullList!I1031, ContactsDbl!B:D, 3, FALSE), ""))</f>
        <v>http://www.scottishbiblesociety.org</v>
      </c>
      <c r="L1031">
        <f t="shared" si="33"/>
        <v>1</v>
      </c>
    </row>
    <row r="1032" spans="1:12" x14ac:dyDescent="0.25">
      <c r="A1032" t="s">
        <v>6351</v>
      </c>
      <c r="B1032" t="str">
        <f>IF(ISERROR(VLOOKUP(F1032,STEP!A:A, 1, FALSE)), "N", "Y")</f>
        <v>N</v>
      </c>
      <c r="C1032" t="str">
        <f>IF(ISERROR(VLOOKUP(E1032, BibleInEveryLanguageTexts!A:A, 1, FALSE)), "N", "Y")</f>
        <v>N</v>
      </c>
      <c r="D1032" t="str">
        <f t="shared" si="32"/>
        <v>X</v>
      </c>
      <c r="E1032" t="s">
        <v>5818</v>
      </c>
      <c r="F1032" t="s">
        <v>3846</v>
      </c>
      <c r="G1032" t="s">
        <v>27</v>
      </c>
      <c r="H1032" t="s">
        <v>6352</v>
      </c>
      <c r="I1032" t="s">
        <v>2563</v>
      </c>
      <c r="J1032" t="str">
        <f>IF(0 = IFERROR(VLOOKUP(DBL_FullList!I1032, ContactsDbl!B:D, 2, FALSE), ""), "", IFERROR(VLOOKUP(DBL_FullList!I1032, ContactsDbl!B:D, 2, FALSE), ""))</f>
        <v/>
      </c>
      <c r="K1032" t="str">
        <f>IF(0 = IFERROR(VLOOKUP(DBL_FullList!I1032,ContactsDbl!B:D, 3, FALSE), ""), "", IFERROR(VLOOKUP(DBL_FullList!I1032, ContactsDbl!B:D, 3, FALSE), ""))</f>
        <v>http://www.scottishbiblesociety.org</v>
      </c>
      <c r="L1032">
        <f t="shared" si="33"/>
        <v>1</v>
      </c>
    </row>
    <row r="1033" spans="1:12" x14ac:dyDescent="0.25">
      <c r="A1033" t="s">
        <v>6353</v>
      </c>
      <c r="B1033" t="str">
        <f>IF(ISERROR(VLOOKUP(F1033,STEP!A:A, 1, FALSE)), "N", "Y")</f>
        <v>N</v>
      </c>
      <c r="C1033" t="str">
        <f>IF(ISERROR(VLOOKUP(E1033, BibleInEveryLanguageTexts!A:A, 1, FALSE)), "N", "Y")</f>
        <v>N</v>
      </c>
      <c r="D1033" t="str">
        <f t="shared" si="32"/>
        <v>X</v>
      </c>
      <c r="E1033" t="s">
        <v>5104</v>
      </c>
      <c r="F1033" t="s">
        <v>5105</v>
      </c>
      <c r="G1033" t="s">
        <v>2824</v>
      </c>
      <c r="H1033" t="s">
        <v>6354</v>
      </c>
      <c r="I1033" t="s">
        <v>2493</v>
      </c>
      <c r="J1033" t="str">
        <f>IF(0 = IFERROR(VLOOKUP(DBL_FullList!I1033, ContactsDbl!B:D, 2, FALSE), ""), "", IFERROR(VLOOKUP(DBL_FullList!I1033, ContactsDbl!B:D, 2, FALSE), ""))</f>
        <v/>
      </c>
      <c r="K1033" t="str">
        <f>IF(0 = IFERROR(VLOOKUP(DBL_FullList!I1033,ContactsDbl!B:D, 3, FALSE), ""), "", IFERROR(VLOOKUP(DBL_FullList!I1033, ContactsDbl!B:D, 3, FALSE), ""))</f>
        <v>http://sbp.org.py</v>
      </c>
      <c r="L1033">
        <f t="shared" si="33"/>
        <v>1</v>
      </c>
    </row>
    <row r="1034" spans="1:12" x14ac:dyDescent="0.25">
      <c r="A1034" t="s">
        <v>6355</v>
      </c>
      <c r="B1034" t="str">
        <f>IF(ISERROR(VLOOKUP(F1034,STEP!A:A, 1, FALSE)), "N", "Y")</f>
        <v>N</v>
      </c>
      <c r="C1034" t="str">
        <f>IF(ISERROR(VLOOKUP(E1034, BibleInEveryLanguageTexts!A:A, 1, FALSE)), "N", "Y")</f>
        <v>N</v>
      </c>
      <c r="D1034" t="str">
        <f t="shared" si="32"/>
        <v>X</v>
      </c>
      <c r="E1034" t="s">
        <v>3775</v>
      </c>
      <c r="F1034" t="s">
        <v>3776</v>
      </c>
      <c r="G1034" t="s">
        <v>4</v>
      </c>
      <c r="H1034" t="s">
        <v>6356</v>
      </c>
      <c r="I1034" t="s">
        <v>183</v>
      </c>
      <c r="J1034" t="str">
        <f>IF(0 = IFERROR(VLOOKUP(DBL_FullList!I1034, ContactsDbl!B:D, 2, FALSE), ""), "", IFERROR(VLOOKUP(DBL_FullList!I1034, ContactsDbl!B:D, 2, FALSE), ""))</f>
        <v>dbl@biblesocieties.org</v>
      </c>
      <c r="K1034" t="str">
        <f>IF(0 = IFERROR(VLOOKUP(DBL_FullList!I1034,ContactsDbl!B:D, 3, FALSE), ""), "", IFERROR(VLOOKUP(DBL_FullList!I1034, ContactsDbl!B:D, 3, FALSE), ""))</f>
        <v>http://www.unitedbiblesocieties.org/</v>
      </c>
      <c r="L1034">
        <f t="shared" si="33"/>
        <v>2</v>
      </c>
    </row>
    <row r="1035" spans="1:12" x14ac:dyDescent="0.25">
      <c r="A1035" t="s">
        <v>6357</v>
      </c>
      <c r="B1035" t="str">
        <f>IF(ISERROR(VLOOKUP(F1035,STEP!A:A, 1, FALSE)), "N", "Y")</f>
        <v>N</v>
      </c>
      <c r="C1035" t="str">
        <f>IF(ISERROR(VLOOKUP(E1035, BibleInEveryLanguageTexts!A:A, 1, FALSE)), "N", "Y")</f>
        <v>N</v>
      </c>
      <c r="D1035" t="str">
        <f t="shared" si="32"/>
        <v>X</v>
      </c>
      <c r="E1035" t="s">
        <v>5433</v>
      </c>
      <c r="F1035" t="s">
        <v>5434</v>
      </c>
      <c r="G1035" t="s">
        <v>5239</v>
      </c>
      <c r="H1035" t="s">
        <v>6358</v>
      </c>
      <c r="I1035" t="s">
        <v>1997</v>
      </c>
      <c r="J1035" t="str">
        <f>IF(0 = IFERROR(VLOOKUP(DBL_FullList!I1035, ContactsDbl!B:D, 2, FALSE), ""), "", IFERROR(VLOOKUP(DBL_FullList!I1035, ContactsDbl!B:D, 2, FALSE), ""))</f>
        <v>Lee.Harris@biblica.com</v>
      </c>
      <c r="K1035" t="str">
        <f>IF(0 = IFERROR(VLOOKUP(DBL_FullList!I1035,ContactsDbl!B:D, 3, FALSE), ""), "", IFERROR(VLOOKUP(DBL_FullList!I1035, ContactsDbl!B:D, 3, FALSE), ""))</f>
        <v>http://www.Biblica.com</v>
      </c>
      <c r="L1035">
        <f t="shared" si="33"/>
        <v>2</v>
      </c>
    </row>
    <row r="1036" spans="1:12" x14ac:dyDescent="0.25">
      <c r="A1036" t="s">
        <v>228</v>
      </c>
      <c r="B1036" t="str">
        <f>IF(ISERROR(VLOOKUP(F1036,STEP!A:A, 1, FALSE)), "N", "Y")</f>
        <v>N</v>
      </c>
      <c r="C1036" t="str">
        <f>IF(ISERROR(VLOOKUP(E1036, BibleInEveryLanguageTexts!A:A, 1, FALSE)), "N", "Y")</f>
        <v>N</v>
      </c>
      <c r="D1036" t="str">
        <f t="shared" si="32"/>
        <v>X</v>
      </c>
      <c r="E1036" t="s">
        <v>227</v>
      </c>
      <c r="F1036" t="s">
        <v>226</v>
      </c>
      <c r="G1036" t="s">
        <v>48</v>
      </c>
      <c r="H1036" t="s">
        <v>224</v>
      </c>
      <c r="I1036" t="s">
        <v>45</v>
      </c>
      <c r="J1036" t="str">
        <f>IF(0 = IFERROR(VLOOKUP(DBL_FullList!I1036, ContactsDbl!B:D, 2, FALSE), ""), "", IFERROR(VLOOKUP(DBL_FullList!I1036, ContactsDbl!B:D, 2, FALSE), ""))</f>
        <v>pbt@pbti.org</v>
      </c>
      <c r="K1036" t="str">
        <f>IF(0 = IFERROR(VLOOKUP(DBL_FullList!I1036,ContactsDbl!B:D, 3, FALSE), ""), "", IFERROR(VLOOKUP(DBL_FullList!I1036, ContactsDbl!B:D, 3, FALSE), ""))</f>
        <v>www.pioneerbible.org</v>
      </c>
      <c r="L1036">
        <f t="shared" si="33"/>
        <v>2</v>
      </c>
    </row>
    <row r="1037" spans="1:12" x14ac:dyDescent="0.25">
      <c r="A1037" t="s">
        <v>6359</v>
      </c>
      <c r="B1037" t="str">
        <f>IF(ISERROR(VLOOKUP(F1037,STEP!A:A, 1, FALSE)), "N", "Y")</f>
        <v>N</v>
      </c>
      <c r="C1037" t="str">
        <f>IF(ISERROR(VLOOKUP(E1037, BibleInEveryLanguageTexts!A:A, 1, FALSE)), "N", "Y")</f>
        <v>N</v>
      </c>
      <c r="D1037" t="str">
        <f t="shared" si="32"/>
        <v>X</v>
      </c>
      <c r="E1037" t="s">
        <v>6360</v>
      </c>
      <c r="F1037" t="s">
        <v>6361</v>
      </c>
      <c r="G1037" t="s">
        <v>2793</v>
      </c>
      <c r="H1037" t="s">
        <v>6362</v>
      </c>
      <c r="I1037" t="s">
        <v>2102</v>
      </c>
      <c r="J1037" t="str">
        <f>IF(0 = IFERROR(VLOOKUP(DBL_FullList!I1037, ContactsDbl!B:D, 2, FALSE), ""), "", IFERROR(VLOOKUP(DBL_FullList!I1037, ContactsDbl!B:D, 2, FALSE), ""))</f>
        <v>mkatonivere@bible.org.fj</v>
      </c>
      <c r="K1037" t="str">
        <f>IF(0 = IFERROR(VLOOKUP(DBL_FullList!I1037,ContactsDbl!B:D, 3, FALSE), ""), "", IFERROR(VLOOKUP(DBL_FullList!I1037, ContactsDbl!B:D, 3, FALSE), ""))</f>
        <v>http://www.bible.org.fj/</v>
      </c>
      <c r="L1037">
        <f t="shared" si="33"/>
        <v>2</v>
      </c>
    </row>
    <row r="1038" spans="1:12" x14ac:dyDescent="0.25">
      <c r="A1038" t="s">
        <v>6363</v>
      </c>
      <c r="B1038" t="str">
        <f>IF(ISERROR(VLOOKUP(F1038,STEP!A:A, 1, FALSE)), "N", "Y")</f>
        <v>N</v>
      </c>
      <c r="C1038" t="str">
        <f>IF(ISERROR(VLOOKUP(E1038, BibleInEveryLanguageTexts!A:A, 1, FALSE)), "N", "Y")</f>
        <v>N</v>
      </c>
      <c r="D1038" t="str">
        <f t="shared" si="32"/>
        <v>X</v>
      </c>
      <c r="E1038" t="s">
        <v>6364</v>
      </c>
      <c r="F1038" t="s">
        <v>5932</v>
      </c>
      <c r="G1038" t="s">
        <v>2843</v>
      </c>
      <c r="H1038" t="s">
        <v>6365</v>
      </c>
      <c r="I1038" t="s">
        <v>2597</v>
      </c>
      <c r="J1038" t="str">
        <f>IF(0 = IFERROR(VLOOKUP(DBL_FullList!I1038, ContactsDbl!B:D, 2, FALSE), ""), "", IFERROR(VLOOKUP(DBL_FullList!I1038, ContactsDbl!B:D, 2, FALSE), ""))</f>
        <v/>
      </c>
      <c r="K1038" t="str">
        <f>IF(0 = IFERROR(VLOOKUP(DBL_FullList!I1038,ContactsDbl!B:D, 3, FALSE), ""), "", IFERROR(VLOOKUP(DBL_FullList!I1038, ContactsDbl!B:D, 3, FALSE), ""))</f>
        <v/>
      </c>
      <c r="L1038">
        <f t="shared" si="33"/>
        <v>0</v>
      </c>
    </row>
    <row r="1039" spans="1:12" x14ac:dyDescent="0.25">
      <c r="A1039" t="s">
        <v>6366</v>
      </c>
      <c r="B1039" t="str">
        <f>IF(ISERROR(VLOOKUP(F1039,STEP!A:A, 1, FALSE)), "N", "Y")</f>
        <v>N</v>
      </c>
      <c r="C1039" t="str">
        <f>IF(ISERROR(VLOOKUP(E1039, BibleInEveryLanguageTexts!A:A, 1, FALSE)), "N", "Y")</f>
        <v>N</v>
      </c>
      <c r="D1039" t="str">
        <f t="shared" si="32"/>
        <v>X</v>
      </c>
      <c r="E1039" t="s">
        <v>6367</v>
      </c>
      <c r="F1039" t="s">
        <v>6368</v>
      </c>
      <c r="G1039" t="s">
        <v>2843</v>
      </c>
      <c r="H1039" t="s">
        <v>6369</v>
      </c>
      <c r="I1039" t="s">
        <v>2597</v>
      </c>
      <c r="J1039" t="str">
        <f>IF(0 = IFERROR(VLOOKUP(DBL_FullList!I1039, ContactsDbl!B:D, 2, FALSE), ""), "", IFERROR(VLOOKUP(DBL_FullList!I1039, ContactsDbl!B:D, 2, FALSE), ""))</f>
        <v/>
      </c>
      <c r="K1039" t="str">
        <f>IF(0 = IFERROR(VLOOKUP(DBL_FullList!I1039,ContactsDbl!B:D, 3, FALSE), ""), "", IFERROR(VLOOKUP(DBL_FullList!I1039, ContactsDbl!B:D, 3, FALSE), ""))</f>
        <v/>
      </c>
      <c r="L1039">
        <f t="shared" si="33"/>
        <v>0</v>
      </c>
    </row>
    <row r="1040" spans="1:12" x14ac:dyDescent="0.25">
      <c r="A1040" t="s">
        <v>6370</v>
      </c>
      <c r="B1040" t="str">
        <f>IF(ISERROR(VLOOKUP(F1040,STEP!A:A, 1, FALSE)), "N", "Y")</f>
        <v>N</v>
      </c>
      <c r="C1040" t="str">
        <f>IF(ISERROR(VLOOKUP(E1040, BibleInEveryLanguageTexts!A:A, 1, FALSE)), "N", "Y")</f>
        <v>N</v>
      </c>
      <c r="D1040" t="str">
        <f t="shared" si="32"/>
        <v>X</v>
      </c>
      <c r="E1040" t="s">
        <v>6371</v>
      </c>
      <c r="F1040" t="s">
        <v>6372</v>
      </c>
      <c r="G1040" t="s">
        <v>6373</v>
      </c>
      <c r="H1040" t="s">
        <v>6374</v>
      </c>
      <c r="I1040" t="s">
        <v>3104</v>
      </c>
      <c r="J1040" t="str">
        <f>IF(0 = IFERROR(VLOOKUP(DBL_FullList!I1040, ContactsDbl!B:D, 2, FALSE), ""), "", IFERROR(VLOOKUP(DBL_FullList!I1040, ContactsDbl!B:D, 2, FALSE), ""))</f>
        <v/>
      </c>
      <c r="K1040" t="str">
        <f>IF(0 = IFERROR(VLOOKUP(DBL_FullList!I1040,ContactsDbl!B:D, 3, FALSE), ""), "", IFERROR(VLOOKUP(DBL_FullList!I1040, ContactsDbl!B:D, 3, FALSE), ""))</f>
        <v/>
      </c>
      <c r="L1040">
        <f t="shared" si="33"/>
        <v>0</v>
      </c>
    </row>
    <row r="1041" spans="1:12" x14ac:dyDescent="0.25">
      <c r="A1041" t="s">
        <v>6375</v>
      </c>
      <c r="B1041" t="str">
        <f>IF(ISERROR(VLOOKUP(F1041,STEP!A:A, 1, FALSE)), "N", "Y")</f>
        <v>N</v>
      </c>
      <c r="C1041" t="str">
        <f>IF(ISERROR(VLOOKUP(E1041, BibleInEveryLanguageTexts!A:A, 1, FALSE)), "N", "Y")</f>
        <v>N</v>
      </c>
      <c r="D1041" t="str">
        <f t="shared" si="32"/>
        <v>X</v>
      </c>
      <c r="E1041" t="s">
        <v>6376</v>
      </c>
      <c r="F1041" t="s">
        <v>6377</v>
      </c>
      <c r="G1041" t="s">
        <v>3065</v>
      </c>
      <c r="H1041" t="s">
        <v>6378</v>
      </c>
      <c r="I1041" t="s">
        <v>3104</v>
      </c>
      <c r="J1041" t="str">
        <f>IF(0 = IFERROR(VLOOKUP(DBL_FullList!I1041, ContactsDbl!B:D, 2, FALSE), ""), "", IFERROR(VLOOKUP(DBL_FullList!I1041, ContactsDbl!B:D, 2, FALSE), ""))</f>
        <v/>
      </c>
      <c r="K1041" t="str">
        <f>IF(0 = IFERROR(VLOOKUP(DBL_FullList!I1041,ContactsDbl!B:D, 3, FALSE), ""), "", IFERROR(VLOOKUP(DBL_FullList!I1041, ContactsDbl!B:D, 3, FALSE), ""))</f>
        <v/>
      </c>
      <c r="L1041">
        <f t="shared" si="33"/>
        <v>0</v>
      </c>
    </row>
    <row r="1042" spans="1:12" x14ac:dyDescent="0.25">
      <c r="A1042" t="s">
        <v>6379</v>
      </c>
      <c r="B1042" t="str">
        <f>IF(ISERROR(VLOOKUP(F1042,STEP!A:A, 1, FALSE)), "N", "Y")</f>
        <v>N</v>
      </c>
      <c r="C1042" t="str">
        <f>IF(ISERROR(VLOOKUP(E1042, BibleInEveryLanguageTexts!A:A, 1, FALSE)), "N", "Y")</f>
        <v>N</v>
      </c>
      <c r="D1042" t="str">
        <f t="shared" si="32"/>
        <v>X</v>
      </c>
      <c r="E1042" t="s">
        <v>4189</v>
      </c>
      <c r="F1042" t="s">
        <v>4190</v>
      </c>
      <c r="G1042" t="s">
        <v>4191</v>
      </c>
      <c r="H1042" t="s">
        <v>6380</v>
      </c>
      <c r="I1042" t="s">
        <v>3104</v>
      </c>
      <c r="J1042" t="str">
        <f>IF(0 = IFERROR(VLOOKUP(DBL_FullList!I1042, ContactsDbl!B:D, 2, FALSE), ""), "", IFERROR(VLOOKUP(DBL_FullList!I1042, ContactsDbl!B:D, 2, FALSE), ""))</f>
        <v/>
      </c>
      <c r="K1042" t="str">
        <f>IF(0 = IFERROR(VLOOKUP(DBL_FullList!I1042,ContactsDbl!B:D, 3, FALSE), ""), "", IFERROR(VLOOKUP(DBL_FullList!I1042, ContactsDbl!B:D, 3, FALSE), ""))</f>
        <v/>
      </c>
      <c r="L1042">
        <f t="shared" si="33"/>
        <v>0</v>
      </c>
    </row>
    <row r="1043" spans="1:12" x14ac:dyDescent="0.25">
      <c r="A1043" t="s">
        <v>6381</v>
      </c>
      <c r="B1043" t="str">
        <f>IF(ISERROR(VLOOKUP(F1043,STEP!A:A, 1, FALSE)), "N", "Y")</f>
        <v>N</v>
      </c>
      <c r="C1043" t="str">
        <f>IF(ISERROR(VLOOKUP(E1043, BibleInEveryLanguageTexts!A:A, 1, FALSE)), "N", "Y")</f>
        <v>N</v>
      </c>
      <c r="D1043" t="str">
        <f t="shared" si="32"/>
        <v>X</v>
      </c>
      <c r="E1043" t="s">
        <v>6371</v>
      </c>
      <c r="F1043" t="s">
        <v>6372</v>
      </c>
      <c r="G1043" t="s">
        <v>6373</v>
      </c>
      <c r="H1043" t="s">
        <v>6382</v>
      </c>
      <c r="I1043" t="s">
        <v>2463</v>
      </c>
      <c r="J1043" t="str">
        <f>IF(0 = IFERROR(VLOOKUP(DBL_FullList!I1043, ContactsDbl!B:D, 2, FALSE), ""), "", IFERROR(VLOOKUP(DBL_FullList!I1043, ContactsDbl!B:D, 2, FALSE), ""))</f>
        <v/>
      </c>
      <c r="K1043" t="str">
        <f>IF(0 = IFERROR(VLOOKUP(DBL_FullList!I1043,ContactsDbl!B:D, 3, FALSE), ""), "", IFERROR(VLOOKUP(DBL_FullList!I1043, ContactsDbl!B:D, 3, FALSE), ""))</f>
        <v/>
      </c>
      <c r="L1043">
        <f t="shared" si="33"/>
        <v>0</v>
      </c>
    </row>
    <row r="1044" spans="1:12" x14ac:dyDescent="0.25">
      <c r="A1044" t="s">
        <v>6383</v>
      </c>
      <c r="B1044" t="str">
        <f>IF(ISERROR(VLOOKUP(F1044,STEP!A:A, 1, FALSE)), "N", "Y")</f>
        <v>Y</v>
      </c>
      <c r="C1044" t="str">
        <f>IF(ISERROR(VLOOKUP(E1044, BibleInEveryLanguageTexts!A:A, 1, FALSE)), "N", "Y")</f>
        <v>N</v>
      </c>
      <c r="D1044" t="str">
        <f t="shared" si="32"/>
        <v/>
      </c>
      <c r="E1044" t="s">
        <v>6384</v>
      </c>
      <c r="F1044" t="s">
        <v>6385</v>
      </c>
      <c r="G1044" t="s">
        <v>48</v>
      </c>
      <c r="H1044" t="s">
        <v>6386</v>
      </c>
      <c r="I1044" t="s">
        <v>2661</v>
      </c>
      <c r="J1044" t="str">
        <f>IF(0 = IFERROR(VLOOKUP(DBL_FullList!I1044, ContactsDbl!B:D, 2, FALSE), ""), "", IFERROR(VLOOKUP(DBL_FullList!I1044, ContactsDbl!B:D, 2, FALSE), ""))</f>
        <v>dbladmin_intl@sil.org</v>
      </c>
      <c r="K1044" t="str">
        <f>IF(0 = IFERROR(VLOOKUP(DBL_FullList!I1044,ContactsDbl!B:D, 3, FALSE), ""), "", IFERROR(VLOOKUP(DBL_FullList!I1044, ContactsDbl!B:D, 3, FALSE), ""))</f>
        <v>http://www.wycliffe.org</v>
      </c>
      <c r="L1044">
        <f t="shared" si="33"/>
        <v>2</v>
      </c>
    </row>
    <row r="1045" spans="1:12" x14ac:dyDescent="0.25">
      <c r="A1045" t="s">
        <v>6387</v>
      </c>
      <c r="B1045" t="str">
        <f>IF(ISERROR(VLOOKUP(F1045,STEP!A:A, 1, FALSE)), "N", "Y")</f>
        <v>Y</v>
      </c>
      <c r="C1045" t="str">
        <f>IF(ISERROR(VLOOKUP(E1045, BibleInEveryLanguageTexts!A:A, 1, FALSE)), "N", "Y")</f>
        <v>N</v>
      </c>
      <c r="D1045" t="str">
        <f t="shared" si="32"/>
        <v/>
      </c>
      <c r="E1045" t="s">
        <v>3911</v>
      </c>
      <c r="F1045" t="s">
        <v>3912</v>
      </c>
      <c r="G1045" t="s">
        <v>3913</v>
      </c>
      <c r="H1045" t="s">
        <v>6388</v>
      </c>
      <c r="I1045" t="s">
        <v>1997</v>
      </c>
      <c r="J1045" t="str">
        <f>IF(0 = IFERROR(VLOOKUP(DBL_FullList!I1045, ContactsDbl!B:D, 2, FALSE), ""), "", IFERROR(VLOOKUP(DBL_FullList!I1045, ContactsDbl!B:D, 2, FALSE), ""))</f>
        <v>Lee.Harris@biblica.com</v>
      </c>
      <c r="K1045" t="str">
        <f>IF(0 = IFERROR(VLOOKUP(DBL_FullList!I1045,ContactsDbl!B:D, 3, FALSE), ""), "", IFERROR(VLOOKUP(DBL_FullList!I1045, ContactsDbl!B:D, 3, FALSE), ""))</f>
        <v>http://www.Biblica.com</v>
      </c>
      <c r="L1045">
        <f t="shared" si="33"/>
        <v>2</v>
      </c>
    </row>
    <row r="1046" spans="1:12" x14ac:dyDescent="0.25">
      <c r="A1046" t="s">
        <v>6389</v>
      </c>
      <c r="B1046" t="str">
        <f>IF(ISERROR(VLOOKUP(F1046,STEP!A:A, 1, FALSE)), "N", "Y")</f>
        <v>N</v>
      </c>
      <c r="C1046" t="str">
        <f>IF(ISERROR(VLOOKUP(E1046, BibleInEveryLanguageTexts!A:A, 1, FALSE)), "N", "Y")</f>
        <v>N</v>
      </c>
      <c r="D1046" t="str">
        <f t="shared" si="32"/>
        <v>X</v>
      </c>
      <c r="E1046" t="s">
        <v>6390</v>
      </c>
      <c r="F1046" t="s">
        <v>6391</v>
      </c>
      <c r="G1046" t="s">
        <v>4050</v>
      </c>
      <c r="H1046" t="s">
        <v>6392</v>
      </c>
      <c r="I1046" t="s">
        <v>2661</v>
      </c>
      <c r="J1046" t="str">
        <f>IF(0 = IFERROR(VLOOKUP(DBL_FullList!I1046, ContactsDbl!B:D, 2, FALSE), ""), "", IFERROR(VLOOKUP(DBL_FullList!I1046, ContactsDbl!B:D, 2, FALSE), ""))</f>
        <v>dbladmin_intl@sil.org</v>
      </c>
      <c r="K1046" t="str">
        <f>IF(0 = IFERROR(VLOOKUP(DBL_FullList!I1046,ContactsDbl!B:D, 3, FALSE), ""), "", IFERROR(VLOOKUP(DBL_FullList!I1046, ContactsDbl!B:D, 3, FALSE), ""))</f>
        <v>http://www.wycliffe.org</v>
      </c>
      <c r="L1046">
        <f t="shared" si="33"/>
        <v>2</v>
      </c>
    </row>
    <row r="1047" spans="1:12" x14ac:dyDescent="0.25">
      <c r="A1047" t="s">
        <v>6393</v>
      </c>
      <c r="B1047" t="str">
        <f>IF(ISERROR(VLOOKUP(F1047,STEP!A:A, 1, FALSE)), "N", "Y")</f>
        <v>N</v>
      </c>
      <c r="C1047" t="str">
        <f>IF(ISERROR(VLOOKUP(E1047, BibleInEveryLanguageTexts!A:A, 1, FALSE)), "N", "Y")</f>
        <v>N</v>
      </c>
      <c r="D1047" t="str">
        <f t="shared" si="32"/>
        <v>X</v>
      </c>
      <c r="E1047" t="s">
        <v>5433</v>
      </c>
      <c r="F1047" t="s">
        <v>5434</v>
      </c>
      <c r="G1047" t="s">
        <v>5239</v>
      </c>
      <c r="H1047" t="s">
        <v>6394</v>
      </c>
      <c r="I1047" t="s">
        <v>2487</v>
      </c>
      <c r="J1047" t="str">
        <f>IF(0 = IFERROR(VLOOKUP(DBL_FullList!I1047, ContactsDbl!B:D, 2, FALSE), ""), "", IFERROR(VLOOKUP(DBL_FullList!I1047, ContactsDbl!B:D, 2, FALSE), ""))</f>
        <v/>
      </c>
      <c r="K1047" t="str">
        <f>IF(0 = IFERROR(VLOOKUP(DBL_FullList!I1047,ContactsDbl!B:D, 3, FALSE), ""), "", IFERROR(VLOOKUP(DBL_FullList!I1047, ContactsDbl!B:D, 3, FALSE), ""))</f>
        <v>http://www.bibelselskapet.no/</v>
      </c>
      <c r="L1047">
        <f t="shared" si="33"/>
        <v>1</v>
      </c>
    </row>
    <row r="1048" spans="1:12" x14ac:dyDescent="0.25">
      <c r="A1048" t="s">
        <v>6395</v>
      </c>
      <c r="B1048" t="str">
        <f>IF(ISERROR(VLOOKUP(F1048,STEP!A:A, 1, FALSE)), "N", "Y")</f>
        <v>N</v>
      </c>
      <c r="C1048" t="str">
        <f>IF(ISERROR(VLOOKUP(E1048, BibleInEveryLanguageTexts!A:A, 1, FALSE)), "N", "Y")</f>
        <v>N</v>
      </c>
      <c r="D1048" t="str">
        <f t="shared" si="32"/>
        <v>X</v>
      </c>
      <c r="E1048" t="s">
        <v>6396</v>
      </c>
      <c r="F1048" t="s">
        <v>6397</v>
      </c>
      <c r="G1048" t="s">
        <v>3074</v>
      </c>
      <c r="H1048" t="s">
        <v>6398</v>
      </c>
      <c r="I1048" t="s">
        <v>183</v>
      </c>
      <c r="J1048" t="str">
        <f>IF(0 = IFERROR(VLOOKUP(DBL_FullList!I1048, ContactsDbl!B:D, 2, FALSE), ""), "", IFERROR(VLOOKUP(DBL_FullList!I1048, ContactsDbl!B:D, 2, FALSE), ""))</f>
        <v>dbl@biblesocieties.org</v>
      </c>
      <c r="K1048" t="str">
        <f>IF(0 = IFERROR(VLOOKUP(DBL_FullList!I1048,ContactsDbl!B:D, 3, FALSE), ""), "", IFERROR(VLOOKUP(DBL_FullList!I1048, ContactsDbl!B:D, 3, FALSE), ""))</f>
        <v>http://www.unitedbiblesocieties.org/</v>
      </c>
      <c r="L1048">
        <f t="shared" si="33"/>
        <v>2</v>
      </c>
    </row>
    <row r="1049" spans="1:12" x14ac:dyDescent="0.25">
      <c r="A1049" t="s">
        <v>6399</v>
      </c>
      <c r="B1049" t="str">
        <f>IF(ISERROR(VLOOKUP(F1049,STEP!A:A, 1, FALSE)), "N", "Y")</f>
        <v>N</v>
      </c>
      <c r="C1049" t="str">
        <f>IF(ISERROR(VLOOKUP(E1049, BibleInEveryLanguageTexts!A:A, 1, FALSE)), "N", "Y")</f>
        <v>N</v>
      </c>
      <c r="D1049" t="str">
        <f t="shared" si="32"/>
        <v>X</v>
      </c>
      <c r="E1049" t="s">
        <v>199</v>
      </c>
      <c r="F1049" t="s">
        <v>197</v>
      </c>
      <c r="G1049" t="s">
        <v>11</v>
      </c>
      <c r="H1049" t="s">
        <v>6400</v>
      </c>
      <c r="I1049" t="s">
        <v>2401</v>
      </c>
      <c r="J1049" t="str">
        <f>IF(0 = IFERROR(VLOOKUP(DBL_FullList!I1049, ContactsDbl!B:D, 2, FALSE), ""), "", IFERROR(VLOOKUP(DBL_FullList!I1049, ContactsDbl!B:D, 2, FALSE), ""))</f>
        <v>digitalbiblelibrary@lockman.org</v>
      </c>
      <c r="K1049" t="str">
        <f>IF(0 = IFERROR(VLOOKUP(DBL_FullList!I1049,ContactsDbl!B:D, 3, FALSE), ""), "", IFERROR(VLOOKUP(DBL_FullList!I1049, ContactsDbl!B:D, 3, FALSE), ""))</f>
        <v>http://www.lockman.org/</v>
      </c>
      <c r="L1049">
        <f t="shared" si="33"/>
        <v>2</v>
      </c>
    </row>
    <row r="1050" spans="1:12" x14ac:dyDescent="0.25">
      <c r="A1050" t="s">
        <v>6401</v>
      </c>
      <c r="B1050" t="str">
        <f>IF(ISERROR(VLOOKUP(F1050,STEP!A:A, 1, FALSE)), "N", "Y")</f>
        <v>N</v>
      </c>
      <c r="C1050" t="str">
        <f>IF(ISERROR(VLOOKUP(E1050, BibleInEveryLanguageTexts!A:A, 1, FALSE)), "N", "Y")</f>
        <v>N</v>
      </c>
      <c r="D1050" t="str">
        <f t="shared" si="32"/>
        <v>X</v>
      </c>
      <c r="E1050" t="s">
        <v>6402</v>
      </c>
      <c r="F1050" t="s">
        <v>6403</v>
      </c>
      <c r="G1050" t="s">
        <v>3663</v>
      </c>
      <c r="H1050" t="s">
        <v>6404</v>
      </c>
      <c r="I1050" t="s">
        <v>2636</v>
      </c>
      <c r="J1050" t="str">
        <f>IF(0 = IFERROR(VLOOKUP(DBL_FullList!I1050, ContactsDbl!B:D, 2, FALSE), ""), "", IFERROR(VLOOKUP(DBL_FullList!I1050, ContactsDbl!B:D, 2, FALSE), ""))</f>
        <v>deborab@kitabimukaddes.com</v>
      </c>
      <c r="K1050" t="str">
        <f>IF(0 = IFERROR(VLOOKUP(DBL_FullList!I1050,ContactsDbl!B:D, 3, FALSE), ""), "", IFERROR(VLOOKUP(DBL_FullList!I1050, ContactsDbl!B:D, 3, FALSE), ""))</f>
        <v>http://www.kitabimukaddes.com/</v>
      </c>
      <c r="L1050">
        <f t="shared" si="33"/>
        <v>2</v>
      </c>
    </row>
    <row r="1051" spans="1:12" x14ac:dyDescent="0.25">
      <c r="A1051" t="s">
        <v>6405</v>
      </c>
      <c r="B1051" t="str">
        <f>IF(ISERROR(VLOOKUP(F1051,STEP!A:A, 1, FALSE)), "N", "Y")</f>
        <v>N</v>
      </c>
      <c r="C1051" t="str">
        <f>IF(ISERROR(VLOOKUP(E1051, BibleInEveryLanguageTexts!A:A, 1, FALSE)), "N", "Y")</f>
        <v>N</v>
      </c>
      <c r="D1051" t="str">
        <f t="shared" si="32"/>
        <v>X</v>
      </c>
      <c r="E1051" t="s">
        <v>199</v>
      </c>
      <c r="F1051" t="s">
        <v>197</v>
      </c>
      <c r="G1051" t="s">
        <v>2942</v>
      </c>
      <c r="H1051" t="s">
        <v>6406</v>
      </c>
      <c r="I1051" t="s">
        <v>183</v>
      </c>
      <c r="J1051" t="str">
        <f>IF(0 = IFERROR(VLOOKUP(DBL_FullList!I1051, ContactsDbl!B:D, 2, FALSE), ""), "", IFERROR(VLOOKUP(DBL_FullList!I1051, ContactsDbl!B:D, 2, FALSE), ""))</f>
        <v>dbl@biblesocieties.org</v>
      </c>
      <c r="K1051" t="str">
        <f>IF(0 = IFERROR(VLOOKUP(DBL_FullList!I1051,ContactsDbl!B:D, 3, FALSE), ""), "", IFERROR(VLOOKUP(DBL_FullList!I1051, ContactsDbl!B:D, 3, FALSE), ""))</f>
        <v>http://www.unitedbiblesocieties.org/</v>
      </c>
      <c r="L1051">
        <f t="shared" si="33"/>
        <v>2</v>
      </c>
    </row>
    <row r="1052" spans="1:12" x14ac:dyDescent="0.25">
      <c r="A1052" t="s">
        <v>6407</v>
      </c>
      <c r="B1052" t="str">
        <f>IF(ISERROR(VLOOKUP(F1052,STEP!A:A, 1, FALSE)), "N", "Y")</f>
        <v>N</v>
      </c>
      <c r="C1052" t="str">
        <f>IF(ISERROR(VLOOKUP(E1052, BibleInEveryLanguageTexts!A:A, 1, FALSE)), "N", "Y")</f>
        <v>N</v>
      </c>
      <c r="D1052" t="str">
        <f t="shared" si="32"/>
        <v>X</v>
      </c>
      <c r="E1052" t="s">
        <v>6408</v>
      </c>
      <c r="F1052" t="s">
        <v>6409</v>
      </c>
      <c r="G1052" t="s">
        <v>139</v>
      </c>
      <c r="H1052" t="s">
        <v>6410</v>
      </c>
      <c r="I1052" t="s">
        <v>2640</v>
      </c>
      <c r="J1052" t="str">
        <f>IF(0 = IFERROR(VLOOKUP(DBL_FullList!I1052, ContactsDbl!B:D, 2, FALSE), ""), "", IFERROR(VLOOKUP(DBL_FullList!I1052, ContactsDbl!B:D, 2, FALSE), ""))</f>
        <v>admin-us@twftw.org</v>
      </c>
      <c r="K1052" t="str">
        <f>IF(0 = IFERROR(VLOOKUP(DBL_FullList!I1052,ContactsDbl!B:D, 3, FALSE), ""), "", IFERROR(VLOOKUP(DBL_FullList!I1052, ContactsDbl!B:D, 3, FALSE), ""))</f>
        <v>www.twftw.org</v>
      </c>
      <c r="L1052">
        <f t="shared" si="33"/>
        <v>2</v>
      </c>
    </row>
    <row r="1053" spans="1:12" x14ac:dyDescent="0.25">
      <c r="A1053" t="s">
        <v>6411</v>
      </c>
      <c r="B1053" t="str">
        <f>IF(ISERROR(VLOOKUP(F1053,STEP!A:A, 1, FALSE)), "N", "Y")</f>
        <v>N</v>
      </c>
      <c r="C1053" t="str">
        <f>IF(ISERROR(VLOOKUP(E1053, BibleInEveryLanguageTexts!A:A, 1, FALSE)), "N", "Y")</f>
        <v>N</v>
      </c>
      <c r="D1053" t="str">
        <f t="shared" si="32"/>
        <v>X</v>
      </c>
      <c r="E1053" t="s">
        <v>6412</v>
      </c>
      <c r="F1053" t="s">
        <v>6413</v>
      </c>
      <c r="G1053" t="s">
        <v>268</v>
      </c>
      <c r="H1053" t="s">
        <v>6414</v>
      </c>
      <c r="I1053" t="s">
        <v>2131</v>
      </c>
      <c r="J1053" t="str">
        <f>IF(0 = IFERROR(VLOOKUP(DBL_FullList!I1053, ContactsDbl!B:D, 2, FALSE), ""), "", IFERROR(VLOOKUP(DBL_FullList!I1053, ContactsDbl!B:D, 2, FALSE), ""))</f>
        <v>dbl@biblesociety.ca</v>
      </c>
      <c r="K1053" t="str">
        <f>IF(0 = IFERROR(VLOOKUP(DBL_FullList!I1053,ContactsDbl!B:D, 3, FALSE), ""), "", IFERROR(VLOOKUP(DBL_FullList!I1053, ContactsDbl!B:D, 3, FALSE), ""))</f>
        <v>http://www.biblesociety.ca</v>
      </c>
      <c r="L1053">
        <f t="shared" si="33"/>
        <v>2</v>
      </c>
    </row>
    <row r="1054" spans="1:12" x14ac:dyDescent="0.25">
      <c r="A1054" t="s">
        <v>6415</v>
      </c>
      <c r="B1054" t="str">
        <f>IF(ISERROR(VLOOKUP(F1054,STEP!A:A, 1, FALSE)), "N", "Y")</f>
        <v>N</v>
      </c>
      <c r="C1054" t="str">
        <f>IF(ISERROR(VLOOKUP(E1054, BibleInEveryLanguageTexts!A:A, 1, FALSE)), "N", "Y")</f>
        <v>N</v>
      </c>
      <c r="D1054" t="str">
        <f t="shared" si="32"/>
        <v>X</v>
      </c>
      <c r="E1054" t="s">
        <v>6416</v>
      </c>
      <c r="F1054" t="s">
        <v>6417</v>
      </c>
      <c r="G1054" t="s">
        <v>171</v>
      </c>
      <c r="H1054" t="s">
        <v>6418</v>
      </c>
      <c r="I1054" t="s">
        <v>168</v>
      </c>
      <c r="J1054" t="str">
        <f>IF(0 = IFERROR(VLOOKUP(DBL_FullList!I1054, ContactsDbl!B:D, 2, FALSE), ""), "", IFERROR(VLOOKUP(DBL_FullList!I1054, ContactsDbl!B:D, 2, FALSE), ""))</f>
        <v>admin@biblesociety-ethiopia.org</v>
      </c>
      <c r="K1054" t="str">
        <f>IF(0 = IFERROR(VLOOKUP(DBL_FullList!I1054,ContactsDbl!B:D, 3, FALSE), ""), "", IFERROR(VLOOKUP(DBL_FullList!I1054, ContactsDbl!B:D, 3, FALSE), ""))</f>
        <v>http://biblesociety-ethiopia.org</v>
      </c>
      <c r="L1054">
        <f t="shared" si="33"/>
        <v>2</v>
      </c>
    </row>
    <row r="1055" spans="1:12" x14ac:dyDescent="0.25">
      <c r="A1055" t="s">
        <v>6419</v>
      </c>
      <c r="B1055" t="str">
        <f>IF(ISERROR(VLOOKUP(F1055,STEP!A:A, 1, FALSE)), "N", "Y")</f>
        <v>N</v>
      </c>
      <c r="C1055" t="str">
        <f>IF(ISERROR(VLOOKUP(E1055, BibleInEveryLanguageTexts!A:A, 1, FALSE)), "N", "Y")</f>
        <v>N</v>
      </c>
      <c r="D1055" t="str">
        <f t="shared" si="32"/>
        <v>X</v>
      </c>
      <c r="E1055" t="s">
        <v>6412</v>
      </c>
      <c r="F1055" t="s">
        <v>6413</v>
      </c>
      <c r="G1055" t="s">
        <v>268</v>
      </c>
      <c r="H1055" t="s">
        <v>6420</v>
      </c>
      <c r="I1055" t="s">
        <v>2131</v>
      </c>
      <c r="J1055" t="str">
        <f>IF(0 = IFERROR(VLOOKUP(DBL_FullList!I1055, ContactsDbl!B:D, 2, FALSE), ""), "", IFERROR(VLOOKUP(DBL_FullList!I1055, ContactsDbl!B:D, 2, FALSE), ""))</f>
        <v>dbl@biblesociety.ca</v>
      </c>
      <c r="K1055" t="str">
        <f>IF(0 = IFERROR(VLOOKUP(DBL_FullList!I1055,ContactsDbl!B:D, 3, FALSE), ""), "", IFERROR(VLOOKUP(DBL_FullList!I1055, ContactsDbl!B:D, 3, FALSE), ""))</f>
        <v>http://www.biblesociety.ca</v>
      </c>
      <c r="L1055">
        <f t="shared" si="33"/>
        <v>2</v>
      </c>
    </row>
    <row r="1056" spans="1:12" x14ac:dyDescent="0.25">
      <c r="A1056" t="s">
        <v>6421</v>
      </c>
      <c r="B1056" t="str">
        <f>IF(ISERROR(VLOOKUP(F1056,STEP!A:A, 1, FALSE)), "N", "Y")</f>
        <v>N</v>
      </c>
      <c r="C1056" t="str">
        <f>IF(ISERROR(VLOOKUP(E1056, BibleInEveryLanguageTexts!A:A, 1, FALSE)), "N", "Y")</f>
        <v>N</v>
      </c>
      <c r="D1056" t="str">
        <f t="shared" si="32"/>
        <v>X</v>
      </c>
      <c r="E1056" t="s">
        <v>3088</v>
      </c>
      <c r="F1056" t="s">
        <v>3089</v>
      </c>
      <c r="G1056" t="s">
        <v>3090</v>
      </c>
      <c r="H1056" t="s">
        <v>6422</v>
      </c>
      <c r="I1056" t="s">
        <v>2222</v>
      </c>
      <c r="J1056" t="str">
        <f>IF(0 = IFERROR(VLOOKUP(DBL_FullList!I1056, ContactsDbl!B:D, 2, FALSE), ""), "", IFERROR(VLOOKUP(DBL_FullList!I1056, ContactsDbl!B:D, 2, FALSE), ""))</f>
        <v>info@piplia.fi</v>
      </c>
      <c r="K1056" t="str">
        <f>IF(0 = IFERROR(VLOOKUP(DBL_FullList!I1056,ContactsDbl!B:D, 3, FALSE), ""), "", IFERROR(VLOOKUP(DBL_FullList!I1056, ContactsDbl!B:D, 3, FALSE), ""))</f>
        <v>http://www.bible.fi/</v>
      </c>
      <c r="L1056">
        <f t="shared" si="33"/>
        <v>2</v>
      </c>
    </row>
    <row r="1057" spans="1:12" x14ac:dyDescent="0.25">
      <c r="A1057" t="s">
        <v>6423</v>
      </c>
      <c r="B1057" t="str">
        <f>IF(ISERROR(VLOOKUP(F1057,STEP!A:A, 1, FALSE)), "N", "Y")</f>
        <v>N</v>
      </c>
      <c r="C1057" t="str">
        <f>IF(ISERROR(VLOOKUP(E1057, BibleInEveryLanguageTexts!A:A, 1, FALSE)), "N", "Y")</f>
        <v>N</v>
      </c>
      <c r="D1057" t="str">
        <f t="shared" si="32"/>
        <v>X</v>
      </c>
      <c r="E1057" t="s">
        <v>6412</v>
      </c>
      <c r="F1057" t="s">
        <v>6413</v>
      </c>
      <c r="G1057" t="s">
        <v>268</v>
      </c>
      <c r="H1057" t="s">
        <v>6424</v>
      </c>
      <c r="I1057" t="s">
        <v>2131</v>
      </c>
      <c r="J1057" t="str">
        <f>IF(0 = IFERROR(VLOOKUP(DBL_FullList!I1057, ContactsDbl!B:D, 2, FALSE), ""), "", IFERROR(VLOOKUP(DBL_FullList!I1057, ContactsDbl!B:D, 2, FALSE), ""))</f>
        <v>dbl@biblesociety.ca</v>
      </c>
      <c r="K1057" t="str">
        <f>IF(0 = IFERROR(VLOOKUP(DBL_FullList!I1057,ContactsDbl!B:D, 3, FALSE), ""), "", IFERROR(VLOOKUP(DBL_FullList!I1057, ContactsDbl!B:D, 3, FALSE), ""))</f>
        <v>http://www.biblesociety.ca</v>
      </c>
      <c r="L1057">
        <f t="shared" si="33"/>
        <v>2</v>
      </c>
    </row>
    <row r="1058" spans="1:12" x14ac:dyDescent="0.25">
      <c r="A1058" t="s">
        <v>6425</v>
      </c>
      <c r="B1058" t="str">
        <f>IF(ISERROR(VLOOKUP(F1058,STEP!A:A, 1, FALSE)), "N", "Y")</f>
        <v>N</v>
      </c>
      <c r="C1058" t="str">
        <f>IF(ISERROR(VLOOKUP(E1058, BibleInEveryLanguageTexts!A:A, 1, FALSE)), "N", "Y")</f>
        <v>N</v>
      </c>
      <c r="D1058" t="str">
        <f t="shared" si="32"/>
        <v>X</v>
      </c>
      <c r="E1058" t="s">
        <v>6426</v>
      </c>
      <c r="F1058" t="s">
        <v>6427</v>
      </c>
      <c r="G1058" t="s">
        <v>4919</v>
      </c>
      <c r="H1058" t="s">
        <v>6428</v>
      </c>
      <c r="I1058" t="s">
        <v>2444</v>
      </c>
      <c r="J1058" t="str">
        <f>IF(0 = IFERROR(VLOOKUP(DBL_FullList!I1058, ContactsDbl!B:D, 2, FALSE), ""), "", IFERROR(VLOOKUP(DBL_FullList!I1058, ContactsDbl!B:D, 2, FALSE), ""))</f>
        <v>sbmoz@tvcabo.co.mz</v>
      </c>
      <c r="K1058" t="str">
        <f>IF(0 = IFERROR(VLOOKUP(DBL_FullList!I1058,ContactsDbl!B:D, 3, FALSE), ""), "", IFERROR(VLOOKUP(DBL_FullList!I1058, ContactsDbl!B:D, 3, FALSE), ""))</f>
        <v>http://www.unitedbiblesocieties.org/society/bible-society-in-mozambique/</v>
      </c>
      <c r="L1058">
        <f t="shared" si="33"/>
        <v>2</v>
      </c>
    </row>
    <row r="1059" spans="1:12" x14ac:dyDescent="0.25">
      <c r="A1059" t="s">
        <v>6429</v>
      </c>
      <c r="B1059" t="str">
        <f>IF(ISERROR(VLOOKUP(F1059,STEP!A:A, 1, FALSE)), "N", "Y")</f>
        <v>N</v>
      </c>
      <c r="C1059" t="str">
        <f>IF(ISERROR(VLOOKUP(E1059, BibleInEveryLanguageTexts!A:A, 1, FALSE)), "N", "Y")</f>
        <v>N</v>
      </c>
      <c r="D1059" t="str">
        <f t="shared" si="32"/>
        <v>X</v>
      </c>
      <c r="E1059" t="s">
        <v>6430</v>
      </c>
      <c r="F1059" t="s">
        <v>6431</v>
      </c>
      <c r="G1059" t="s">
        <v>3124</v>
      </c>
      <c r="H1059" t="s">
        <v>6432</v>
      </c>
      <c r="I1059" t="s">
        <v>2630</v>
      </c>
      <c r="J1059" t="str">
        <f>IF(0 = IFERROR(VLOOKUP(DBL_FullList!I1059, ContactsDbl!B:D, 2, FALSE), ""), "", IFERROR(VLOOKUP(DBL_FullList!I1059, ContactsDbl!B:D, 2, FALSE), ""))</f>
        <v/>
      </c>
      <c r="K1059" t="str">
        <f>IF(0 = IFERROR(VLOOKUP(DBL_FullList!I1059,ContactsDbl!B:D, 3, FALSE), ""), "", IFERROR(VLOOKUP(DBL_FullList!I1059, ContactsDbl!B:D, 3, FALSE), ""))</f>
        <v>http://www.biblesociety-togo.org/</v>
      </c>
      <c r="L1059">
        <f t="shared" si="33"/>
        <v>1</v>
      </c>
    </row>
    <row r="1060" spans="1:12" x14ac:dyDescent="0.25">
      <c r="A1060" t="s">
        <v>6433</v>
      </c>
      <c r="B1060" t="str">
        <f>IF(ISERROR(VLOOKUP(F1060,STEP!A:A, 1, FALSE)), "N", "Y")</f>
        <v>N</v>
      </c>
      <c r="C1060" t="str">
        <f>IF(ISERROR(VLOOKUP(E1060, BibleInEveryLanguageTexts!A:A, 1, FALSE)), "N", "Y")</f>
        <v>N</v>
      </c>
      <c r="D1060" t="str">
        <f t="shared" si="32"/>
        <v>X</v>
      </c>
      <c r="E1060" t="s">
        <v>6434</v>
      </c>
      <c r="F1060" t="s">
        <v>6435</v>
      </c>
      <c r="G1060" t="s">
        <v>48</v>
      </c>
      <c r="H1060" t="s">
        <v>6436</v>
      </c>
      <c r="I1060" t="s">
        <v>2661</v>
      </c>
      <c r="J1060" t="str">
        <f>IF(0 = IFERROR(VLOOKUP(DBL_FullList!I1060, ContactsDbl!B:D, 2, FALSE), ""), "", IFERROR(VLOOKUP(DBL_FullList!I1060, ContactsDbl!B:D, 2, FALSE), ""))</f>
        <v>dbladmin_intl@sil.org</v>
      </c>
      <c r="K1060" t="str">
        <f>IF(0 = IFERROR(VLOOKUP(DBL_FullList!I1060,ContactsDbl!B:D, 3, FALSE), ""), "", IFERROR(VLOOKUP(DBL_FullList!I1060, ContactsDbl!B:D, 3, FALSE), ""))</f>
        <v>http://www.wycliffe.org</v>
      </c>
      <c r="L1060">
        <f t="shared" si="33"/>
        <v>2</v>
      </c>
    </row>
    <row r="1061" spans="1:12" x14ac:dyDescent="0.25">
      <c r="A1061" t="s">
        <v>6437</v>
      </c>
      <c r="B1061" t="str">
        <f>IF(ISERROR(VLOOKUP(F1061,STEP!A:A, 1, FALSE)), "N", "Y")</f>
        <v>N</v>
      </c>
      <c r="C1061" t="str">
        <f>IF(ISERROR(VLOOKUP(E1061, BibleInEveryLanguageTexts!A:A, 1, FALSE)), "N", "Y")</f>
        <v>N</v>
      </c>
      <c r="D1061" t="str">
        <f t="shared" si="32"/>
        <v>X</v>
      </c>
      <c r="E1061" t="s">
        <v>6438</v>
      </c>
      <c r="F1061" t="s">
        <v>6439</v>
      </c>
      <c r="G1061" t="s">
        <v>3751</v>
      </c>
      <c r="H1061" t="s">
        <v>6440</v>
      </c>
      <c r="I1061" t="s">
        <v>2661</v>
      </c>
      <c r="J1061" t="str">
        <f>IF(0 = IFERROR(VLOOKUP(DBL_FullList!I1061, ContactsDbl!B:D, 2, FALSE), ""), "", IFERROR(VLOOKUP(DBL_FullList!I1061, ContactsDbl!B:D, 2, FALSE), ""))</f>
        <v>dbladmin_intl@sil.org</v>
      </c>
      <c r="K1061" t="str">
        <f>IF(0 = IFERROR(VLOOKUP(DBL_FullList!I1061,ContactsDbl!B:D, 3, FALSE), ""), "", IFERROR(VLOOKUP(DBL_FullList!I1061, ContactsDbl!B:D, 3, FALSE), ""))</f>
        <v>http://www.wycliffe.org</v>
      </c>
      <c r="L1061">
        <f t="shared" si="33"/>
        <v>2</v>
      </c>
    </row>
    <row r="1062" spans="1:12" x14ac:dyDescent="0.25">
      <c r="A1062" t="s">
        <v>6441</v>
      </c>
      <c r="B1062" t="str">
        <f>IF(ISERROR(VLOOKUP(F1062,STEP!A:A, 1, FALSE)), "N", "Y")</f>
        <v>N</v>
      </c>
      <c r="C1062" t="str">
        <f>IF(ISERROR(VLOOKUP(E1062, BibleInEveryLanguageTexts!A:A, 1, FALSE)), "N", "Y")</f>
        <v>N</v>
      </c>
      <c r="D1062" t="str">
        <f t="shared" si="32"/>
        <v>X</v>
      </c>
      <c r="E1062" t="s">
        <v>6442</v>
      </c>
      <c r="F1062" t="s">
        <v>6443</v>
      </c>
      <c r="G1062" t="s">
        <v>2793</v>
      </c>
      <c r="H1062" t="s">
        <v>6444</v>
      </c>
      <c r="I1062" t="s">
        <v>2102</v>
      </c>
      <c r="J1062" t="str">
        <f>IF(0 = IFERROR(VLOOKUP(DBL_FullList!I1062, ContactsDbl!B:D, 2, FALSE), ""), "", IFERROR(VLOOKUP(DBL_FullList!I1062, ContactsDbl!B:D, 2, FALSE), ""))</f>
        <v>mkatonivere@bible.org.fj</v>
      </c>
      <c r="K1062" t="str">
        <f>IF(0 = IFERROR(VLOOKUP(DBL_FullList!I1062,ContactsDbl!B:D, 3, FALSE), ""), "", IFERROR(VLOOKUP(DBL_FullList!I1062, ContactsDbl!B:D, 3, FALSE), ""))</f>
        <v>http://www.bible.org.fj/</v>
      </c>
      <c r="L1062">
        <f t="shared" si="33"/>
        <v>2</v>
      </c>
    </row>
    <row r="1063" spans="1:12" x14ac:dyDescent="0.25">
      <c r="A1063" t="s">
        <v>6445</v>
      </c>
      <c r="B1063" t="str">
        <f>IF(ISERROR(VLOOKUP(F1063,STEP!A:A, 1, FALSE)), "N", "Y")</f>
        <v>N</v>
      </c>
      <c r="C1063" t="str">
        <f>IF(ISERROR(VLOOKUP(E1063, BibleInEveryLanguageTexts!A:A, 1, FALSE)), "N", "Y")</f>
        <v>N</v>
      </c>
      <c r="D1063" t="str">
        <f t="shared" si="32"/>
        <v>X</v>
      </c>
      <c r="E1063" t="s">
        <v>6446</v>
      </c>
      <c r="F1063" t="s">
        <v>6447</v>
      </c>
      <c r="G1063" t="s">
        <v>102</v>
      </c>
      <c r="H1063" t="s">
        <v>6448</v>
      </c>
      <c r="I1063" t="s">
        <v>411</v>
      </c>
      <c r="J1063" t="str">
        <f>IF(0 = IFERROR(VLOOKUP(DBL_FullList!I1063, ContactsDbl!B:D, 2, FALSE), ""), "", IFERROR(VLOOKUP(DBL_FullList!I1063, ContactsDbl!B:D, 2, FALSE), ""))</f>
        <v>mern.mission@gmail.com</v>
      </c>
      <c r="K1063" t="str">
        <f>IF(0 = IFERROR(VLOOKUP(DBL_FullList!I1063,ContactsDbl!B:D, 3, FALSE), ""), "", IFERROR(VLOOKUP(DBL_FullList!I1063, ContactsDbl!B:D, 3, FALSE), ""))</f>
        <v>http://www.zgg.nl/</v>
      </c>
      <c r="L1063">
        <f t="shared" si="33"/>
        <v>2</v>
      </c>
    </row>
    <row r="1064" spans="1:12" x14ac:dyDescent="0.25">
      <c r="A1064" t="s">
        <v>6449</v>
      </c>
      <c r="B1064" t="str">
        <f>IF(ISERROR(VLOOKUP(F1064,STEP!A:A, 1, FALSE)), "N", "Y")</f>
        <v>N</v>
      </c>
      <c r="C1064" t="str">
        <f>IF(ISERROR(VLOOKUP(E1064, BibleInEveryLanguageTexts!A:A, 1, FALSE)), "N", "Y")</f>
        <v>N</v>
      </c>
      <c r="D1064" t="str">
        <f t="shared" si="32"/>
        <v>X</v>
      </c>
      <c r="E1064" t="s">
        <v>6450</v>
      </c>
      <c r="F1064" t="s">
        <v>6451</v>
      </c>
      <c r="G1064" t="s">
        <v>516</v>
      </c>
      <c r="H1064" t="s">
        <v>6452</v>
      </c>
      <c r="I1064" t="s">
        <v>2476</v>
      </c>
      <c r="J1064" t="str">
        <f>IF(0 = IFERROR(VLOOKUP(DBL_FullList!I1064, ContactsDbl!B:D, 2, FALSE), ""), "", IFERROR(VLOOKUP(DBL_FullList!I1064, ContactsDbl!B:D, 2, FALSE), ""))</f>
        <v>info@bijbelgenootschap.nl</v>
      </c>
      <c r="K1064" t="str">
        <f>IF(0 = IFERROR(VLOOKUP(DBL_FullList!I1064,ContactsDbl!B:D, 3, FALSE), ""), "", IFERROR(VLOOKUP(DBL_FullList!I1064, ContactsDbl!B:D, 3, FALSE), ""))</f>
        <v>https://www.bijbelgenootschap.nl/</v>
      </c>
      <c r="L1064">
        <f t="shared" si="33"/>
        <v>2</v>
      </c>
    </row>
    <row r="1065" spans="1:12" x14ac:dyDescent="0.25">
      <c r="A1065" t="s">
        <v>6453</v>
      </c>
      <c r="B1065" t="str">
        <f>IF(ISERROR(VLOOKUP(F1065,STEP!A:A, 1, FALSE)), "N", "Y")</f>
        <v>N</v>
      </c>
      <c r="C1065" t="str">
        <f>IF(ISERROR(VLOOKUP(E1065, BibleInEveryLanguageTexts!A:A, 1, FALSE)), "N", "Y")</f>
        <v>N</v>
      </c>
      <c r="D1065" t="str">
        <f t="shared" si="32"/>
        <v>X</v>
      </c>
      <c r="E1065" t="s">
        <v>517</v>
      </c>
      <c r="F1065" t="s">
        <v>515</v>
      </c>
      <c r="G1065" t="s">
        <v>516</v>
      </c>
      <c r="H1065" t="s">
        <v>6454</v>
      </c>
      <c r="I1065" t="s">
        <v>2476</v>
      </c>
      <c r="J1065" t="str">
        <f>IF(0 = IFERROR(VLOOKUP(DBL_FullList!I1065, ContactsDbl!B:D, 2, FALSE), ""), "", IFERROR(VLOOKUP(DBL_FullList!I1065, ContactsDbl!B:D, 2, FALSE), ""))</f>
        <v>info@bijbelgenootschap.nl</v>
      </c>
      <c r="K1065" t="str">
        <f>IF(0 = IFERROR(VLOOKUP(DBL_FullList!I1065,ContactsDbl!B:D, 3, FALSE), ""), "", IFERROR(VLOOKUP(DBL_FullList!I1065, ContactsDbl!B:D, 3, FALSE), ""))</f>
        <v>https://www.bijbelgenootschap.nl/</v>
      </c>
      <c r="L1065">
        <f t="shared" si="33"/>
        <v>2</v>
      </c>
    </row>
    <row r="1066" spans="1:12" x14ac:dyDescent="0.25">
      <c r="A1066" t="s">
        <v>6455</v>
      </c>
      <c r="B1066" t="str">
        <f>IF(ISERROR(VLOOKUP(F1066,STEP!A:A, 1, FALSE)), "N", "Y")</f>
        <v>N</v>
      </c>
      <c r="C1066" t="str">
        <f>IF(ISERROR(VLOOKUP(E1066, BibleInEveryLanguageTexts!A:A, 1, FALSE)), "N", "Y")</f>
        <v>N</v>
      </c>
      <c r="D1066" t="str">
        <f t="shared" si="32"/>
        <v>X</v>
      </c>
      <c r="E1066" t="s">
        <v>6456</v>
      </c>
      <c r="F1066" t="s">
        <v>3462</v>
      </c>
      <c r="G1066" t="s">
        <v>2838</v>
      </c>
      <c r="H1066" t="s">
        <v>6457</v>
      </c>
      <c r="I1066" t="s">
        <v>2025</v>
      </c>
      <c r="J1066" t="str">
        <f>IF(0 = IFERROR(VLOOKUP(DBL_FullList!I1066, ContactsDbl!B:D, 2, FALSE), ""), "", IFERROR(VLOOKUP(DBL_FullList!I1066, ContactsDbl!B:D, 2, FALSE), ""))</f>
        <v>abbf@biblesociety-bf.org</v>
      </c>
      <c r="K1066" t="str">
        <f>IF(0 = IFERROR(VLOOKUP(DBL_FullList!I1066,ContactsDbl!B:D, 3, FALSE), ""), "", IFERROR(VLOOKUP(DBL_FullList!I1066, ContactsDbl!B:D, 3, FALSE), ""))</f>
        <v>http://alliancebiblique-bf.org/</v>
      </c>
      <c r="L1066">
        <f t="shared" si="33"/>
        <v>2</v>
      </c>
    </row>
    <row r="1067" spans="1:12" x14ac:dyDescent="0.25">
      <c r="A1067" t="s">
        <v>6458</v>
      </c>
      <c r="B1067" t="str">
        <f>IF(ISERROR(VLOOKUP(F1067,STEP!A:A, 1, FALSE)), "N", "Y")</f>
        <v>N</v>
      </c>
      <c r="C1067" t="str">
        <f>IF(ISERROR(VLOOKUP(E1067, BibleInEveryLanguageTexts!A:A, 1, FALSE)), "N", "Y")</f>
        <v>N</v>
      </c>
      <c r="D1067" t="str">
        <f t="shared" si="32"/>
        <v>X</v>
      </c>
      <c r="E1067" t="s">
        <v>6459</v>
      </c>
      <c r="F1067" t="s">
        <v>6460</v>
      </c>
      <c r="G1067" t="s">
        <v>306</v>
      </c>
      <c r="H1067" t="s">
        <v>6461</v>
      </c>
      <c r="I1067" t="s">
        <v>3104</v>
      </c>
      <c r="J1067" t="str">
        <f>IF(0 = IFERROR(VLOOKUP(DBL_FullList!I1067, ContactsDbl!B:D, 2, FALSE), ""), "", IFERROR(VLOOKUP(DBL_FullList!I1067, ContactsDbl!B:D, 2, FALSE), ""))</f>
        <v/>
      </c>
      <c r="K1067" t="str">
        <f>IF(0 = IFERROR(VLOOKUP(DBL_FullList!I1067,ContactsDbl!B:D, 3, FALSE), ""), "", IFERROR(VLOOKUP(DBL_FullList!I1067, ContactsDbl!B:D, 3, FALSE), ""))</f>
        <v/>
      </c>
      <c r="L1067">
        <f t="shared" si="33"/>
        <v>0</v>
      </c>
    </row>
    <row r="1068" spans="1:12" x14ac:dyDescent="0.25">
      <c r="A1068" t="s">
        <v>6462</v>
      </c>
      <c r="B1068" t="str">
        <f>IF(ISERROR(VLOOKUP(F1068,STEP!A:A, 1, FALSE)), "N", "Y")</f>
        <v>N</v>
      </c>
      <c r="C1068" t="str">
        <f>IF(ISERROR(VLOOKUP(E1068, BibleInEveryLanguageTexts!A:A, 1, FALSE)), "N", "Y")</f>
        <v>N</v>
      </c>
      <c r="D1068" t="str">
        <f t="shared" si="32"/>
        <v>X</v>
      </c>
      <c r="E1068" t="s">
        <v>5083</v>
      </c>
      <c r="F1068" t="s">
        <v>5084</v>
      </c>
      <c r="G1068" t="s">
        <v>2984</v>
      </c>
      <c r="H1068" t="s">
        <v>6463</v>
      </c>
      <c r="I1068" t="s">
        <v>3104</v>
      </c>
      <c r="J1068" t="str">
        <f>IF(0 = IFERROR(VLOOKUP(DBL_FullList!I1068, ContactsDbl!B:D, 2, FALSE), ""), "", IFERROR(VLOOKUP(DBL_FullList!I1068, ContactsDbl!B:D, 2, FALSE), ""))</f>
        <v/>
      </c>
      <c r="K1068" t="str">
        <f>IF(0 = IFERROR(VLOOKUP(DBL_FullList!I1068,ContactsDbl!B:D, 3, FALSE), ""), "", IFERROR(VLOOKUP(DBL_FullList!I1068, ContactsDbl!B:D, 3, FALSE), ""))</f>
        <v/>
      </c>
      <c r="L1068">
        <f t="shared" si="33"/>
        <v>0</v>
      </c>
    </row>
    <row r="1069" spans="1:12" x14ac:dyDescent="0.25">
      <c r="A1069" t="s">
        <v>6464</v>
      </c>
      <c r="B1069" t="str">
        <f>IF(ISERROR(VLOOKUP(F1069,STEP!A:A, 1, FALSE)), "N", "Y")</f>
        <v>N</v>
      </c>
      <c r="C1069" t="str">
        <f>IF(ISERROR(VLOOKUP(E1069, BibleInEveryLanguageTexts!A:A, 1, FALSE)), "N", "Y")</f>
        <v>N</v>
      </c>
      <c r="D1069" t="str">
        <f t="shared" si="32"/>
        <v>X</v>
      </c>
      <c r="E1069" t="s">
        <v>6465</v>
      </c>
      <c r="F1069" t="s">
        <v>6466</v>
      </c>
      <c r="G1069" t="s">
        <v>48</v>
      </c>
      <c r="H1069" t="s">
        <v>6467</v>
      </c>
      <c r="I1069" t="s">
        <v>2512</v>
      </c>
      <c r="J1069" t="str">
        <f>IF(0 = IFERROR(VLOOKUP(DBL_FullList!I1069, ContactsDbl!B:D, 2, FALSE), ""), "", IFERROR(VLOOKUP(DBL_FullList!I1069, ContactsDbl!B:D, 2, FALSE), ""))</f>
        <v/>
      </c>
      <c r="K1069" t="str">
        <f>IF(0 = IFERROR(VLOOKUP(DBL_FullList!I1069,ContactsDbl!B:D, 3, FALSE), ""), "", IFERROR(VLOOKUP(DBL_FullList!I1069, ContactsDbl!B:D, 3, FALSE), ""))</f>
        <v/>
      </c>
      <c r="L1069">
        <f t="shared" si="33"/>
        <v>0</v>
      </c>
    </row>
    <row r="1070" spans="1:12" x14ac:dyDescent="0.25">
      <c r="A1070" t="s">
        <v>6468</v>
      </c>
      <c r="B1070" t="str">
        <f>IF(ISERROR(VLOOKUP(F1070,STEP!A:A, 1, FALSE)), "N", "Y")</f>
        <v>Y</v>
      </c>
      <c r="C1070" t="str">
        <f>IF(ISERROR(VLOOKUP(E1070, BibleInEveryLanguageTexts!A:A, 1, FALSE)), "N", "Y")</f>
        <v>N</v>
      </c>
      <c r="D1070" t="str">
        <f t="shared" si="32"/>
        <v/>
      </c>
      <c r="E1070" t="s">
        <v>6469</v>
      </c>
      <c r="F1070" t="s">
        <v>6470</v>
      </c>
      <c r="G1070" t="s">
        <v>48</v>
      </c>
      <c r="H1070" t="s">
        <v>6471</v>
      </c>
      <c r="I1070" t="s">
        <v>2512</v>
      </c>
      <c r="J1070" t="str">
        <f>IF(0 = IFERROR(VLOOKUP(DBL_FullList!I1070, ContactsDbl!B:D, 2, FALSE), ""), "", IFERROR(VLOOKUP(DBL_FullList!I1070, ContactsDbl!B:D, 2, FALSE), ""))</f>
        <v/>
      </c>
      <c r="K1070" t="str">
        <f>IF(0 = IFERROR(VLOOKUP(DBL_FullList!I1070,ContactsDbl!B:D, 3, FALSE), ""), "", IFERROR(VLOOKUP(DBL_FullList!I1070, ContactsDbl!B:D, 3, FALSE), ""))</f>
        <v/>
      </c>
      <c r="L1070">
        <f t="shared" si="33"/>
        <v>0</v>
      </c>
    </row>
    <row r="1071" spans="1:12" x14ac:dyDescent="0.25">
      <c r="A1071" t="s">
        <v>6472</v>
      </c>
      <c r="B1071" t="str">
        <f>IF(ISERROR(VLOOKUP(F1071,STEP!A:A, 1, FALSE)), "N", "Y")</f>
        <v>N</v>
      </c>
      <c r="C1071" t="str">
        <f>IF(ISERROR(VLOOKUP(E1071, BibleInEveryLanguageTexts!A:A, 1, FALSE)), "N", "Y")</f>
        <v>N</v>
      </c>
      <c r="D1071" t="str">
        <f t="shared" si="32"/>
        <v>X</v>
      </c>
      <c r="E1071" t="s">
        <v>6330</v>
      </c>
      <c r="F1071" t="s">
        <v>6331</v>
      </c>
      <c r="G1071" t="s">
        <v>171</v>
      </c>
      <c r="H1071" t="s">
        <v>6473</v>
      </c>
      <c r="I1071" t="s">
        <v>168</v>
      </c>
      <c r="J1071" t="str">
        <f>IF(0 = IFERROR(VLOOKUP(DBL_FullList!I1071, ContactsDbl!B:D, 2, FALSE), ""), "", IFERROR(VLOOKUP(DBL_FullList!I1071, ContactsDbl!B:D, 2, FALSE), ""))</f>
        <v>admin@biblesociety-ethiopia.org</v>
      </c>
      <c r="K1071" t="str">
        <f>IF(0 = IFERROR(VLOOKUP(DBL_FullList!I1071,ContactsDbl!B:D, 3, FALSE), ""), "", IFERROR(VLOOKUP(DBL_FullList!I1071, ContactsDbl!B:D, 3, FALSE), ""))</f>
        <v>http://biblesociety-ethiopia.org</v>
      </c>
      <c r="L1071">
        <f t="shared" si="33"/>
        <v>2</v>
      </c>
    </row>
    <row r="1072" spans="1:12" x14ac:dyDescent="0.25">
      <c r="A1072" t="s">
        <v>6474</v>
      </c>
      <c r="B1072" t="str">
        <f>IF(ISERROR(VLOOKUP(F1072,STEP!A:A, 1, FALSE)), "N", "Y")</f>
        <v>N</v>
      </c>
      <c r="C1072" t="str">
        <f>IF(ISERROR(VLOOKUP(E1072, BibleInEveryLanguageTexts!A:A, 1, FALSE)), "N", "Y")</f>
        <v>N</v>
      </c>
      <c r="D1072" t="str">
        <f t="shared" si="32"/>
        <v>X</v>
      </c>
      <c r="E1072" t="s">
        <v>6456</v>
      </c>
      <c r="F1072" t="s">
        <v>3462</v>
      </c>
      <c r="G1072" t="s">
        <v>2838</v>
      </c>
      <c r="H1072" t="s">
        <v>6475</v>
      </c>
      <c r="I1072" t="s">
        <v>2025</v>
      </c>
      <c r="J1072" t="str">
        <f>IF(0 = IFERROR(VLOOKUP(DBL_FullList!I1072, ContactsDbl!B:D, 2, FALSE), ""), "", IFERROR(VLOOKUP(DBL_FullList!I1072, ContactsDbl!B:D, 2, FALSE), ""))</f>
        <v>abbf@biblesociety-bf.org</v>
      </c>
      <c r="K1072" t="str">
        <f>IF(0 = IFERROR(VLOOKUP(DBL_FullList!I1072,ContactsDbl!B:D, 3, FALSE), ""), "", IFERROR(VLOOKUP(DBL_FullList!I1072, ContactsDbl!B:D, 3, FALSE), ""))</f>
        <v>http://alliancebiblique-bf.org/</v>
      </c>
      <c r="L1072">
        <f t="shared" si="33"/>
        <v>2</v>
      </c>
    </row>
    <row r="1073" spans="1:12" x14ac:dyDescent="0.25">
      <c r="A1073" t="s">
        <v>6476</v>
      </c>
      <c r="B1073" t="str">
        <f>IF(ISERROR(VLOOKUP(F1073,STEP!A:A, 1, FALSE)), "N", "Y")</f>
        <v>N</v>
      </c>
      <c r="C1073" t="str">
        <f>IF(ISERROR(VLOOKUP(E1073, BibleInEveryLanguageTexts!A:A, 1, FALSE)), "N", "Y")</f>
        <v>N</v>
      </c>
      <c r="D1073" t="str">
        <f t="shared" si="32"/>
        <v>X</v>
      </c>
      <c r="E1073" t="s">
        <v>219</v>
      </c>
      <c r="F1073" t="s">
        <v>217</v>
      </c>
      <c r="G1073" t="s">
        <v>218</v>
      </c>
      <c r="H1073" t="s">
        <v>6477</v>
      </c>
      <c r="I1073" t="s">
        <v>2241</v>
      </c>
      <c r="J1073" t="str">
        <f>IF(0 = IFERROR(VLOOKUP(DBL_FullList!I1073, ContactsDbl!B:D, 2, FALSE), ""), "", IFERROR(VLOOKUP(DBL_FullList!I1073, ContactsDbl!B:D, 2, FALSE), ""))</f>
        <v>dbl@dbg.de</v>
      </c>
      <c r="K1073" t="str">
        <f>IF(0 = IFERROR(VLOOKUP(DBL_FullList!I1073,ContactsDbl!B:D, 3, FALSE), ""), "", IFERROR(VLOOKUP(DBL_FullList!I1073, ContactsDbl!B:D, 3, FALSE), ""))</f>
        <v>http://www.die-bibel.de</v>
      </c>
      <c r="L1073">
        <f t="shared" si="33"/>
        <v>2</v>
      </c>
    </row>
    <row r="1074" spans="1:12" x14ac:dyDescent="0.25">
      <c r="A1074" t="s">
        <v>6478</v>
      </c>
      <c r="B1074" t="str">
        <f>IF(ISERROR(VLOOKUP(F1074,STEP!A:A, 1, FALSE)), "N", "Y")</f>
        <v>N</v>
      </c>
      <c r="C1074" t="str">
        <f>IF(ISERROR(VLOOKUP(E1074, BibleInEveryLanguageTexts!A:A, 1, FALSE)), "N", "Y")</f>
        <v>N</v>
      </c>
      <c r="D1074" t="str">
        <f t="shared" si="32"/>
        <v>X</v>
      </c>
      <c r="E1074" t="s">
        <v>6479</v>
      </c>
      <c r="F1074" t="s">
        <v>6480</v>
      </c>
      <c r="G1074" t="s">
        <v>4919</v>
      </c>
      <c r="H1074" t="s">
        <v>6481</v>
      </c>
      <c r="I1074" t="s">
        <v>2444</v>
      </c>
      <c r="J1074" t="str">
        <f>IF(0 = IFERROR(VLOOKUP(DBL_FullList!I1074, ContactsDbl!B:D, 2, FALSE), ""), "", IFERROR(VLOOKUP(DBL_FullList!I1074, ContactsDbl!B:D, 2, FALSE), ""))</f>
        <v>sbmoz@tvcabo.co.mz</v>
      </c>
      <c r="K1074" t="str">
        <f>IF(0 = IFERROR(VLOOKUP(DBL_FullList!I1074,ContactsDbl!B:D, 3, FALSE), ""), "", IFERROR(VLOOKUP(DBL_FullList!I1074, ContactsDbl!B:D, 3, FALSE), ""))</f>
        <v>http://www.unitedbiblesocieties.org/society/bible-society-in-mozambique/</v>
      </c>
      <c r="L1074">
        <f t="shared" si="33"/>
        <v>2</v>
      </c>
    </row>
    <row r="1075" spans="1:12" x14ac:dyDescent="0.25">
      <c r="A1075" t="s">
        <v>6482</v>
      </c>
      <c r="B1075" t="str">
        <f>IF(ISERROR(VLOOKUP(F1075,STEP!A:A, 1, FALSE)), "N", "Y")</f>
        <v>N</v>
      </c>
      <c r="C1075" t="str">
        <f>IF(ISERROR(VLOOKUP(E1075, BibleInEveryLanguageTexts!A:A, 1, FALSE)), "N", "Y")</f>
        <v>N</v>
      </c>
      <c r="D1075" t="str">
        <f t="shared" si="32"/>
        <v>X</v>
      </c>
      <c r="E1075" t="s">
        <v>199</v>
      </c>
      <c r="F1075" t="s">
        <v>197</v>
      </c>
      <c r="G1075" t="s">
        <v>2942</v>
      </c>
      <c r="H1075" t="s">
        <v>6483</v>
      </c>
      <c r="I1075" t="s">
        <v>183</v>
      </c>
      <c r="J1075" t="str">
        <f>IF(0 = IFERROR(VLOOKUP(DBL_FullList!I1075, ContactsDbl!B:D, 2, FALSE), ""), "", IFERROR(VLOOKUP(DBL_FullList!I1075, ContactsDbl!B:D, 2, FALSE), ""))</f>
        <v>dbl@biblesocieties.org</v>
      </c>
      <c r="K1075" t="str">
        <f>IF(0 = IFERROR(VLOOKUP(DBL_FullList!I1075,ContactsDbl!B:D, 3, FALSE), ""), "", IFERROR(VLOOKUP(DBL_FullList!I1075, ContactsDbl!B:D, 3, FALSE), ""))</f>
        <v>http://www.unitedbiblesocieties.org/</v>
      </c>
      <c r="L1075">
        <f t="shared" si="33"/>
        <v>2</v>
      </c>
    </row>
    <row r="1076" spans="1:12" x14ac:dyDescent="0.25">
      <c r="A1076" t="s">
        <v>6484</v>
      </c>
      <c r="B1076" t="str">
        <f>IF(ISERROR(VLOOKUP(F1076,STEP!A:A, 1, FALSE)), "N", "Y")</f>
        <v>N</v>
      </c>
      <c r="C1076" t="str">
        <f>IF(ISERROR(VLOOKUP(E1076, BibleInEveryLanguageTexts!A:A, 1, FALSE)), "N", "Y")</f>
        <v>Y</v>
      </c>
      <c r="D1076" t="str">
        <f t="shared" si="32"/>
        <v/>
      </c>
      <c r="E1076" t="s">
        <v>365</v>
      </c>
      <c r="F1076" t="s">
        <v>364</v>
      </c>
      <c r="G1076" t="s">
        <v>20</v>
      </c>
      <c r="H1076" t="s">
        <v>6485</v>
      </c>
      <c r="I1076" t="s">
        <v>1997</v>
      </c>
      <c r="J1076" t="str">
        <f>IF(0 = IFERROR(VLOOKUP(DBL_FullList!I1076, ContactsDbl!B:D, 2, FALSE), ""), "", IFERROR(VLOOKUP(DBL_FullList!I1076, ContactsDbl!B:D, 2, FALSE), ""))</f>
        <v>Lee.Harris@biblica.com</v>
      </c>
      <c r="K1076" t="str">
        <f>IF(0 = IFERROR(VLOOKUP(DBL_FullList!I1076,ContactsDbl!B:D, 3, FALSE), ""), "", IFERROR(VLOOKUP(DBL_FullList!I1076, ContactsDbl!B:D, 3, FALSE), ""))</f>
        <v>http://www.Biblica.com</v>
      </c>
      <c r="L1076">
        <f t="shared" si="33"/>
        <v>2</v>
      </c>
    </row>
    <row r="1077" spans="1:12" x14ac:dyDescent="0.25">
      <c r="A1077" t="s">
        <v>6486</v>
      </c>
      <c r="B1077" t="str">
        <f>IF(ISERROR(VLOOKUP(F1077,STEP!A:A, 1, FALSE)), "N", "Y")</f>
        <v>N</v>
      </c>
      <c r="C1077" t="str">
        <f>IF(ISERROR(VLOOKUP(E1077, BibleInEveryLanguageTexts!A:A, 1, FALSE)), "N", "Y")</f>
        <v>N</v>
      </c>
      <c r="D1077" t="str">
        <f t="shared" si="32"/>
        <v>X</v>
      </c>
      <c r="E1077" t="s">
        <v>3088</v>
      </c>
      <c r="F1077" t="s">
        <v>3089</v>
      </c>
      <c r="G1077" t="s">
        <v>3090</v>
      </c>
      <c r="H1077" t="s">
        <v>6487</v>
      </c>
      <c r="I1077" t="s">
        <v>2222</v>
      </c>
      <c r="J1077" t="str">
        <f>IF(0 = IFERROR(VLOOKUP(DBL_FullList!I1077, ContactsDbl!B:D, 2, FALSE), ""), "", IFERROR(VLOOKUP(DBL_FullList!I1077, ContactsDbl!B:D, 2, FALSE), ""))</f>
        <v>info@piplia.fi</v>
      </c>
      <c r="K1077" t="str">
        <f>IF(0 = IFERROR(VLOOKUP(DBL_FullList!I1077,ContactsDbl!B:D, 3, FALSE), ""), "", IFERROR(VLOOKUP(DBL_FullList!I1077, ContactsDbl!B:D, 3, FALSE), ""))</f>
        <v>http://www.bible.fi/</v>
      </c>
      <c r="L1077">
        <f t="shared" si="33"/>
        <v>2</v>
      </c>
    </row>
    <row r="1078" spans="1:12" x14ac:dyDescent="0.25">
      <c r="A1078" t="s">
        <v>6488</v>
      </c>
      <c r="B1078" t="str">
        <f>IF(ISERROR(VLOOKUP(F1078,STEP!A:A, 1, FALSE)), "N", "Y")</f>
        <v>N</v>
      </c>
      <c r="C1078" t="str">
        <f>IF(ISERROR(VLOOKUP(E1078, BibleInEveryLanguageTexts!A:A, 1, FALSE)), "N", "Y")</f>
        <v>N</v>
      </c>
      <c r="D1078" t="str">
        <f t="shared" si="32"/>
        <v>X</v>
      </c>
      <c r="E1078" t="s">
        <v>6489</v>
      </c>
      <c r="F1078" t="s">
        <v>6490</v>
      </c>
      <c r="G1078" t="s">
        <v>4961</v>
      </c>
      <c r="H1078" t="s">
        <v>6491</v>
      </c>
      <c r="I1078" t="s">
        <v>2597</v>
      </c>
      <c r="J1078" t="str">
        <f>IF(0 = IFERROR(VLOOKUP(DBL_FullList!I1078, ContactsDbl!B:D, 2, FALSE), ""), "", IFERROR(VLOOKUP(DBL_FullList!I1078, ContactsDbl!B:D, 2, FALSE), ""))</f>
        <v/>
      </c>
      <c r="K1078" t="str">
        <f>IF(0 = IFERROR(VLOOKUP(DBL_FullList!I1078,ContactsDbl!B:D, 3, FALSE), ""), "", IFERROR(VLOOKUP(DBL_FullList!I1078, ContactsDbl!B:D, 3, FALSE), ""))</f>
        <v/>
      </c>
      <c r="L1078">
        <f t="shared" si="33"/>
        <v>0</v>
      </c>
    </row>
    <row r="1079" spans="1:12" x14ac:dyDescent="0.25">
      <c r="A1079" t="s">
        <v>6492</v>
      </c>
      <c r="B1079" t="str">
        <f>IF(ISERROR(VLOOKUP(F1079,STEP!A:A, 1, FALSE)), "N", "Y")</f>
        <v>N</v>
      </c>
      <c r="C1079" t="str">
        <f>IF(ISERROR(VLOOKUP(E1079, BibleInEveryLanguageTexts!A:A, 1, FALSE)), "N", "Y")</f>
        <v>N</v>
      </c>
      <c r="D1079" t="str">
        <f t="shared" si="32"/>
        <v>X</v>
      </c>
      <c r="E1079" t="s">
        <v>6493</v>
      </c>
      <c r="F1079" t="s">
        <v>6494</v>
      </c>
      <c r="G1079" t="s">
        <v>4050</v>
      </c>
      <c r="H1079" t="s">
        <v>6495</v>
      </c>
      <c r="I1079" t="s">
        <v>2661</v>
      </c>
      <c r="J1079" t="str">
        <f>IF(0 = IFERROR(VLOOKUP(DBL_FullList!I1079, ContactsDbl!B:D, 2, FALSE), ""), "", IFERROR(VLOOKUP(DBL_FullList!I1079, ContactsDbl!B:D, 2, FALSE), ""))</f>
        <v>dbladmin_intl@sil.org</v>
      </c>
      <c r="K1079" t="str">
        <f>IF(0 = IFERROR(VLOOKUP(DBL_FullList!I1079,ContactsDbl!B:D, 3, FALSE), ""), "", IFERROR(VLOOKUP(DBL_FullList!I1079, ContactsDbl!B:D, 3, FALSE), ""))</f>
        <v>http://www.wycliffe.org</v>
      </c>
      <c r="L1079">
        <f t="shared" si="33"/>
        <v>2</v>
      </c>
    </row>
    <row r="1080" spans="1:12" x14ac:dyDescent="0.25">
      <c r="A1080" t="s">
        <v>6496</v>
      </c>
      <c r="B1080" t="str">
        <f>IF(ISERROR(VLOOKUP(F1080,STEP!A:A, 1, FALSE)), "N", "Y")</f>
        <v>N</v>
      </c>
      <c r="C1080" t="str">
        <f>IF(ISERROR(VLOOKUP(E1080, BibleInEveryLanguageTexts!A:A, 1, FALSE)), "N", "Y")</f>
        <v>N</v>
      </c>
      <c r="D1080" t="str">
        <f t="shared" si="32"/>
        <v>X</v>
      </c>
      <c r="E1080" t="s">
        <v>6493</v>
      </c>
      <c r="F1080" t="s">
        <v>6494</v>
      </c>
      <c r="G1080" t="s">
        <v>4050</v>
      </c>
      <c r="H1080" t="s">
        <v>6497</v>
      </c>
      <c r="I1080" t="s">
        <v>2661</v>
      </c>
      <c r="J1080" t="str">
        <f>IF(0 = IFERROR(VLOOKUP(DBL_FullList!I1080, ContactsDbl!B:D, 2, FALSE), ""), "", IFERROR(VLOOKUP(DBL_FullList!I1080, ContactsDbl!B:D, 2, FALSE), ""))</f>
        <v>dbladmin_intl@sil.org</v>
      </c>
      <c r="K1080" t="str">
        <f>IF(0 = IFERROR(VLOOKUP(DBL_FullList!I1080,ContactsDbl!B:D, 3, FALSE), ""), "", IFERROR(VLOOKUP(DBL_FullList!I1080, ContactsDbl!B:D, 3, FALSE), ""))</f>
        <v>http://www.wycliffe.org</v>
      </c>
      <c r="L1080">
        <f t="shared" si="33"/>
        <v>2</v>
      </c>
    </row>
    <row r="1081" spans="1:12" x14ac:dyDescent="0.25">
      <c r="A1081" t="s">
        <v>6498</v>
      </c>
      <c r="B1081" t="str">
        <f>IF(ISERROR(VLOOKUP(F1081,STEP!A:A, 1, FALSE)), "N", "Y")</f>
        <v>N</v>
      </c>
      <c r="C1081" t="str">
        <f>IF(ISERROR(VLOOKUP(E1081, BibleInEveryLanguageTexts!A:A, 1, FALSE)), "N", "Y")</f>
        <v>N</v>
      </c>
      <c r="D1081" t="str">
        <f t="shared" si="32"/>
        <v>X</v>
      </c>
      <c r="E1081" t="s">
        <v>6499</v>
      </c>
      <c r="F1081" t="s">
        <v>6500</v>
      </c>
      <c r="G1081" t="s">
        <v>4830</v>
      </c>
      <c r="H1081" t="s">
        <v>6501</v>
      </c>
      <c r="I1081" t="s">
        <v>2035</v>
      </c>
      <c r="J1081" t="str">
        <f>IF(0 = IFERROR(VLOOKUP(DBL_FullList!I1081, ContactsDbl!B:D, 2, FALSE), ""), "", IFERROR(VLOOKUP(DBL_FullList!I1081, ContactsDbl!B:D, 2, FALSE), ""))</f>
        <v>sociedadebiblica@netcabo.co.ao</v>
      </c>
      <c r="K1081" t="str">
        <f>IF(0 = IFERROR(VLOOKUP(DBL_FullList!I1081,ContactsDbl!B:D, 3, FALSE), ""), "", IFERROR(VLOOKUP(DBL_FullList!I1081, ContactsDbl!B:D, 3, FALSE), ""))</f>
        <v>www.biblesociety-angola.org</v>
      </c>
      <c r="L1081">
        <f t="shared" si="33"/>
        <v>2</v>
      </c>
    </row>
    <row r="1082" spans="1:12" x14ac:dyDescent="0.25">
      <c r="A1082" t="s">
        <v>6502</v>
      </c>
      <c r="B1082" t="str">
        <f>IF(ISERROR(VLOOKUP(F1082,STEP!A:A, 1, FALSE)), "N", "Y")</f>
        <v>N</v>
      </c>
      <c r="C1082" t="str">
        <f>IF(ISERROR(VLOOKUP(E1082, BibleInEveryLanguageTexts!A:A, 1, FALSE)), "N", "Y")</f>
        <v>N</v>
      </c>
      <c r="D1082" t="str">
        <f t="shared" si="32"/>
        <v>X</v>
      </c>
      <c r="E1082" t="s">
        <v>334</v>
      </c>
      <c r="F1082" t="s">
        <v>332</v>
      </c>
      <c r="G1082" t="s">
        <v>333</v>
      </c>
      <c r="H1082" t="s">
        <v>6503</v>
      </c>
      <c r="I1082" t="s">
        <v>2534</v>
      </c>
      <c r="J1082" t="str">
        <f>IF(0 = IFERROR(VLOOKUP(DBL_FullList!I1082, ContactsDbl!B:D, 2, FALSE), ""), "", IFERROR(VLOOKUP(DBL_FullList!I1082, ContactsDbl!B:D, 2, FALSE), ""))</f>
        <v>elismar@sbb.org.br</v>
      </c>
      <c r="K1082" t="str">
        <f>IF(0 = IFERROR(VLOOKUP(DBL_FullList!I1082,ContactsDbl!B:D, 3, FALSE), ""), "", IFERROR(VLOOKUP(DBL_FullList!I1082, ContactsDbl!B:D, 3, FALSE), ""))</f>
        <v>http://www.sbb.org.br</v>
      </c>
      <c r="L1082">
        <f t="shared" si="33"/>
        <v>2</v>
      </c>
    </row>
    <row r="1083" spans="1:12" x14ac:dyDescent="0.25">
      <c r="A1083" t="s">
        <v>6504</v>
      </c>
      <c r="B1083" t="str">
        <f>IF(ISERROR(VLOOKUP(F1083,STEP!A:A, 1, FALSE)), "N", "Y")</f>
        <v>N</v>
      </c>
      <c r="C1083" t="str">
        <f>IF(ISERROR(VLOOKUP(E1083, BibleInEveryLanguageTexts!A:A, 1, FALSE)), "N", "Y")</f>
        <v>N</v>
      </c>
      <c r="D1083" t="str">
        <f t="shared" si="32"/>
        <v>X</v>
      </c>
      <c r="E1083" t="s">
        <v>6505</v>
      </c>
      <c r="F1083" t="s">
        <v>6506</v>
      </c>
      <c r="G1083" t="s">
        <v>4919</v>
      </c>
      <c r="H1083" t="s">
        <v>6507</v>
      </c>
      <c r="I1083" t="s">
        <v>2661</v>
      </c>
      <c r="J1083" t="str">
        <f>IF(0 = IFERROR(VLOOKUP(DBL_FullList!I1083, ContactsDbl!B:D, 2, FALSE), ""), "", IFERROR(VLOOKUP(DBL_FullList!I1083, ContactsDbl!B:D, 2, FALSE), ""))</f>
        <v>dbladmin_intl@sil.org</v>
      </c>
      <c r="K1083" t="str">
        <f>IF(0 = IFERROR(VLOOKUP(DBL_FullList!I1083,ContactsDbl!B:D, 3, FALSE), ""), "", IFERROR(VLOOKUP(DBL_FullList!I1083, ContactsDbl!B:D, 3, FALSE), ""))</f>
        <v>http://www.wycliffe.org</v>
      </c>
      <c r="L1083">
        <f t="shared" si="33"/>
        <v>2</v>
      </c>
    </row>
    <row r="1084" spans="1:12" x14ac:dyDescent="0.25">
      <c r="A1084" t="s">
        <v>6508</v>
      </c>
      <c r="B1084" t="str">
        <f>IF(ISERROR(VLOOKUP(F1084,STEP!A:A, 1, FALSE)), "N", "Y")</f>
        <v>N</v>
      </c>
      <c r="C1084" t="str">
        <f>IF(ISERROR(VLOOKUP(E1084, BibleInEveryLanguageTexts!A:A, 1, FALSE)), "N", "Y")</f>
        <v>N</v>
      </c>
      <c r="D1084" t="str">
        <f t="shared" si="32"/>
        <v>X</v>
      </c>
      <c r="E1084" t="s">
        <v>6509</v>
      </c>
      <c r="F1084" t="s">
        <v>3371</v>
      </c>
      <c r="G1084" t="s">
        <v>4323</v>
      </c>
      <c r="H1084" t="s">
        <v>6510</v>
      </c>
      <c r="I1084" t="s">
        <v>2013</v>
      </c>
      <c r="J1084" t="str">
        <f>IF(0 = IFERROR(VLOOKUP(DBL_FullList!I1084, ContactsDbl!B:D, 2, FALSE), ""), "", IFERROR(VLOOKUP(DBL_FullList!I1084, ContactsDbl!B:D, 2, FALSE), ""))</f>
        <v>fcossio@biblesocieties.org</v>
      </c>
      <c r="K1084" t="str">
        <f>IF(0 = IFERROR(VLOOKUP(DBL_FullList!I1084,ContactsDbl!B:D, 3, FALSE), ""), "", IFERROR(VLOOKUP(DBL_FullList!I1084, ContactsDbl!B:D, 3, FALSE), ""))</f>
        <v>http://sociedadbiblicaboliviana.org</v>
      </c>
      <c r="L1084">
        <f t="shared" si="33"/>
        <v>2</v>
      </c>
    </row>
    <row r="1085" spans="1:12" x14ac:dyDescent="0.25">
      <c r="A1085" t="s">
        <v>6511</v>
      </c>
      <c r="B1085" t="str">
        <f>IF(ISERROR(VLOOKUP(F1085,STEP!A:A, 1, FALSE)), "N", "Y")</f>
        <v>N</v>
      </c>
      <c r="C1085" t="str">
        <f>IF(ISERROR(VLOOKUP(E1085, BibleInEveryLanguageTexts!A:A, 1, FALSE)), "N", "Y")</f>
        <v>N</v>
      </c>
      <c r="D1085" t="str">
        <f t="shared" si="32"/>
        <v>X</v>
      </c>
      <c r="E1085" t="s">
        <v>6512</v>
      </c>
      <c r="F1085" t="s">
        <v>6513</v>
      </c>
      <c r="G1085" t="s">
        <v>3448</v>
      </c>
      <c r="H1085" t="s">
        <v>6514</v>
      </c>
      <c r="I1085" t="s">
        <v>2099</v>
      </c>
      <c r="J1085" t="str">
        <f>IF(0 = IFERROR(VLOOKUP(DBL_FullList!I1085, ContactsDbl!B:D, 2, FALSE), ""), "", IFERROR(VLOOKUP(DBL_FullList!I1085, ContactsDbl!B:D, 2, FALSE), ""))</f>
        <v>cjones@biblesocieties.org</v>
      </c>
      <c r="K1085" t="str">
        <f>IF(0 = IFERROR(VLOOKUP(DBL_FullList!I1085,ContactsDbl!B:D, 3, FALSE), ""), "", IFERROR(VLOOKUP(DBL_FullList!I1085, ContactsDbl!B:D, 3, FALSE), ""))</f>
        <v/>
      </c>
      <c r="L1085">
        <f t="shared" si="33"/>
        <v>2</v>
      </c>
    </row>
    <row r="1086" spans="1:12" x14ac:dyDescent="0.25">
      <c r="A1086" t="s">
        <v>6515</v>
      </c>
      <c r="B1086" t="str">
        <f>IF(ISERROR(VLOOKUP(F1086,STEP!A:A, 1, FALSE)), "N", "Y")</f>
        <v>N</v>
      </c>
      <c r="C1086" t="str">
        <f>IF(ISERROR(VLOOKUP(E1086, BibleInEveryLanguageTexts!A:A, 1, FALSE)), "N", "Y")</f>
        <v>N</v>
      </c>
      <c r="D1086" t="str">
        <f t="shared" si="32"/>
        <v>X</v>
      </c>
      <c r="E1086" t="s">
        <v>6516</v>
      </c>
      <c r="F1086" t="s">
        <v>6517</v>
      </c>
      <c r="G1086" t="s">
        <v>3448</v>
      </c>
      <c r="H1086" t="s">
        <v>6518</v>
      </c>
      <c r="I1086" t="s">
        <v>2099</v>
      </c>
      <c r="J1086" t="str">
        <f>IF(0 = IFERROR(VLOOKUP(DBL_FullList!I1086, ContactsDbl!B:D, 2, FALSE), ""), "", IFERROR(VLOOKUP(DBL_FullList!I1086, ContactsDbl!B:D, 2, FALSE), ""))</f>
        <v>cjones@biblesocieties.org</v>
      </c>
      <c r="K1086" t="str">
        <f>IF(0 = IFERROR(VLOOKUP(DBL_FullList!I1086,ContactsDbl!B:D, 3, FALSE), ""), "", IFERROR(VLOOKUP(DBL_FullList!I1086, ContactsDbl!B:D, 3, FALSE), ""))</f>
        <v/>
      </c>
      <c r="L1086">
        <f t="shared" si="33"/>
        <v>2</v>
      </c>
    </row>
    <row r="1087" spans="1:12" x14ac:dyDescent="0.25">
      <c r="A1087" t="s">
        <v>6519</v>
      </c>
      <c r="B1087" t="str">
        <f>IF(ISERROR(VLOOKUP(F1087,STEP!A:A, 1, FALSE)), "N", "Y")</f>
        <v>N</v>
      </c>
      <c r="C1087" t="str">
        <f>IF(ISERROR(VLOOKUP(E1087, BibleInEveryLanguageTexts!A:A, 1, FALSE)), "N", "Y")</f>
        <v>N</v>
      </c>
      <c r="D1087" t="str">
        <f t="shared" si="32"/>
        <v>X</v>
      </c>
      <c r="E1087" t="s">
        <v>6520</v>
      </c>
      <c r="F1087" t="s">
        <v>6521</v>
      </c>
      <c r="G1087" t="s">
        <v>3448</v>
      </c>
      <c r="H1087" t="s">
        <v>6522</v>
      </c>
      <c r="I1087" t="s">
        <v>2099</v>
      </c>
      <c r="J1087" t="str">
        <f>IF(0 = IFERROR(VLOOKUP(DBL_FullList!I1087, ContactsDbl!B:D, 2, FALSE), ""), "", IFERROR(VLOOKUP(DBL_FullList!I1087, ContactsDbl!B:D, 2, FALSE), ""))</f>
        <v>cjones@biblesocieties.org</v>
      </c>
      <c r="K1087" t="str">
        <f>IF(0 = IFERROR(VLOOKUP(DBL_FullList!I1087,ContactsDbl!B:D, 3, FALSE), ""), "", IFERROR(VLOOKUP(DBL_FullList!I1087, ContactsDbl!B:D, 3, FALSE), ""))</f>
        <v/>
      </c>
      <c r="L1087">
        <f t="shared" si="33"/>
        <v>2</v>
      </c>
    </row>
    <row r="1088" spans="1:12" x14ac:dyDescent="0.25">
      <c r="A1088" t="s">
        <v>6523</v>
      </c>
      <c r="B1088" t="str">
        <f>IF(ISERROR(VLOOKUP(F1088,STEP!A:A, 1, FALSE)), "N", "Y")</f>
        <v>N</v>
      </c>
      <c r="C1088" t="str">
        <f>IF(ISERROR(VLOOKUP(E1088, BibleInEveryLanguageTexts!A:A, 1, FALSE)), "N", "Y")</f>
        <v>N</v>
      </c>
      <c r="D1088" t="str">
        <f t="shared" si="32"/>
        <v>X</v>
      </c>
      <c r="E1088" t="s">
        <v>6524</v>
      </c>
      <c r="F1088" t="s">
        <v>6525</v>
      </c>
      <c r="G1088" t="s">
        <v>3448</v>
      </c>
      <c r="H1088" t="s">
        <v>6526</v>
      </c>
      <c r="I1088" t="s">
        <v>2099</v>
      </c>
      <c r="J1088" t="str">
        <f>IF(0 = IFERROR(VLOOKUP(DBL_FullList!I1088, ContactsDbl!B:D, 2, FALSE), ""), "", IFERROR(VLOOKUP(DBL_FullList!I1088, ContactsDbl!B:D, 2, FALSE), ""))</f>
        <v>cjones@biblesocieties.org</v>
      </c>
      <c r="K1088" t="str">
        <f>IF(0 = IFERROR(VLOOKUP(DBL_FullList!I1088,ContactsDbl!B:D, 3, FALSE), ""), "", IFERROR(VLOOKUP(DBL_FullList!I1088, ContactsDbl!B:D, 3, FALSE), ""))</f>
        <v/>
      </c>
      <c r="L1088">
        <f t="shared" si="33"/>
        <v>2</v>
      </c>
    </row>
    <row r="1089" spans="1:12" x14ac:dyDescent="0.25">
      <c r="A1089" t="s">
        <v>6527</v>
      </c>
      <c r="B1089" t="str">
        <f>IF(ISERROR(VLOOKUP(F1089,STEP!A:A, 1, FALSE)), "N", "Y")</f>
        <v>Y</v>
      </c>
      <c r="C1089" t="str">
        <f>IF(ISERROR(VLOOKUP(E1089, BibleInEveryLanguageTexts!A:A, 1, FALSE)), "N", "Y")</f>
        <v>N</v>
      </c>
      <c r="D1089" t="str">
        <f t="shared" si="32"/>
        <v/>
      </c>
      <c r="E1089" t="s">
        <v>6528</v>
      </c>
      <c r="F1089" t="s">
        <v>6529</v>
      </c>
      <c r="G1089" t="s">
        <v>48</v>
      </c>
      <c r="H1089" t="s">
        <v>6530</v>
      </c>
      <c r="I1089" t="s">
        <v>2512</v>
      </c>
      <c r="J1089" t="str">
        <f>IF(0 = IFERROR(VLOOKUP(DBL_FullList!I1089, ContactsDbl!B:D, 2, FALSE), ""), "", IFERROR(VLOOKUP(DBL_FullList!I1089, ContactsDbl!B:D, 2, FALSE), ""))</f>
        <v/>
      </c>
      <c r="K1089" t="str">
        <f>IF(0 = IFERROR(VLOOKUP(DBL_FullList!I1089,ContactsDbl!B:D, 3, FALSE), ""), "", IFERROR(VLOOKUP(DBL_FullList!I1089, ContactsDbl!B:D, 3, FALSE), ""))</f>
        <v/>
      </c>
      <c r="L1089">
        <f t="shared" si="33"/>
        <v>0</v>
      </c>
    </row>
    <row r="1090" spans="1:12" x14ac:dyDescent="0.25">
      <c r="A1090" t="s">
        <v>6531</v>
      </c>
      <c r="B1090" t="str">
        <f>IF(ISERROR(VLOOKUP(F1090,STEP!A:A, 1, FALSE)), "N", "Y")</f>
        <v>N</v>
      </c>
      <c r="C1090" t="str">
        <f>IF(ISERROR(VLOOKUP(E1090, BibleInEveryLanguageTexts!A:A, 1, FALSE)), "N", "Y")</f>
        <v>Y</v>
      </c>
      <c r="D1090" t="str">
        <f t="shared" si="32"/>
        <v/>
      </c>
      <c r="E1090" t="s">
        <v>12</v>
      </c>
      <c r="F1090" t="s">
        <v>10</v>
      </c>
      <c r="G1090" t="s">
        <v>11</v>
      </c>
      <c r="H1090" t="s">
        <v>6532</v>
      </c>
      <c r="I1090" t="s">
        <v>2469</v>
      </c>
      <c r="J1090" t="str">
        <f>IF(0 = IFERROR(VLOOKUP(DBL_FullList!I1090, ContactsDbl!B:D, 2, FALSE), ""), "", IFERROR(VLOOKUP(DBL_FullList!I1090, ContactsDbl!B:D, 2, FALSE), ""))</f>
        <v>nrsvcopyright@mosaicrights.com</v>
      </c>
      <c r="K1090" t="str">
        <f>IF(0 = IFERROR(VLOOKUP(DBL_FullList!I1090,ContactsDbl!B:D, 3, FALSE), ""), "", IFERROR(VLOOKUP(DBL_FullList!I1090, ContactsDbl!B:D, 3, FALSE), ""))</f>
        <v>http://www.nrsvbibles.org/</v>
      </c>
      <c r="L1090">
        <f t="shared" si="33"/>
        <v>2</v>
      </c>
    </row>
    <row r="1091" spans="1:12" x14ac:dyDescent="0.25">
      <c r="A1091" t="s">
        <v>6533</v>
      </c>
      <c r="B1091" t="str">
        <f>IF(ISERROR(VLOOKUP(F1091,STEP!A:A, 1, FALSE)), "N", "Y")</f>
        <v>N</v>
      </c>
      <c r="C1091" t="str">
        <f>IF(ISERROR(VLOOKUP(E1091, BibleInEveryLanguageTexts!A:A, 1, FALSE)), "N", "Y")</f>
        <v>N</v>
      </c>
      <c r="D1091" t="str">
        <f t="shared" ref="D1091:D1154" si="34">IF(AND("N" = B1091, "N" = C1091), "X", "")</f>
        <v>X</v>
      </c>
      <c r="E1091" t="s">
        <v>709</v>
      </c>
      <c r="F1091" t="s">
        <v>4163</v>
      </c>
      <c r="G1091" t="s">
        <v>6534</v>
      </c>
      <c r="H1091" t="s">
        <v>6535</v>
      </c>
      <c r="I1091" t="s">
        <v>2661</v>
      </c>
      <c r="J1091" t="str">
        <f>IF(0 = IFERROR(VLOOKUP(DBL_FullList!I1091, ContactsDbl!B:D, 2, FALSE), ""), "", IFERROR(VLOOKUP(DBL_FullList!I1091, ContactsDbl!B:D, 2, FALSE), ""))</f>
        <v>dbladmin_intl@sil.org</v>
      </c>
      <c r="K1091" t="str">
        <f>IF(0 = IFERROR(VLOOKUP(DBL_FullList!I1091,ContactsDbl!B:D, 3, FALSE), ""), "", IFERROR(VLOOKUP(DBL_FullList!I1091, ContactsDbl!B:D, 3, FALSE), ""))</f>
        <v>http://www.wycliffe.org</v>
      </c>
      <c r="L1091">
        <f t="shared" ref="L1091:L1154" si="35">IF("" &lt;&gt; J1091, 2, IF("" &lt;&gt; K1091, 1, 0))</f>
        <v>2</v>
      </c>
    </row>
    <row r="1092" spans="1:12" x14ac:dyDescent="0.25">
      <c r="A1092" t="s">
        <v>6536</v>
      </c>
      <c r="B1092" t="str">
        <f>IF(ISERROR(VLOOKUP(F1092,STEP!A:A, 1, FALSE)), "N", "Y")</f>
        <v>N</v>
      </c>
      <c r="C1092" t="str">
        <f>IF(ISERROR(VLOOKUP(E1092, BibleInEveryLanguageTexts!A:A, 1, FALSE)), "N", "Y")</f>
        <v>N</v>
      </c>
      <c r="D1092" t="str">
        <f t="shared" si="34"/>
        <v>X</v>
      </c>
      <c r="E1092" t="s">
        <v>709</v>
      </c>
      <c r="F1092" t="s">
        <v>6537</v>
      </c>
      <c r="G1092" t="s">
        <v>6534</v>
      </c>
      <c r="H1092" t="s">
        <v>6538</v>
      </c>
      <c r="I1092" t="s">
        <v>2661</v>
      </c>
      <c r="J1092" t="str">
        <f>IF(0 = IFERROR(VLOOKUP(DBL_FullList!I1092, ContactsDbl!B:D, 2, FALSE), ""), "", IFERROR(VLOOKUP(DBL_FullList!I1092, ContactsDbl!B:D, 2, FALSE), ""))</f>
        <v>dbladmin_intl@sil.org</v>
      </c>
      <c r="K1092" t="str">
        <f>IF(0 = IFERROR(VLOOKUP(DBL_FullList!I1092,ContactsDbl!B:D, 3, FALSE), ""), "", IFERROR(VLOOKUP(DBL_FullList!I1092, ContactsDbl!B:D, 3, FALSE), ""))</f>
        <v>http://www.wycliffe.org</v>
      </c>
      <c r="L1092">
        <f t="shared" si="35"/>
        <v>2</v>
      </c>
    </row>
    <row r="1093" spans="1:12" x14ac:dyDescent="0.25">
      <c r="A1093" t="s">
        <v>6539</v>
      </c>
      <c r="B1093" t="str">
        <f>IF(ISERROR(VLOOKUP(F1093,STEP!A:A, 1, FALSE)), "N", "Y")</f>
        <v>N</v>
      </c>
      <c r="C1093" t="str">
        <f>IF(ISERROR(VLOOKUP(E1093, BibleInEveryLanguageTexts!A:A, 1, FALSE)), "N", "Y")</f>
        <v>Y</v>
      </c>
      <c r="D1093" t="str">
        <f t="shared" si="34"/>
        <v/>
      </c>
      <c r="E1093" t="s">
        <v>12</v>
      </c>
      <c r="F1093" t="s">
        <v>10</v>
      </c>
      <c r="G1093" t="s">
        <v>27</v>
      </c>
      <c r="H1093" t="s">
        <v>6540</v>
      </c>
      <c r="I1093" t="s">
        <v>2436</v>
      </c>
      <c r="J1093" t="str">
        <f>IF(0 = IFERROR(VLOOKUP(DBL_FullList!I1093, ContactsDbl!B:D, 2, FALSE), ""), "", IFERROR(VLOOKUP(DBL_FullList!I1093, ContactsDbl!B:D, 2, FALSE), ""))</f>
        <v>DBLAdmin@missionassist.org.uk</v>
      </c>
      <c r="K1093" t="str">
        <f>IF(0 = IFERROR(VLOOKUP(DBL_FullList!I1093,ContactsDbl!B:D, 3, FALSE), ""), "", IFERROR(VLOOKUP(DBL_FullList!I1093, ContactsDbl!B:D, 3, FALSE), ""))</f>
        <v>https://home.missionassist.org.uk/</v>
      </c>
      <c r="L1093">
        <f t="shared" si="35"/>
        <v>2</v>
      </c>
    </row>
    <row r="1094" spans="1:12" x14ac:dyDescent="0.25">
      <c r="A1094" t="s">
        <v>6541</v>
      </c>
      <c r="B1094" t="str">
        <f>IF(ISERROR(VLOOKUP(F1094,STEP!A:A, 1, FALSE)), "N", "Y")</f>
        <v>N</v>
      </c>
      <c r="C1094" t="str">
        <f>IF(ISERROR(VLOOKUP(E1094, BibleInEveryLanguageTexts!A:A, 1, FALSE)), "N", "Y")</f>
        <v>N</v>
      </c>
      <c r="D1094" t="str">
        <f t="shared" si="34"/>
        <v>X</v>
      </c>
      <c r="E1094" t="s">
        <v>1923</v>
      </c>
      <c r="F1094" t="s">
        <v>3918</v>
      </c>
      <c r="G1094" t="s">
        <v>2997</v>
      </c>
      <c r="H1094" t="s">
        <v>6542</v>
      </c>
      <c r="I1094" t="s">
        <v>1997</v>
      </c>
      <c r="J1094" t="str">
        <f>IF(0 = IFERROR(VLOOKUP(DBL_FullList!I1094, ContactsDbl!B:D, 2, FALSE), ""), "", IFERROR(VLOOKUP(DBL_FullList!I1094, ContactsDbl!B:D, 2, FALSE), ""))</f>
        <v>Lee.Harris@biblica.com</v>
      </c>
      <c r="K1094" t="str">
        <f>IF(0 = IFERROR(VLOOKUP(DBL_FullList!I1094,ContactsDbl!B:D, 3, FALSE), ""), "", IFERROR(VLOOKUP(DBL_FullList!I1094, ContactsDbl!B:D, 3, FALSE), ""))</f>
        <v>http://www.Biblica.com</v>
      </c>
      <c r="L1094">
        <f t="shared" si="35"/>
        <v>2</v>
      </c>
    </row>
    <row r="1095" spans="1:12" x14ac:dyDescent="0.25">
      <c r="A1095" t="s">
        <v>6543</v>
      </c>
      <c r="B1095" t="str">
        <f>IF(ISERROR(VLOOKUP(F1095,STEP!A:A, 1, FALSE)), "N", "Y")</f>
        <v>N</v>
      </c>
      <c r="C1095" t="str">
        <f>IF(ISERROR(VLOOKUP(E1095, BibleInEveryLanguageTexts!A:A, 1, FALSE)), "N", "Y")</f>
        <v>Y</v>
      </c>
      <c r="D1095" t="str">
        <f t="shared" si="34"/>
        <v/>
      </c>
      <c r="E1095" t="s">
        <v>12</v>
      </c>
      <c r="F1095" t="s">
        <v>10</v>
      </c>
      <c r="G1095" t="s">
        <v>27</v>
      </c>
      <c r="H1095" t="s">
        <v>6544</v>
      </c>
      <c r="I1095" t="s">
        <v>3104</v>
      </c>
      <c r="J1095" t="str">
        <f>IF(0 = IFERROR(VLOOKUP(DBL_FullList!I1095, ContactsDbl!B:D, 2, FALSE), ""), "", IFERROR(VLOOKUP(DBL_FullList!I1095, ContactsDbl!B:D, 2, FALSE), ""))</f>
        <v/>
      </c>
      <c r="K1095" t="str">
        <f>IF(0 = IFERROR(VLOOKUP(DBL_FullList!I1095,ContactsDbl!B:D, 3, FALSE), ""), "", IFERROR(VLOOKUP(DBL_FullList!I1095, ContactsDbl!B:D, 3, FALSE), ""))</f>
        <v/>
      </c>
      <c r="L1095">
        <f t="shared" si="35"/>
        <v>0</v>
      </c>
    </row>
    <row r="1096" spans="1:12" x14ac:dyDescent="0.25">
      <c r="A1096" t="s">
        <v>6545</v>
      </c>
      <c r="B1096" t="str">
        <f>IF(ISERROR(VLOOKUP(F1096,STEP!A:A, 1, FALSE)), "N", "Y")</f>
        <v>N</v>
      </c>
      <c r="C1096" t="str">
        <f>IF(ISERROR(VLOOKUP(E1096, BibleInEveryLanguageTexts!A:A, 1, FALSE)), "N", "Y")</f>
        <v>Y</v>
      </c>
      <c r="D1096" t="str">
        <f t="shared" si="34"/>
        <v/>
      </c>
      <c r="E1096" t="s">
        <v>12</v>
      </c>
      <c r="F1096" t="s">
        <v>10</v>
      </c>
      <c r="G1096" t="s">
        <v>27</v>
      </c>
      <c r="H1096" t="s">
        <v>6546</v>
      </c>
      <c r="I1096" t="s">
        <v>3104</v>
      </c>
      <c r="J1096" t="str">
        <f>IF(0 = IFERROR(VLOOKUP(DBL_FullList!I1096, ContactsDbl!B:D, 2, FALSE), ""), "", IFERROR(VLOOKUP(DBL_FullList!I1096, ContactsDbl!B:D, 2, FALSE), ""))</f>
        <v/>
      </c>
      <c r="K1096" t="str">
        <f>IF(0 = IFERROR(VLOOKUP(DBL_FullList!I1096,ContactsDbl!B:D, 3, FALSE), ""), "", IFERROR(VLOOKUP(DBL_FullList!I1096, ContactsDbl!B:D, 3, FALSE), ""))</f>
        <v/>
      </c>
      <c r="L1096">
        <f t="shared" si="35"/>
        <v>0</v>
      </c>
    </row>
    <row r="1097" spans="1:12" x14ac:dyDescent="0.25">
      <c r="A1097" t="s">
        <v>6547</v>
      </c>
      <c r="B1097" t="str">
        <f>IF(ISERROR(VLOOKUP(F1097,STEP!A:A, 1, FALSE)), "N", "Y")</f>
        <v>N</v>
      </c>
      <c r="C1097" t="str">
        <f>IF(ISERROR(VLOOKUP(E1097, BibleInEveryLanguageTexts!A:A, 1, FALSE)), "N", "Y")</f>
        <v>N</v>
      </c>
      <c r="D1097" t="str">
        <f t="shared" si="34"/>
        <v>X</v>
      </c>
      <c r="E1097" t="s">
        <v>6548</v>
      </c>
      <c r="F1097" t="s">
        <v>6549</v>
      </c>
      <c r="G1097" t="s">
        <v>306</v>
      </c>
      <c r="H1097" t="s">
        <v>6550</v>
      </c>
      <c r="I1097" t="s">
        <v>2106</v>
      </c>
      <c r="J1097" t="str">
        <f>IF(0 = IFERROR(VLOOKUP(DBL_FullList!I1097, ContactsDbl!B:D, 2, FALSE), ""), "", IFERROR(VLOOKUP(DBL_FullList!I1097, ContactsDbl!B:D, 2, FALSE), ""))</f>
        <v>info@biblesociety-tanzania.org</v>
      </c>
      <c r="K1097" t="str">
        <f>IF(0 = IFERROR(VLOOKUP(DBL_FullList!I1097,ContactsDbl!B:D, 3, FALSE), ""), "", IFERROR(VLOOKUP(DBL_FullList!I1097, ContactsDbl!B:D, 3, FALSE), ""))</f>
        <v>http://biblesociety-tanzania.org/</v>
      </c>
      <c r="L1097">
        <f t="shared" si="35"/>
        <v>2</v>
      </c>
    </row>
    <row r="1098" spans="1:12" x14ac:dyDescent="0.25">
      <c r="A1098" t="s">
        <v>6551</v>
      </c>
      <c r="B1098" t="str">
        <f>IF(ISERROR(VLOOKUP(F1098,STEP!A:A, 1, FALSE)), "N", "Y")</f>
        <v>N</v>
      </c>
      <c r="C1098" t="str">
        <f>IF(ISERROR(VLOOKUP(E1098, BibleInEveryLanguageTexts!A:A, 1, FALSE)), "N", "Y")</f>
        <v>N</v>
      </c>
      <c r="D1098" t="str">
        <f t="shared" si="34"/>
        <v>X</v>
      </c>
      <c r="E1098" t="s">
        <v>6479</v>
      </c>
      <c r="F1098" t="s">
        <v>6480</v>
      </c>
      <c r="G1098" t="s">
        <v>4919</v>
      </c>
      <c r="H1098" t="s">
        <v>6552</v>
      </c>
      <c r="I1098" t="s">
        <v>2444</v>
      </c>
      <c r="J1098" t="str">
        <f>IF(0 = IFERROR(VLOOKUP(DBL_FullList!I1098, ContactsDbl!B:D, 2, FALSE), ""), "", IFERROR(VLOOKUP(DBL_FullList!I1098, ContactsDbl!B:D, 2, FALSE), ""))</f>
        <v>sbmoz@tvcabo.co.mz</v>
      </c>
      <c r="K1098" t="str">
        <f>IF(0 = IFERROR(VLOOKUP(DBL_FullList!I1098,ContactsDbl!B:D, 3, FALSE), ""), "", IFERROR(VLOOKUP(DBL_FullList!I1098, ContactsDbl!B:D, 3, FALSE), ""))</f>
        <v>http://www.unitedbiblesocieties.org/society/bible-society-in-mozambique/</v>
      </c>
      <c r="L1098">
        <f t="shared" si="35"/>
        <v>2</v>
      </c>
    </row>
    <row r="1099" spans="1:12" x14ac:dyDescent="0.25">
      <c r="A1099" t="s">
        <v>6553</v>
      </c>
      <c r="B1099" t="str">
        <f>IF(ISERROR(VLOOKUP(F1099,STEP!A:A, 1, FALSE)), "N", "Y")</f>
        <v>Y</v>
      </c>
      <c r="C1099" t="str">
        <f>IF(ISERROR(VLOOKUP(E1099, BibleInEveryLanguageTexts!A:A, 1, FALSE)), "N", "Y")</f>
        <v>N</v>
      </c>
      <c r="D1099" t="str">
        <f t="shared" si="34"/>
        <v/>
      </c>
      <c r="E1099" t="s">
        <v>4258</v>
      </c>
      <c r="F1099" t="s">
        <v>4259</v>
      </c>
      <c r="G1099" t="s">
        <v>27</v>
      </c>
      <c r="H1099" t="s">
        <v>6554</v>
      </c>
      <c r="I1099" t="s">
        <v>3104</v>
      </c>
      <c r="J1099" t="str">
        <f>IF(0 = IFERROR(VLOOKUP(DBL_FullList!I1099, ContactsDbl!B:D, 2, FALSE), ""), "", IFERROR(VLOOKUP(DBL_FullList!I1099, ContactsDbl!B:D, 2, FALSE), ""))</f>
        <v/>
      </c>
      <c r="K1099" t="str">
        <f>IF(0 = IFERROR(VLOOKUP(DBL_FullList!I1099,ContactsDbl!B:D, 3, FALSE), ""), "", IFERROR(VLOOKUP(DBL_FullList!I1099, ContactsDbl!B:D, 3, FALSE), ""))</f>
        <v/>
      </c>
      <c r="L1099">
        <f t="shared" si="35"/>
        <v>0</v>
      </c>
    </row>
    <row r="1100" spans="1:12" x14ac:dyDescent="0.25">
      <c r="A1100" t="s">
        <v>6555</v>
      </c>
      <c r="B1100" t="str">
        <f>IF(ISERROR(VLOOKUP(F1100,STEP!A:A, 1, FALSE)), "N", "Y")</f>
        <v>N</v>
      </c>
      <c r="C1100" t="str">
        <f>IF(ISERROR(VLOOKUP(E1100, BibleInEveryLanguageTexts!A:A, 1, FALSE)), "N", "Y")</f>
        <v>Y</v>
      </c>
      <c r="D1100" t="str">
        <f t="shared" si="34"/>
        <v/>
      </c>
      <c r="E1100" t="s">
        <v>12</v>
      </c>
      <c r="F1100" t="s">
        <v>10</v>
      </c>
      <c r="G1100" t="s">
        <v>11</v>
      </c>
      <c r="H1100" t="s">
        <v>6556</v>
      </c>
      <c r="I1100" t="s">
        <v>2401</v>
      </c>
      <c r="J1100" t="str">
        <f>IF(0 = IFERROR(VLOOKUP(DBL_FullList!I1100, ContactsDbl!B:D, 2, FALSE), ""), "", IFERROR(VLOOKUP(DBL_FullList!I1100, ContactsDbl!B:D, 2, FALSE), ""))</f>
        <v>digitalbiblelibrary@lockman.org</v>
      </c>
      <c r="K1100" t="str">
        <f>IF(0 = IFERROR(VLOOKUP(DBL_FullList!I1100,ContactsDbl!B:D, 3, FALSE), ""), "", IFERROR(VLOOKUP(DBL_FullList!I1100, ContactsDbl!B:D, 3, FALSE), ""))</f>
        <v>http://www.lockman.org/</v>
      </c>
      <c r="L1100">
        <f t="shared" si="35"/>
        <v>2</v>
      </c>
    </row>
    <row r="1101" spans="1:12" x14ac:dyDescent="0.25">
      <c r="A1101" t="s">
        <v>6557</v>
      </c>
      <c r="B1101" t="str">
        <f>IF(ISERROR(VLOOKUP(F1101,STEP!A:A, 1, FALSE)), "N", "Y")</f>
        <v>N</v>
      </c>
      <c r="C1101" t="str">
        <f>IF(ISERROR(VLOOKUP(E1101, BibleInEveryLanguageTexts!A:A, 1, FALSE)), "N", "Y")</f>
        <v>N</v>
      </c>
      <c r="D1101" t="str">
        <f t="shared" si="34"/>
        <v>X</v>
      </c>
      <c r="E1101" t="s">
        <v>6558</v>
      </c>
      <c r="F1101" t="s">
        <v>6559</v>
      </c>
      <c r="G1101" t="s">
        <v>115</v>
      </c>
      <c r="H1101" t="s">
        <v>6560</v>
      </c>
      <c r="I1101" t="s">
        <v>2661</v>
      </c>
      <c r="J1101" t="str">
        <f>IF(0 = IFERROR(VLOOKUP(DBL_FullList!I1101, ContactsDbl!B:D, 2, FALSE), ""), "", IFERROR(VLOOKUP(DBL_FullList!I1101, ContactsDbl!B:D, 2, FALSE), ""))</f>
        <v>dbladmin_intl@sil.org</v>
      </c>
      <c r="K1101" t="str">
        <f>IF(0 = IFERROR(VLOOKUP(DBL_FullList!I1101,ContactsDbl!B:D, 3, FALSE), ""), "", IFERROR(VLOOKUP(DBL_FullList!I1101, ContactsDbl!B:D, 3, FALSE), ""))</f>
        <v>http://www.wycliffe.org</v>
      </c>
      <c r="L1101">
        <f t="shared" si="35"/>
        <v>2</v>
      </c>
    </row>
    <row r="1102" spans="1:12" x14ac:dyDescent="0.25">
      <c r="A1102" t="s">
        <v>6561</v>
      </c>
      <c r="B1102" t="str">
        <f>IF(ISERROR(VLOOKUP(F1102,STEP!A:A, 1, FALSE)), "N", "Y")</f>
        <v>N</v>
      </c>
      <c r="C1102" t="str">
        <f>IF(ISERROR(VLOOKUP(E1102, BibleInEveryLanguageTexts!A:A, 1, FALSE)), "N", "Y")</f>
        <v>N</v>
      </c>
      <c r="D1102" t="str">
        <f t="shared" si="34"/>
        <v>X</v>
      </c>
      <c r="E1102" t="s">
        <v>6562</v>
      </c>
      <c r="F1102" t="s">
        <v>6563</v>
      </c>
      <c r="G1102" t="s">
        <v>3194</v>
      </c>
      <c r="H1102" t="s">
        <v>6564</v>
      </c>
      <c r="I1102" t="s">
        <v>2080</v>
      </c>
      <c r="J1102" t="str">
        <f>IF(0 = IFERROR(VLOOKUP(DBL_FullList!I1102, ContactsDbl!B:D, 2, FALSE), ""), "", IFERROR(VLOOKUP(DBL_FullList!I1102, ContactsDbl!B:D, 2, FALSE), ""))</f>
        <v>dbl@biblesocieties.org</v>
      </c>
      <c r="K1102" t="str">
        <f>IF(0 = IFERROR(VLOOKUP(DBL_FullList!I1102,ContactsDbl!B:D, 3, FALSE), ""), "", IFERROR(VLOOKUP(DBL_FullList!I1102, ContactsDbl!B:D, 3, FALSE), ""))</f>
        <v>http://www.biblia.ru/</v>
      </c>
      <c r="L1102">
        <f t="shared" si="35"/>
        <v>2</v>
      </c>
    </row>
    <row r="1103" spans="1:12" x14ac:dyDescent="0.25">
      <c r="A1103" t="s">
        <v>6565</v>
      </c>
      <c r="B1103" t="str">
        <f>IF(ISERROR(VLOOKUP(F1103,STEP!A:A, 1, FALSE)), "N", "Y")</f>
        <v>N</v>
      </c>
      <c r="C1103" t="str">
        <f>IF(ISERROR(VLOOKUP(E1103, BibleInEveryLanguageTexts!A:A, 1, FALSE)), "N", "Y")</f>
        <v>N</v>
      </c>
      <c r="D1103" t="str">
        <f t="shared" si="34"/>
        <v>X</v>
      </c>
      <c r="E1103" t="s">
        <v>6566</v>
      </c>
      <c r="F1103" t="s">
        <v>6567</v>
      </c>
      <c r="G1103" t="s">
        <v>3194</v>
      </c>
      <c r="H1103" t="s">
        <v>6568</v>
      </c>
      <c r="I1103" t="s">
        <v>2080</v>
      </c>
      <c r="J1103" t="str">
        <f>IF(0 = IFERROR(VLOOKUP(DBL_FullList!I1103, ContactsDbl!B:D, 2, FALSE), ""), "", IFERROR(VLOOKUP(DBL_FullList!I1103, ContactsDbl!B:D, 2, FALSE), ""))</f>
        <v>dbl@biblesocieties.org</v>
      </c>
      <c r="K1103" t="str">
        <f>IF(0 = IFERROR(VLOOKUP(DBL_FullList!I1103,ContactsDbl!B:D, 3, FALSE), ""), "", IFERROR(VLOOKUP(DBL_FullList!I1103, ContactsDbl!B:D, 3, FALSE), ""))</f>
        <v>http://www.biblia.ru/</v>
      </c>
      <c r="L1103">
        <f t="shared" si="35"/>
        <v>2</v>
      </c>
    </row>
    <row r="1104" spans="1:12" x14ac:dyDescent="0.25">
      <c r="A1104" t="s">
        <v>6569</v>
      </c>
      <c r="B1104" t="str">
        <f>IF(ISERROR(VLOOKUP(F1104,STEP!A:A, 1, FALSE)), "N", "Y")</f>
        <v>N</v>
      </c>
      <c r="C1104" t="str">
        <f>IF(ISERROR(VLOOKUP(E1104, BibleInEveryLanguageTexts!A:A, 1, FALSE)), "N", "Y")</f>
        <v>N</v>
      </c>
      <c r="D1104" t="str">
        <f t="shared" si="34"/>
        <v>X</v>
      </c>
      <c r="E1104" t="s">
        <v>6570</v>
      </c>
      <c r="F1104" t="s">
        <v>6571</v>
      </c>
      <c r="G1104" t="s">
        <v>3194</v>
      </c>
      <c r="H1104" t="s">
        <v>6572</v>
      </c>
      <c r="I1104" t="s">
        <v>2080</v>
      </c>
      <c r="J1104" t="str">
        <f>IF(0 = IFERROR(VLOOKUP(DBL_FullList!I1104, ContactsDbl!B:D, 2, FALSE), ""), "", IFERROR(VLOOKUP(DBL_FullList!I1104, ContactsDbl!B:D, 2, FALSE), ""))</f>
        <v>dbl@biblesocieties.org</v>
      </c>
      <c r="K1104" t="str">
        <f>IF(0 = IFERROR(VLOOKUP(DBL_FullList!I1104,ContactsDbl!B:D, 3, FALSE), ""), "", IFERROR(VLOOKUP(DBL_FullList!I1104, ContactsDbl!B:D, 3, FALSE), ""))</f>
        <v>http://www.biblia.ru/</v>
      </c>
      <c r="L1104">
        <f t="shared" si="35"/>
        <v>2</v>
      </c>
    </row>
    <row r="1105" spans="1:12" x14ac:dyDescent="0.25">
      <c r="A1105" t="s">
        <v>6573</v>
      </c>
      <c r="B1105" t="str">
        <f>IF(ISERROR(VLOOKUP(F1105,STEP!A:A, 1, FALSE)), "N", "Y")</f>
        <v>N</v>
      </c>
      <c r="C1105" t="str">
        <f>IF(ISERROR(VLOOKUP(E1105, BibleInEveryLanguageTexts!A:A, 1, FALSE)), "N", "Y")</f>
        <v>N</v>
      </c>
      <c r="D1105" t="str">
        <f t="shared" si="34"/>
        <v>X</v>
      </c>
      <c r="E1105" t="s">
        <v>6574</v>
      </c>
      <c r="F1105" t="s">
        <v>6575</v>
      </c>
      <c r="G1105" t="s">
        <v>3448</v>
      </c>
      <c r="H1105" t="s">
        <v>6576</v>
      </c>
      <c r="I1105" t="s">
        <v>2099</v>
      </c>
      <c r="J1105" t="str">
        <f>IF(0 = IFERROR(VLOOKUP(DBL_FullList!I1105, ContactsDbl!B:D, 2, FALSE), ""), "", IFERROR(VLOOKUP(DBL_FullList!I1105, ContactsDbl!B:D, 2, FALSE), ""))</f>
        <v>cjones@biblesocieties.org</v>
      </c>
      <c r="K1105" t="str">
        <f>IF(0 = IFERROR(VLOOKUP(DBL_FullList!I1105,ContactsDbl!B:D, 3, FALSE), ""), "", IFERROR(VLOOKUP(DBL_FullList!I1105, ContactsDbl!B:D, 3, FALSE), ""))</f>
        <v/>
      </c>
      <c r="L1105">
        <f t="shared" si="35"/>
        <v>2</v>
      </c>
    </row>
    <row r="1106" spans="1:12" x14ac:dyDescent="0.25">
      <c r="A1106" t="s">
        <v>6577</v>
      </c>
      <c r="B1106" t="str">
        <f>IF(ISERROR(VLOOKUP(F1106,STEP!A:A, 1, FALSE)), "N", "Y")</f>
        <v>N</v>
      </c>
      <c r="C1106" t="str">
        <f>IF(ISERROR(VLOOKUP(E1106, BibleInEveryLanguageTexts!A:A, 1, FALSE)), "N", "Y")</f>
        <v>N</v>
      </c>
      <c r="D1106" t="str">
        <f t="shared" si="34"/>
        <v>X</v>
      </c>
      <c r="E1106" t="s">
        <v>304</v>
      </c>
      <c r="F1106" t="s">
        <v>303</v>
      </c>
      <c r="G1106" t="s">
        <v>306</v>
      </c>
      <c r="H1106" t="s">
        <v>6578</v>
      </c>
      <c r="I1106" t="s">
        <v>183</v>
      </c>
      <c r="J1106" t="str">
        <f>IF(0 = IFERROR(VLOOKUP(DBL_FullList!I1106, ContactsDbl!B:D, 2, FALSE), ""), "", IFERROR(VLOOKUP(DBL_FullList!I1106, ContactsDbl!B:D, 2, FALSE), ""))</f>
        <v>dbl@biblesocieties.org</v>
      </c>
      <c r="K1106" t="str">
        <f>IF(0 = IFERROR(VLOOKUP(DBL_FullList!I1106,ContactsDbl!B:D, 3, FALSE), ""), "", IFERROR(VLOOKUP(DBL_FullList!I1106, ContactsDbl!B:D, 3, FALSE), ""))</f>
        <v>http://www.unitedbiblesocieties.org/</v>
      </c>
      <c r="L1106">
        <f t="shared" si="35"/>
        <v>2</v>
      </c>
    </row>
    <row r="1107" spans="1:12" x14ac:dyDescent="0.25">
      <c r="A1107" t="s">
        <v>6579</v>
      </c>
      <c r="B1107" t="str">
        <f>IF(ISERROR(VLOOKUP(F1107,STEP!A:A, 1, FALSE)), "N", "Y")</f>
        <v>Y</v>
      </c>
      <c r="C1107" t="str">
        <f>IF(ISERROR(VLOOKUP(E1107, BibleInEveryLanguageTexts!A:A, 1, FALSE)), "N", "Y")</f>
        <v>N</v>
      </c>
      <c r="D1107" t="str">
        <f t="shared" si="34"/>
        <v/>
      </c>
      <c r="E1107" t="s">
        <v>6580</v>
      </c>
      <c r="F1107" t="s">
        <v>6581</v>
      </c>
      <c r="G1107" t="s">
        <v>48</v>
      </c>
      <c r="H1107" t="s">
        <v>6582</v>
      </c>
      <c r="I1107" t="s">
        <v>2512</v>
      </c>
      <c r="J1107" t="str">
        <f>IF(0 = IFERROR(VLOOKUP(DBL_FullList!I1107, ContactsDbl!B:D, 2, FALSE), ""), "", IFERROR(VLOOKUP(DBL_FullList!I1107, ContactsDbl!B:D, 2, FALSE), ""))</f>
        <v/>
      </c>
      <c r="K1107" t="str">
        <f>IF(0 = IFERROR(VLOOKUP(DBL_FullList!I1107,ContactsDbl!B:D, 3, FALSE), ""), "", IFERROR(VLOOKUP(DBL_FullList!I1107, ContactsDbl!B:D, 3, FALSE), ""))</f>
        <v/>
      </c>
      <c r="L1107">
        <f t="shared" si="35"/>
        <v>0</v>
      </c>
    </row>
    <row r="1108" spans="1:12" x14ac:dyDescent="0.25">
      <c r="A1108" t="s">
        <v>6583</v>
      </c>
      <c r="B1108" t="str">
        <f>IF(ISERROR(VLOOKUP(F1108,STEP!A:A, 1, FALSE)), "N", "Y")</f>
        <v>N</v>
      </c>
      <c r="C1108" t="str">
        <f>IF(ISERROR(VLOOKUP(E1108, BibleInEveryLanguageTexts!A:A, 1, FALSE)), "N", "Y")</f>
        <v>N</v>
      </c>
      <c r="D1108" t="str">
        <f t="shared" si="34"/>
        <v>X</v>
      </c>
      <c r="E1108" t="s">
        <v>6584</v>
      </c>
      <c r="F1108" t="s">
        <v>6585</v>
      </c>
      <c r="G1108" t="s">
        <v>306</v>
      </c>
      <c r="H1108" t="s">
        <v>6586</v>
      </c>
      <c r="I1108" t="s">
        <v>2106</v>
      </c>
      <c r="J1108" t="str">
        <f>IF(0 = IFERROR(VLOOKUP(DBL_FullList!I1108, ContactsDbl!B:D, 2, FALSE), ""), "", IFERROR(VLOOKUP(DBL_FullList!I1108, ContactsDbl!B:D, 2, FALSE), ""))</f>
        <v>info@biblesociety-tanzania.org</v>
      </c>
      <c r="K1108" t="str">
        <f>IF(0 = IFERROR(VLOOKUP(DBL_FullList!I1108,ContactsDbl!B:D, 3, FALSE), ""), "", IFERROR(VLOOKUP(DBL_FullList!I1108, ContactsDbl!B:D, 3, FALSE), ""))</f>
        <v>http://biblesociety-tanzania.org/</v>
      </c>
      <c r="L1108">
        <f t="shared" si="35"/>
        <v>2</v>
      </c>
    </row>
    <row r="1109" spans="1:12" x14ac:dyDescent="0.25">
      <c r="A1109" t="s">
        <v>6587</v>
      </c>
      <c r="B1109" t="str">
        <f>IF(ISERROR(VLOOKUP(F1109,STEP!A:A, 1, FALSE)), "N", "Y")</f>
        <v>N</v>
      </c>
      <c r="C1109" t="str">
        <f>IF(ISERROR(VLOOKUP(E1109, BibleInEveryLanguageTexts!A:A, 1, FALSE)), "N", "Y")</f>
        <v>N</v>
      </c>
      <c r="D1109" t="str">
        <f t="shared" si="34"/>
        <v>X</v>
      </c>
      <c r="E1109" t="s">
        <v>6588</v>
      </c>
      <c r="F1109" t="s">
        <v>6589</v>
      </c>
      <c r="G1109" t="s">
        <v>4120</v>
      </c>
      <c r="H1109" t="s">
        <v>6590</v>
      </c>
      <c r="I1109" t="s">
        <v>2182</v>
      </c>
      <c r="J1109" t="str">
        <f>IF(0 = IFERROR(VLOOKUP(DBL_FullList!I1109, ContactsDbl!B:D, 2, FALSE), ""), "", IFERROR(VLOOKUP(DBL_FullList!I1109, ContactsDbl!B:D, 2, FALSE), ""))</f>
        <v/>
      </c>
      <c r="K1109" t="str">
        <f>IF(0 = IFERROR(VLOOKUP(DBL_FullList!I1109,ContactsDbl!B:D, 3, FALSE), ""), "", IFERROR(VLOOKUP(DBL_FullList!I1109, ContactsDbl!B:D, 3, FALSE), ""))</f>
        <v>http://www.biblesociety-cd.org/</v>
      </c>
      <c r="L1109">
        <f t="shared" si="35"/>
        <v>1</v>
      </c>
    </row>
    <row r="1110" spans="1:12" x14ac:dyDescent="0.25">
      <c r="A1110" t="s">
        <v>6591</v>
      </c>
      <c r="B1110" t="str">
        <f>IF(ISERROR(VLOOKUP(F1110,STEP!A:A, 1, FALSE)), "N", "Y")</f>
        <v>N</v>
      </c>
      <c r="C1110" t="str">
        <f>IF(ISERROR(VLOOKUP(E1110, BibleInEveryLanguageTexts!A:A, 1, FALSE)), "N", "Y")</f>
        <v>N</v>
      </c>
      <c r="D1110" t="str">
        <f t="shared" si="34"/>
        <v>X</v>
      </c>
      <c r="E1110" t="s">
        <v>5100</v>
      </c>
      <c r="F1110" t="s">
        <v>5101</v>
      </c>
      <c r="G1110" t="s">
        <v>4200</v>
      </c>
      <c r="H1110" t="s">
        <v>6592</v>
      </c>
      <c r="I1110" t="s">
        <v>2452</v>
      </c>
      <c r="J1110" t="str">
        <f>IF(0 = IFERROR(VLOOKUP(DBL_FullList!I1110, ContactsDbl!B:D, 2, FALSE), ""), "", IFERROR(VLOOKUP(DBL_FullList!I1110, ContactsDbl!B:D, 2, FALSE), ""))</f>
        <v>bsmalawi-dbl@biblesocieties.org</v>
      </c>
      <c r="K1110" t="str">
        <f>IF(0 = IFERROR(VLOOKUP(DBL_FullList!I1110,ContactsDbl!B:D, 3, FALSE), ""), "", IFERROR(VLOOKUP(DBL_FullList!I1110, ContactsDbl!B:D, 3, FALSE), ""))</f>
        <v>http://www.biblesociety-malawi.org/</v>
      </c>
      <c r="L1110">
        <f t="shared" si="35"/>
        <v>2</v>
      </c>
    </row>
    <row r="1111" spans="1:12" x14ac:dyDescent="0.25">
      <c r="A1111" t="s">
        <v>6593</v>
      </c>
      <c r="B1111" t="str">
        <f>IF(ISERROR(VLOOKUP(F1111,STEP!A:A, 1, FALSE)), "N", "Y")</f>
        <v>N</v>
      </c>
      <c r="C1111" t="str">
        <f>IF(ISERROR(VLOOKUP(E1111, BibleInEveryLanguageTexts!A:A, 1, FALSE)), "N", "Y")</f>
        <v>N</v>
      </c>
      <c r="D1111" t="str">
        <f t="shared" si="34"/>
        <v>X</v>
      </c>
      <c r="E1111" t="s">
        <v>6594</v>
      </c>
      <c r="F1111" t="s">
        <v>6595</v>
      </c>
      <c r="G1111" t="s">
        <v>2838</v>
      </c>
      <c r="H1111" t="s">
        <v>6596</v>
      </c>
      <c r="I1111" t="s">
        <v>2025</v>
      </c>
      <c r="J1111" t="str">
        <f>IF(0 = IFERROR(VLOOKUP(DBL_FullList!I1111, ContactsDbl!B:D, 2, FALSE), ""), "", IFERROR(VLOOKUP(DBL_FullList!I1111, ContactsDbl!B:D, 2, FALSE), ""))</f>
        <v>abbf@biblesociety-bf.org</v>
      </c>
      <c r="K1111" t="str">
        <f>IF(0 = IFERROR(VLOOKUP(DBL_FullList!I1111,ContactsDbl!B:D, 3, FALSE), ""), "", IFERROR(VLOOKUP(DBL_FullList!I1111, ContactsDbl!B:D, 3, FALSE), ""))</f>
        <v>http://alliancebiblique-bf.org/</v>
      </c>
      <c r="L1111">
        <f t="shared" si="35"/>
        <v>2</v>
      </c>
    </row>
    <row r="1112" spans="1:12" x14ac:dyDescent="0.25">
      <c r="A1112" t="s">
        <v>6597</v>
      </c>
      <c r="B1112" t="str">
        <f>IF(ISERROR(VLOOKUP(F1112,STEP!A:A, 1, FALSE)), "N", "Y")</f>
        <v>N</v>
      </c>
      <c r="C1112" t="str">
        <f>IF(ISERROR(VLOOKUP(E1112, BibleInEveryLanguageTexts!A:A, 1, FALSE)), "N", "Y")</f>
        <v>N</v>
      </c>
      <c r="D1112" t="str">
        <f t="shared" si="34"/>
        <v>X</v>
      </c>
      <c r="E1112" t="s">
        <v>5731</v>
      </c>
      <c r="F1112" t="s">
        <v>5732</v>
      </c>
      <c r="G1112" t="s">
        <v>306</v>
      </c>
      <c r="H1112" t="s">
        <v>6598</v>
      </c>
      <c r="I1112" t="s">
        <v>2106</v>
      </c>
      <c r="J1112" t="str">
        <f>IF(0 = IFERROR(VLOOKUP(DBL_FullList!I1112, ContactsDbl!B:D, 2, FALSE), ""), "", IFERROR(VLOOKUP(DBL_FullList!I1112, ContactsDbl!B:D, 2, FALSE), ""))</f>
        <v>info@biblesociety-tanzania.org</v>
      </c>
      <c r="K1112" t="str">
        <f>IF(0 = IFERROR(VLOOKUP(DBL_FullList!I1112,ContactsDbl!B:D, 3, FALSE), ""), "", IFERROR(VLOOKUP(DBL_FullList!I1112, ContactsDbl!B:D, 3, FALSE), ""))</f>
        <v>http://biblesociety-tanzania.org/</v>
      </c>
      <c r="L1112">
        <f t="shared" si="35"/>
        <v>2</v>
      </c>
    </row>
    <row r="1113" spans="1:12" x14ac:dyDescent="0.25">
      <c r="A1113" t="s">
        <v>6599</v>
      </c>
      <c r="B1113" t="str">
        <f>IF(ISERROR(VLOOKUP(F1113,STEP!A:A, 1, FALSE)), "N", "Y")</f>
        <v>N</v>
      </c>
      <c r="C1113" t="str">
        <f>IF(ISERROR(VLOOKUP(E1113, BibleInEveryLanguageTexts!A:A, 1, FALSE)), "N", "Y")</f>
        <v>N</v>
      </c>
      <c r="D1113" t="str">
        <f t="shared" si="34"/>
        <v>X</v>
      </c>
      <c r="E1113" t="s">
        <v>5100</v>
      </c>
      <c r="F1113" t="s">
        <v>5101</v>
      </c>
      <c r="G1113" t="s">
        <v>4200</v>
      </c>
      <c r="H1113" t="s">
        <v>6600</v>
      </c>
      <c r="I1113" t="s">
        <v>2452</v>
      </c>
      <c r="J1113" t="str">
        <f>IF(0 = IFERROR(VLOOKUP(DBL_FullList!I1113, ContactsDbl!B:D, 2, FALSE), ""), "", IFERROR(VLOOKUP(DBL_FullList!I1113, ContactsDbl!B:D, 2, FALSE), ""))</f>
        <v>bsmalawi-dbl@biblesocieties.org</v>
      </c>
      <c r="K1113" t="str">
        <f>IF(0 = IFERROR(VLOOKUP(DBL_FullList!I1113,ContactsDbl!B:D, 3, FALSE), ""), "", IFERROR(VLOOKUP(DBL_FullList!I1113, ContactsDbl!B:D, 3, FALSE), ""))</f>
        <v>http://www.biblesociety-malawi.org/</v>
      </c>
      <c r="L1113">
        <f t="shared" si="35"/>
        <v>2</v>
      </c>
    </row>
    <row r="1114" spans="1:12" x14ac:dyDescent="0.25">
      <c r="A1114" t="s">
        <v>6601</v>
      </c>
      <c r="B1114" t="str">
        <f>IF(ISERROR(VLOOKUP(F1114,STEP!A:A, 1, FALSE)), "N", "Y")</f>
        <v>N</v>
      </c>
      <c r="C1114" t="str">
        <f>IF(ISERROR(VLOOKUP(E1114, BibleInEveryLanguageTexts!A:A, 1, FALSE)), "N", "Y")</f>
        <v>N</v>
      </c>
      <c r="D1114" t="str">
        <f t="shared" si="34"/>
        <v>X</v>
      </c>
      <c r="E1114" t="s">
        <v>6602</v>
      </c>
      <c r="F1114" t="s">
        <v>6603</v>
      </c>
      <c r="G1114" t="s">
        <v>4120</v>
      </c>
      <c r="H1114" t="s">
        <v>6604</v>
      </c>
      <c r="I1114" t="s">
        <v>2182</v>
      </c>
      <c r="J1114" t="str">
        <f>IF(0 = IFERROR(VLOOKUP(DBL_FullList!I1114, ContactsDbl!B:D, 2, FALSE), ""), "", IFERROR(VLOOKUP(DBL_FullList!I1114, ContactsDbl!B:D, 2, FALSE), ""))</f>
        <v/>
      </c>
      <c r="K1114" t="str">
        <f>IF(0 = IFERROR(VLOOKUP(DBL_FullList!I1114,ContactsDbl!B:D, 3, FALSE), ""), "", IFERROR(VLOOKUP(DBL_FullList!I1114, ContactsDbl!B:D, 3, FALSE), ""))</f>
        <v>http://www.biblesociety-cd.org/</v>
      </c>
      <c r="L1114">
        <f t="shared" si="35"/>
        <v>1</v>
      </c>
    </row>
    <row r="1115" spans="1:12" x14ac:dyDescent="0.25">
      <c r="A1115" t="s">
        <v>6605</v>
      </c>
      <c r="B1115" t="str">
        <f>IF(ISERROR(VLOOKUP(F1115,STEP!A:A, 1, FALSE)), "N", "Y")</f>
        <v>N</v>
      </c>
      <c r="C1115" t="str">
        <f>IF(ISERROR(VLOOKUP(E1115, BibleInEveryLanguageTexts!A:A, 1, FALSE)), "N", "Y")</f>
        <v>N</v>
      </c>
      <c r="D1115" t="str">
        <f t="shared" si="34"/>
        <v>X</v>
      </c>
      <c r="E1115" t="s">
        <v>6594</v>
      </c>
      <c r="F1115" t="s">
        <v>6595</v>
      </c>
      <c r="G1115" t="s">
        <v>2838</v>
      </c>
      <c r="H1115" t="s">
        <v>6606</v>
      </c>
      <c r="I1115" t="s">
        <v>2025</v>
      </c>
      <c r="J1115" t="str">
        <f>IF(0 = IFERROR(VLOOKUP(DBL_FullList!I1115, ContactsDbl!B:D, 2, FALSE), ""), "", IFERROR(VLOOKUP(DBL_FullList!I1115, ContactsDbl!B:D, 2, FALSE), ""))</f>
        <v>abbf@biblesociety-bf.org</v>
      </c>
      <c r="K1115" t="str">
        <f>IF(0 = IFERROR(VLOOKUP(DBL_FullList!I1115,ContactsDbl!B:D, 3, FALSE), ""), "", IFERROR(VLOOKUP(DBL_FullList!I1115, ContactsDbl!B:D, 3, FALSE), ""))</f>
        <v>http://alliancebiblique-bf.org/</v>
      </c>
      <c r="L1115">
        <f t="shared" si="35"/>
        <v>2</v>
      </c>
    </row>
    <row r="1116" spans="1:12" x14ac:dyDescent="0.25">
      <c r="A1116" t="s">
        <v>6607</v>
      </c>
      <c r="B1116" t="str">
        <f>IF(ISERROR(VLOOKUP(F1116,STEP!A:A, 1, FALSE)), "N", "Y")</f>
        <v>N</v>
      </c>
      <c r="C1116" t="str">
        <f>IF(ISERROR(VLOOKUP(E1116, BibleInEveryLanguageTexts!A:A, 1, FALSE)), "N", "Y")</f>
        <v>Y</v>
      </c>
      <c r="D1116" t="str">
        <f t="shared" si="34"/>
        <v/>
      </c>
      <c r="E1116" t="s">
        <v>12</v>
      </c>
      <c r="F1116" t="s">
        <v>10</v>
      </c>
      <c r="G1116" t="s">
        <v>27</v>
      </c>
      <c r="H1116" t="s">
        <v>6608</v>
      </c>
      <c r="I1116" t="s">
        <v>1997</v>
      </c>
      <c r="J1116" t="str">
        <f>IF(0 = IFERROR(VLOOKUP(DBL_FullList!I1116, ContactsDbl!B:D, 2, FALSE), ""), "", IFERROR(VLOOKUP(DBL_FullList!I1116, ContactsDbl!B:D, 2, FALSE), ""))</f>
        <v>Lee.Harris@biblica.com</v>
      </c>
      <c r="K1116" t="str">
        <f>IF(0 = IFERROR(VLOOKUP(DBL_FullList!I1116,ContactsDbl!B:D, 3, FALSE), ""), "", IFERROR(VLOOKUP(DBL_FullList!I1116, ContactsDbl!B:D, 3, FALSE), ""))</f>
        <v>http://www.Biblica.com</v>
      </c>
      <c r="L1116">
        <f t="shared" si="35"/>
        <v>2</v>
      </c>
    </row>
    <row r="1117" spans="1:12" x14ac:dyDescent="0.25">
      <c r="A1117" t="s">
        <v>6609</v>
      </c>
      <c r="B1117" t="str">
        <f>IF(ISERROR(VLOOKUP(F1117,STEP!A:A, 1, FALSE)), "N", "Y")</f>
        <v>N</v>
      </c>
      <c r="C1117" t="str">
        <f>IF(ISERROR(VLOOKUP(E1117, BibleInEveryLanguageTexts!A:A, 1, FALSE)), "N", "Y")</f>
        <v>N</v>
      </c>
      <c r="D1117" t="str">
        <f t="shared" si="34"/>
        <v>X</v>
      </c>
      <c r="E1117" t="s">
        <v>6610</v>
      </c>
      <c r="F1117" t="s">
        <v>6611</v>
      </c>
      <c r="G1117" t="s">
        <v>4</v>
      </c>
      <c r="H1117" t="s">
        <v>6612</v>
      </c>
      <c r="I1117" t="s">
        <v>3104</v>
      </c>
      <c r="J1117" t="str">
        <f>IF(0 = IFERROR(VLOOKUP(DBL_FullList!I1117, ContactsDbl!B:D, 2, FALSE), ""), "", IFERROR(VLOOKUP(DBL_FullList!I1117, ContactsDbl!B:D, 2, FALSE), ""))</f>
        <v/>
      </c>
      <c r="K1117" t="str">
        <f>IF(0 = IFERROR(VLOOKUP(DBL_FullList!I1117,ContactsDbl!B:D, 3, FALSE), ""), "", IFERROR(VLOOKUP(DBL_FullList!I1117, ContactsDbl!B:D, 3, FALSE), ""))</f>
        <v/>
      </c>
      <c r="L1117">
        <f t="shared" si="35"/>
        <v>0</v>
      </c>
    </row>
    <row r="1118" spans="1:12" x14ac:dyDescent="0.25">
      <c r="A1118" t="s">
        <v>6613</v>
      </c>
      <c r="B1118" t="str">
        <f>IF(ISERROR(VLOOKUP(F1118,STEP!A:A, 1, FALSE)), "N", "Y")</f>
        <v>Y</v>
      </c>
      <c r="C1118" t="str">
        <f>IF(ISERROR(VLOOKUP(E1118, BibleInEveryLanguageTexts!A:A, 1, FALSE)), "N", "Y")</f>
        <v>N</v>
      </c>
      <c r="D1118" t="str">
        <f t="shared" si="34"/>
        <v/>
      </c>
      <c r="E1118" t="s">
        <v>4258</v>
      </c>
      <c r="F1118" t="s">
        <v>4259</v>
      </c>
      <c r="G1118" t="s">
        <v>27</v>
      </c>
      <c r="H1118" t="s">
        <v>6614</v>
      </c>
      <c r="I1118" t="s">
        <v>3104</v>
      </c>
      <c r="J1118" t="str">
        <f>IF(0 = IFERROR(VLOOKUP(DBL_FullList!I1118, ContactsDbl!B:D, 2, FALSE), ""), "", IFERROR(VLOOKUP(DBL_FullList!I1118, ContactsDbl!B:D, 2, FALSE), ""))</f>
        <v/>
      </c>
      <c r="K1118" t="str">
        <f>IF(0 = IFERROR(VLOOKUP(DBL_FullList!I1118,ContactsDbl!B:D, 3, FALSE), ""), "", IFERROR(VLOOKUP(DBL_FullList!I1118, ContactsDbl!B:D, 3, FALSE), ""))</f>
        <v/>
      </c>
      <c r="L1118">
        <f t="shared" si="35"/>
        <v>0</v>
      </c>
    </row>
    <row r="1119" spans="1:12" x14ac:dyDescent="0.25">
      <c r="A1119" t="s">
        <v>6615</v>
      </c>
      <c r="B1119" t="str">
        <f>IF(ISERROR(VLOOKUP(F1119,STEP!A:A, 1, FALSE)), "N", "Y")</f>
        <v>N</v>
      </c>
      <c r="C1119" t="str">
        <f>IF(ISERROR(VLOOKUP(E1119, BibleInEveryLanguageTexts!A:A, 1, FALSE)), "N", "Y")</f>
        <v>N</v>
      </c>
      <c r="D1119" t="str">
        <f t="shared" si="34"/>
        <v>X</v>
      </c>
      <c r="E1119" t="s">
        <v>6616</v>
      </c>
      <c r="F1119" t="s">
        <v>6617</v>
      </c>
      <c r="G1119" t="s">
        <v>2997</v>
      </c>
      <c r="H1119" t="s">
        <v>6618</v>
      </c>
      <c r="I1119" t="s">
        <v>2248</v>
      </c>
      <c r="J1119" t="str">
        <f>IF(0 = IFERROR(VLOOKUP(DBL_FullList!I1119, ContactsDbl!B:D, 2, FALSE), ""), "", IFERROR(VLOOKUP(DBL_FullList!I1119, ContactsDbl!B:D, 2, FALSE), ""))</f>
        <v>dokurugu@biblesociety-ghana.org</v>
      </c>
      <c r="K1119" t="str">
        <f>IF(0 = IFERROR(VLOOKUP(DBL_FullList!I1119,ContactsDbl!B:D, 3, FALSE), ""), "", IFERROR(VLOOKUP(DBL_FullList!I1119, ContactsDbl!B:D, 3, FALSE), ""))</f>
        <v>http://www.biblesociety-ghana.org/</v>
      </c>
      <c r="L1119">
        <f t="shared" si="35"/>
        <v>2</v>
      </c>
    </row>
    <row r="1120" spans="1:12" x14ac:dyDescent="0.25">
      <c r="A1120" t="s">
        <v>6619</v>
      </c>
      <c r="B1120" t="str">
        <f>IF(ISERROR(VLOOKUP(F1120,STEP!A:A, 1, FALSE)), "N", "Y")</f>
        <v>N</v>
      </c>
      <c r="C1120" t="str">
        <f>IF(ISERROR(VLOOKUP(E1120, BibleInEveryLanguageTexts!A:A, 1, FALSE)), "N", "Y")</f>
        <v>N</v>
      </c>
      <c r="D1120" t="str">
        <f t="shared" si="34"/>
        <v>X</v>
      </c>
      <c r="E1120" t="s">
        <v>6620</v>
      </c>
      <c r="F1120" t="s">
        <v>6621</v>
      </c>
      <c r="G1120" t="s">
        <v>6534</v>
      </c>
      <c r="H1120" t="s">
        <v>6622</v>
      </c>
      <c r="I1120" t="s">
        <v>2661</v>
      </c>
      <c r="J1120" t="str">
        <f>IF(0 = IFERROR(VLOOKUP(DBL_FullList!I1120, ContactsDbl!B:D, 2, FALSE), ""), "", IFERROR(VLOOKUP(DBL_FullList!I1120, ContactsDbl!B:D, 2, FALSE), ""))</f>
        <v>dbladmin_intl@sil.org</v>
      </c>
      <c r="K1120" t="str">
        <f>IF(0 = IFERROR(VLOOKUP(DBL_FullList!I1120,ContactsDbl!B:D, 3, FALSE), ""), "", IFERROR(VLOOKUP(DBL_FullList!I1120, ContactsDbl!B:D, 3, FALSE), ""))</f>
        <v>http://www.wycliffe.org</v>
      </c>
      <c r="L1120">
        <f t="shared" si="35"/>
        <v>2</v>
      </c>
    </row>
    <row r="1121" spans="1:12" x14ac:dyDescent="0.25">
      <c r="A1121" t="s">
        <v>6623</v>
      </c>
      <c r="B1121" t="str">
        <f>IF(ISERROR(VLOOKUP(F1121,STEP!A:A, 1, FALSE)), "N", "Y")</f>
        <v>N</v>
      </c>
      <c r="C1121" t="str">
        <f>IF(ISERROR(VLOOKUP(E1121, BibleInEveryLanguageTexts!A:A, 1, FALSE)), "N", "Y")</f>
        <v>N</v>
      </c>
      <c r="D1121" t="str">
        <f t="shared" si="34"/>
        <v>X</v>
      </c>
      <c r="E1121" t="s">
        <v>6624</v>
      </c>
      <c r="F1121" t="s">
        <v>6625</v>
      </c>
      <c r="G1121" t="s">
        <v>6534</v>
      </c>
      <c r="H1121" t="s">
        <v>6626</v>
      </c>
      <c r="I1121" t="s">
        <v>2661</v>
      </c>
      <c r="J1121" t="str">
        <f>IF(0 = IFERROR(VLOOKUP(DBL_FullList!I1121, ContactsDbl!B:D, 2, FALSE), ""), "", IFERROR(VLOOKUP(DBL_FullList!I1121, ContactsDbl!B:D, 2, FALSE), ""))</f>
        <v>dbladmin_intl@sil.org</v>
      </c>
      <c r="K1121" t="str">
        <f>IF(0 = IFERROR(VLOOKUP(DBL_FullList!I1121,ContactsDbl!B:D, 3, FALSE), ""), "", IFERROR(VLOOKUP(DBL_FullList!I1121, ContactsDbl!B:D, 3, FALSE), ""))</f>
        <v>http://www.wycliffe.org</v>
      </c>
      <c r="L1121">
        <f t="shared" si="35"/>
        <v>2</v>
      </c>
    </row>
    <row r="1122" spans="1:12" x14ac:dyDescent="0.25">
      <c r="A1122" t="s">
        <v>6627</v>
      </c>
      <c r="B1122" t="str">
        <f>IF(ISERROR(VLOOKUP(F1122,STEP!A:A, 1, FALSE)), "N", "Y")</f>
        <v>N</v>
      </c>
      <c r="C1122" t="str">
        <f>IF(ISERROR(VLOOKUP(E1122, BibleInEveryLanguageTexts!A:A, 1, FALSE)), "N", "Y")</f>
        <v>N</v>
      </c>
      <c r="D1122" t="str">
        <f t="shared" si="34"/>
        <v>X</v>
      </c>
      <c r="E1122" t="s">
        <v>6628</v>
      </c>
      <c r="F1122" t="s">
        <v>6629</v>
      </c>
      <c r="G1122" t="s">
        <v>6534</v>
      </c>
      <c r="H1122" t="s">
        <v>6630</v>
      </c>
      <c r="I1122" t="s">
        <v>2661</v>
      </c>
      <c r="J1122" t="str">
        <f>IF(0 = IFERROR(VLOOKUP(DBL_FullList!I1122, ContactsDbl!B:D, 2, FALSE), ""), "", IFERROR(VLOOKUP(DBL_FullList!I1122, ContactsDbl!B:D, 2, FALSE), ""))</f>
        <v>dbladmin_intl@sil.org</v>
      </c>
      <c r="K1122" t="str">
        <f>IF(0 = IFERROR(VLOOKUP(DBL_FullList!I1122,ContactsDbl!B:D, 3, FALSE), ""), "", IFERROR(VLOOKUP(DBL_FullList!I1122, ContactsDbl!B:D, 3, FALSE), ""))</f>
        <v>http://www.wycliffe.org</v>
      </c>
      <c r="L1122">
        <f t="shared" si="35"/>
        <v>2</v>
      </c>
    </row>
    <row r="1123" spans="1:12" x14ac:dyDescent="0.25">
      <c r="A1123" t="s">
        <v>6631</v>
      </c>
      <c r="B1123" t="str">
        <f>IF(ISERROR(VLOOKUP(F1123,STEP!A:A, 1, FALSE)), "N", "Y")</f>
        <v>N</v>
      </c>
      <c r="C1123" t="str">
        <f>IF(ISERROR(VLOOKUP(E1123, BibleInEveryLanguageTexts!A:A, 1, FALSE)), "N", "Y")</f>
        <v>N</v>
      </c>
      <c r="D1123" t="str">
        <f t="shared" si="34"/>
        <v>X</v>
      </c>
      <c r="E1123" t="s">
        <v>6632</v>
      </c>
      <c r="F1123" t="s">
        <v>6633</v>
      </c>
      <c r="G1123" t="s">
        <v>5055</v>
      </c>
      <c r="H1123" t="s">
        <v>6634</v>
      </c>
      <c r="I1123" t="s">
        <v>2661</v>
      </c>
      <c r="J1123" t="str">
        <f>IF(0 = IFERROR(VLOOKUP(DBL_FullList!I1123, ContactsDbl!B:D, 2, FALSE), ""), "", IFERROR(VLOOKUP(DBL_FullList!I1123, ContactsDbl!B:D, 2, FALSE), ""))</f>
        <v>dbladmin_intl@sil.org</v>
      </c>
      <c r="K1123" t="str">
        <f>IF(0 = IFERROR(VLOOKUP(DBL_FullList!I1123,ContactsDbl!B:D, 3, FALSE), ""), "", IFERROR(VLOOKUP(DBL_FullList!I1123, ContactsDbl!B:D, 3, FALSE), ""))</f>
        <v>http://www.wycliffe.org</v>
      </c>
      <c r="L1123">
        <f t="shared" si="35"/>
        <v>2</v>
      </c>
    </row>
    <row r="1124" spans="1:12" x14ac:dyDescent="0.25">
      <c r="A1124" t="s">
        <v>6635</v>
      </c>
      <c r="B1124" t="str">
        <f>IF(ISERROR(VLOOKUP(F1124,STEP!A:A, 1, FALSE)), "N", "Y")</f>
        <v>N</v>
      </c>
      <c r="C1124" t="str">
        <f>IF(ISERROR(VLOOKUP(E1124, BibleInEveryLanguageTexts!A:A, 1, FALSE)), "N", "Y")</f>
        <v>N</v>
      </c>
      <c r="D1124" t="str">
        <f t="shared" si="34"/>
        <v>X</v>
      </c>
      <c r="E1124" t="s">
        <v>6636</v>
      </c>
      <c r="F1124" t="s">
        <v>6637</v>
      </c>
      <c r="G1124" t="s">
        <v>5055</v>
      </c>
      <c r="H1124" t="s">
        <v>6638</v>
      </c>
      <c r="I1124" t="s">
        <v>2661</v>
      </c>
      <c r="J1124" t="str">
        <f>IF(0 = IFERROR(VLOOKUP(DBL_FullList!I1124, ContactsDbl!B:D, 2, FALSE), ""), "", IFERROR(VLOOKUP(DBL_FullList!I1124, ContactsDbl!B:D, 2, FALSE), ""))</f>
        <v>dbladmin_intl@sil.org</v>
      </c>
      <c r="K1124" t="str">
        <f>IF(0 = IFERROR(VLOOKUP(DBL_FullList!I1124,ContactsDbl!B:D, 3, FALSE), ""), "", IFERROR(VLOOKUP(DBL_FullList!I1124, ContactsDbl!B:D, 3, FALSE), ""))</f>
        <v>http://www.wycliffe.org</v>
      </c>
      <c r="L1124">
        <f t="shared" si="35"/>
        <v>2</v>
      </c>
    </row>
    <row r="1125" spans="1:12" x14ac:dyDescent="0.25">
      <c r="A1125" s="1" t="s">
        <v>6639</v>
      </c>
      <c r="B1125" t="str">
        <f>IF(ISERROR(VLOOKUP(F1125,STEP!A:A, 1, FALSE)), "N", "Y")</f>
        <v>N</v>
      </c>
      <c r="C1125" t="str">
        <f>IF(ISERROR(VLOOKUP(E1125, BibleInEveryLanguageTexts!A:A, 1, FALSE)), "N", "Y")</f>
        <v>N</v>
      </c>
      <c r="D1125" t="str">
        <f t="shared" si="34"/>
        <v>X</v>
      </c>
      <c r="E1125" t="s">
        <v>5699</v>
      </c>
      <c r="F1125" t="s">
        <v>5700</v>
      </c>
      <c r="G1125" t="s">
        <v>2984</v>
      </c>
      <c r="H1125" t="s">
        <v>6640</v>
      </c>
      <c r="I1125" t="s">
        <v>2456</v>
      </c>
      <c r="J1125" t="str">
        <f>IF(0 = IFERROR(VLOOKUP(DBL_FullList!I1125, ContactsDbl!B:D, 2, FALSE), ""), "", IFERROR(VLOOKUP(DBL_FullList!I1125, ContactsDbl!B:D, 2, FALSE), ""))</f>
        <v/>
      </c>
      <c r="K1125" t="str">
        <f>IF(0 = IFERROR(VLOOKUP(DBL_FullList!I1125,ContactsDbl!B:D, 3, FALSE), ""), "", IFERROR(VLOOKUP(DBL_FullList!I1125, ContactsDbl!B:D, 3, FALSE), ""))</f>
        <v>http://www.myanmarbible.com/</v>
      </c>
      <c r="L1125">
        <f t="shared" si="35"/>
        <v>1</v>
      </c>
    </row>
    <row r="1126" spans="1:12" x14ac:dyDescent="0.25">
      <c r="A1126" t="s">
        <v>6641</v>
      </c>
      <c r="B1126" t="str">
        <f>IF(ISERROR(VLOOKUP(F1126,STEP!A:A, 1, FALSE)), "N", "Y")</f>
        <v>N</v>
      </c>
      <c r="C1126" t="str">
        <f>IF(ISERROR(VLOOKUP(E1126, BibleInEveryLanguageTexts!A:A, 1, FALSE)), "N", "Y")</f>
        <v>N</v>
      </c>
      <c r="D1126" t="str">
        <f t="shared" si="34"/>
        <v>X</v>
      </c>
      <c r="E1126" t="s">
        <v>6642</v>
      </c>
      <c r="F1126" t="s">
        <v>6643</v>
      </c>
      <c r="G1126" t="s">
        <v>4200</v>
      </c>
      <c r="H1126" t="s">
        <v>6644</v>
      </c>
      <c r="I1126" t="s">
        <v>2452</v>
      </c>
      <c r="J1126" t="str">
        <f>IF(0 = IFERROR(VLOOKUP(DBL_FullList!I1126, ContactsDbl!B:D, 2, FALSE), ""), "", IFERROR(VLOOKUP(DBL_FullList!I1126, ContactsDbl!B:D, 2, FALSE), ""))</f>
        <v>bsmalawi-dbl@biblesocieties.org</v>
      </c>
      <c r="K1126" t="str">
        <f>IF(0 = IFERROR(VLOOKUP(DBL_FullList!I1126,ContactsDbl!B:D, 3, FALSE), ""), "", IFERROR(VLOOKUP(DBL_FullList!I1126, ContactsDbl!B:D, 3, FALSE), ""))</f>
        <v>http://www.biblesociety-malawi.org/</v>
      </c>
      <c r="L1126">
        <f t="shared" si="35"/>
        <v>2</v>
      </c>
    </row>
    <row r="1127" spans="1:12" x14ac:dyDescent="0.25">
      <c r="A1127" t="s">
        <v>6645</v>
      </c>
      <c r="B1127" t="str">
        <f>IF(ISERROR(VLOOKUP(F1127,STEP!A:A, 1, FALSE)), "N", "Y")</f>
        <v>N</v>
      </c>
      <c r="C1127" t="str">
        <f>IF(ISERROR(VLOOKUP(E1127, BibleInEveryLanguageTexts!A:A, 1, FALSE)), "N", "Y")</f>
        <v>N</v>
      </c>
      <c r="D1127" t="str">
        <f t="shared" si="34"/>
        <v>X</v>
      </c>
      <c r="E1127" t="s">
        <v>6646</v>
      </c>
      <c r="F1127" t="s">
        <v>6647</v>
      </c>
      <c r="G1127" t="s">
        <v>3124</v>
      </c>
      <c r="H1127" t="s">
        <v>6648</v>
      </c>
      <c r="I1127" t="s">
        <v>2630</v>
      </c>
      <c r="J1127" t="str">
        <f>IF(0 = IFERROR(VLOOKUP(DBL_FullList!I1127, ContactsDbl!B:D, 2, FALSE), ""), "", IFERROR(VLOOKUP(DBL_FullList!I1127, ContactsDbl!B:D, 2, FALSE), ""))</f>
        <v/>
      </c>
      <c r="K1127" t="str">
        <f>IF(0 = IFERROR(VLOOKUP(DBL_FullList!I1127,ContactsDbl!B:D, 3, FALSE), ""), "", IFERROR(VLOOKUP(DBL_FullList!I1127, ContactsDbl!B:D, 3, FALSE), ""))</f>
        <v>http://www.biblesociety-togo.org/</v>
      </c>
      <c r="L1127">
        <f t="shared" si="35"/>
        <v>1</v>
      </c>
    </row>
    <row r="1128" spans="1:12" x14ac:dyDescent="0.25">
      <c r="A1128" t="s">
        <v>6649</v>
      </c>
      <c r="B1128" t="str">
        <f>IF(ISERROR(VLOOKUP(F1128,STEP!A:A, 1, FALSE)), "N", "Y")</f>
        <v>N</v>
      </c>
      <c r="C1128" t="str">
        <f>IF(ISERROR(VLOOKUP(E1128, BibleInEveryLanguageTexts!A:A, 1, FALSE)), "N", "Y")</f>
        <v>Y</v>
      </c>
      <c r="D1128" t="str">
        <f t="shared" si="34"/>
        <v/>
      </c>
      <c r="E1128" t="s">
        <v>12</v>
      </c>
      <c r="F1128" t="s">
        <v>10</v>
      </c>
      <c r="G1128" t="s">
        <v>27</v>
      </c>
      <c r="H1128" t="s">
        <v>6650</v>
      </c>
      <c r="I1128" t="s">
        <v>3104</v>
      </c>
      <c r="J1128" t="str">
        <f>IF(0 = IFERROR(VLOOKUP(DBL_FullList!I1128, ContactsDbl!B:D, 2, FALSE), ""), "", IFERROR(VLOOKUP(DBL_FullList!I1128, ContactsDbl!B:D, 2, FALSE), ""))</f>
        <v/>
      </c>
      <c r="K1128" t="str">
        <f>IF(0 = IFERROR(VLOOKUP(DBL_FullList!I1128,ContactsDbl!B:D, 3, FALSE), ""), "", IFERROR(VLOOKUP(DBL_FullList!I1128, ContactsDbl!B:D, 3, FALSE), ""))</f>
        <v/>
      </c>
      <c r="L1128">
        <f t="shared" si="35"/>
        <v>0</v>
      </c>
    </row>
    <row r="1129" spans="1:12" x14ac:dyDescent="0.25">
      <c r="A1129" t="s">
        <v>6651</v>
      </c>
      <c r="B1129" t="str">
        <f>IF(ISERROR(VLOOKUP(F1129,STEP!A:A, 1, FALSE)), "N", "Y")</f>
        <v>N</v>
      </c>
      <c r="C1129" t="str">
        <f>IF(ISERROR(VLOOKUP(E1129, BibleInEveryLanguageTexts!A:A, 1, FALSE)), "N", "Y")</f>
        <v>N</v>
      </c>
      <c r="D1129" t="str">
        <f t="shared" si="34"/>
        <v>X</v>
      </c>
      <c r="E1129" t="s">
        <v>6652</v>
      </c>
      <c r="F1129" t="s">
        <v>6653</v>
      </c>
      <c r="G1129" t="s">
        <v>6534</v>
      </c>
      <c r="H1129" t="s">
        <v>6654</v>
      </c>
      <c r="I1129" t="s">
        <v>2661</v>
      </c>
      <c r="J1129" t="str">
        <f>IF(0 = IFERROR(VLOOKUP(DBL_FullList!I1129, ContactsDbl!B:D, 2, FALSE), ""), "", IFERROR(VLOOKUP(DBL_FullList!I1129, ContactsDbl!B:D, 2, FALSE), ""))</f>
        <v>dbladmin_intl@sil.org</v>
      </c>
      <c r="K1129" t="str">
        <f>IF(0 = IFERROR(VLOOKUP(DBL_FullList!I1129,ContactsDbl!B:D, 3, FALSE), ""), "", IFERROR(VLOOKUP(DBL_FullList!I1129, ContactsDbl!B:D, 3, FALSE), ""))</f>
        <v>http://www.wycliffe.org</v>
      </c>
      <c r="L1129">
        <f t="shared" si="35"/>
        <v>2</v>
      </c>
    </row>
    <row r="1130" spans="1:12" x14ac:dyDescent="0.25">
      <c r="A1130" t="s">
        <v>6655</v>
      </c>
      <c r="B1130" t="str">
        <f>IF(ISERROR(VLOOKUP(F1130,STEP!A:A, 1, FALSE)), "N", "Y")</f>
        <v>N</v>
      </c>
      <c r="C1130" t="str">
        <f>IF(ISERROR(VLOOKUP(E1130, BibleInEveryLanguageTexts!A:A, 1, FALSE)), "N", "Y")</f>
        <v>N</v>
      </c>
      <c r="D1130" t="str">
        <f t="shared" si="34"/>
        <v>X</v>
      </c>
      <c r="E1130" t="s">
        <v>6656</v>
      </c>
      <c r="F1130" t="s">
        <v>4513</v>
      </c>
      <c r="G1130" t="s">
        <v>6534</v>
      </c>
      <c r="H1130" t="s">
        <v>6657</v>
      </c>
      <c r="I1130" t="s">
        <v>2661</v>
      </c>
      <c r="J1130" t="str">
        <f>IF(0 = IFERROR(VLOOKUP(DBL_FullList!I1130, ContactsDbl!B:D, 2, FALSE), ""), "", IFERROR(VLOOKUP(DBL_FullList!I1130, ContactsDbl!B:D, 2, FALSE), ""))</f>
        <v>dbladmin_intl@sil.org</v>
      </c>
      <c r="K1130" t="str">
        <f>IF(0 = IFERROR(VLOOKUP(DBL_FullList!I1130,ContactsDbl!B:D, 3, FALSE), ""), "", IFERROR(VLOOKUP(DBL_FullList!I1130, ContactsDbl!B:D, 3, FALSE), ""))</f>
        <v>http://www.wycliffe.org</v>
      </c>
      <c r="L1130">
        <f t="shared" si="35"/>
        <v>2</v>
      </c>
    </row>
    <row r="1131" spans="1:12" x14ac:dyDescent="0.25">
      <c r="A1131" t="s">
        <v>6658</v>
      </c>
      <c r="B1131" t="str">
        <f>IF(ISERROR(VLOOKUP(F1131,STEP!A:A, 1, FALSE)), "N", "Y")</f>
        <v>N</v>
      </c>
      <c r="C1131" t="str">
        <f>IF(ISERROR(VLOOKUP(E1131, BibleInEveryLanguageTexts!A:A, 1, FALSE)), "N", "Y")</f>
        <v>Y</v>
      </c>
      <c r="D1131" t="str">
        <f t="shared" si="34"/>
        <v/>
      </c>
      <c r="E1131" t="s">
        <v>12</v>
      </c>
      <c r="F1131" t="s">
        <v>10</v>
      </c>
      <c r="G1131" t="s">
        <v>27</v>
      </c>
      <c r="H1131" t="s">
        <v>179</v>
      </c>
      <c r="I1131" t="s">
        <v>3104</v>
      </c>
      <c r="J1131" t="str">
        <f>IF(0 = IFERROR(VLOOKUP(DBL_FullList!I1131, ContactsDbl!B:D, 2, FALSE), ""), "", IFERROR(VLOOKUP(DBL_FullList!I1131, ContactsDbl!B:D, 2, FALSE), ""))</f>
        <v/>
      </c>
      <c r="K1131" t="str">
        <f>IF(0 = IFERROR(VLOOKUP(DBL_FullList!I1131,ContactsDbl!B:D, 3, FALSE), ""), "", IFERROR(VLOOKUP(DBL_FullList!I1131, ContactsDbl!B:D, 3, FALSE), ""))</f>
        <v/>
      </c>
      <c r="L1131">
        <f t="shared" si="35"/>
        <v>0</v>
      </c>
    </row>
    <row r="1132" spans="1:12" x14ac:dyDescent="0.25">
      <c r="A1132" t="s">
        <v>6659</v>
      </c>
      <c r="B1132" t="str">
        <f>IF(ISERROR(VLOOKUP(F1132,STEP!A:A, 1, FALSE)), "N", "Y")</f>
        <v>N</v>
      </c>
      <c r="C1132" t="str">
        <f>IF(ISERROR(VLOOKUP(E1132, BibleInEveryLanguageTexts!A:A, 1, FALSE)), "N", "Y")</f>
        <v>N</v>
      </c>
      <c r="D1132" t="str">
        <f t="shared" si="34"/>
        <v>X</v>
      </c>
      <c r="E1132" t="s">
        <v>6660</v>
      </c>
      <c r="F1132" t="s">
        <v>6661</v>
      </c>
      <c r="G1132" t="s">
        <v>6534</v>
      </c>
      <c r="H1132" t="s">
        <v>6662</v>
      </c>
      <c r="I1132" t="s">
        <v>2661</v>
      </c>
      <c r="J1132" t="str">
        <f>IF(0 = IFERROR(VLOOKUP(DBL_FullList!I1132, ContactsDbl!B:D, 2, FALSE), ""), "", IFERROR(VLOOKUP(DBL_FullList!I1132, ContactsDbl!B:D, 2, FALSE), ""))</f>
        <v>dbladmin_intl@sil.org</v>
      </c>
      <c r="K1132" t="str">
        <f>IF(0 = IFERROR(VLOOKUP(DBL_FullList!I1132,ContactsDbl!B:D, 3, FALSE), ""), "", IFERROR(VLOOKUP(DBL_FullList!I1132, ContactsDbl!B:D, 3, FALSE), ""))</f>
        <v>http://www.wycliffe.org</v>
      </c>
      <c r="L1132">
        <f t="shared" si="35"/>
        <v>2</v>
      </c>
    </row>
    <row r="1133" spans="1:12" x14ac:dyDescent="0.25">
      <c r="A1133" t="s">
        <v>6663</v>
      </c>
      <c r="B1133" t="str">
        <f>IF(ISERROR(VLOOKUP(F1133,STEP!A:A, 1, FALSE)), "N", "Y")</f>
        <v>N</v>
      </c>
      <c r="C1133" t="str">
        <f>IF(ISERROR(VLOOKUP(E1133, BibleInEveryLanguageTexts!A:A, 1, FALSE)), "N", "Y")</f>
        <v>N</v>
      </c>
      <c r="D1133" t="str">
        <f t="shared" si="34"/>
        <v>X</v>
      </c>
      <c r="E1133" t="s">
        <v>6664</v>
      </c>
      <c r="F1133" t="s">
        <v>6665</v>
      </c>
      <c r="G1133" t="s">
        <v>6534</v>
      </c>
      <c r="H1133" t="s">
        <v>6666</v>
      </c>
      <c r="I1133" t="s">
        <v>2661</v>
      </c>
      <c r="J1133" t="str">
        <f>IF(0 = IFERROR(VLOOKUP(DBL_FullList!I1133, ContactsDbl!B:D, 2, FALSE), ""), "", IFERROR(VLOOKUP(DBL_FullList!I1133, ContactsDbl!B:D, 2, FALSE), ""))</f>
        <v>dbladmin_intl@sil.org</v>
      </c>
      <c r="K1133" t="str">
        <f>IF(0 = IFERROR(VLOOKUP(DBL_FullList!I1133,ContactsDbl!B:D, 3, FALSE), ""), "", IFERROR(VLOOKUP(DBL_FullList!I1133, ContactsDbl!B:D, 3, FALSE), ""))</f>
        <v>http://www.wycliffe.org</v>
      </c>
      <c r="L1133">
        <f t="shared" si="35"/>
        <v>2</v>
      </c>
    </row>
    <row r="1134" spans="1:12" x14ac:dyDescent="0.25">
      <c r="A1134" t="s">
        <v>6667</v>
      </c>
      <c r="B1134" t="str">
        <f>IF(ISERROR(VLOOKUP(F1134,STEP!A:A, 1, FALSE)), "N", "Y")</f>
        <v>N</v>
      </c>
      <c r="C1134" t="str">
        <f>IF(ISERROR(VLOOKUP(E1134, BibleInEveryLanguageTexts!A:A, 1, FALSE)), "N", "Y")</f>
        <v>N</v>
      </c>
      <c r="D1134" t="str">
        <f t="shared" si="34"/>
        <v>X</v>
      </c>
      <c r="E1134" t="s">
        <v>6668</v>
      </c>
      <c r="F1134" t="s">
        <v>6669</v>
      </c>
      <c r="G1134" t="s">
        <v>5055</v>
      </c>
      <c r="H1134" t="s">
        <v>6670</v>
      </c>
      <c r="I1134" t="s">
        <v>2661</v>
      </c>
      <c r="J1134" t="str">
        <f>IF(0 = IFERROR(VLOOKUP(DBL_FullList!I1134, ContactsDbl!B:D, 2, FALSE), ""), "", IFERROR(VLOOKUP(DBL_FullList!I1134, ContactsDbl!B:D, 2, FALSE), ""))</f>
        <v>dbladmin_intl@sil.org</v>
      </c>
      <c r="K1134" t="str">
        <f>IF(0 = IFERROR(VLOOKUP(DBL_FullList!I1134,ContactsDbl!B:D, 3, FALSE), ""), "", IFERROR(VLOOKUP(DBL_FullList!I1134, ContactsDbl!B:D, 3, FALSE), ""))</f>
        <v>http://www.wycliffe.org</v>
      </c>
      <c r="L1134">
        <f t="shared" si="35"/>
        <v>2</v>
      </c>
    </row>
    <row r="1135" spans="1:12" x14ac:dyDescent="0.25">
      <c r="A1135" t="s">
        <v>6671</v>
      </c>
      <c r="B1135" t="str">
        <f>IF(ISERROR(VLOOKUP(F1135,STEP!A:A, 1, FALSE)), "N", "Y")</f>
        <v>N</v>
      </c>
      <c r="C1135" t="str">
        <f>IF(ISERROR(VLOOKUP(E1135, BibleInEveryLanguageTexts!A:A, 1, FALSE)), "N", "Y")</f>
        <v>N</v>
      </c>
      <c r="D1135" t="str">
        <f t="shared" si="34"/>
        <v>X</v>
      </c>
      <c r="E1135" t="s">
        <v>6672</v>
      </c>
      <c r="F1135" t="s">
        <v>6673</v>
      </c>
      <c r="G1135" t="s">
        <v>6534</v>
      </c>
      <c r="H1135" t="s">
        <v>6674</v>
      </c>
      <c r="I1135" t="s">
        <v>2661</v>
      </c>
      <c r="J1135" t="str">
        <f>IF(0 = IFERROR(VLOOKUP(DBL_FullList!I1135, ContactsDbl!B:D, 2, FALSE), ""), "", IFERROR(VLOOKUP(DBL_FullList!I1135, ContactsDbl!B:D, 2, FALSE), ""))</f>
        <v>dbladmin_intl@sil.org</v>
      </c>
      <c r="K1135" t="str">
        <f>IF(0 = IFERROR(VLOOKUP(DBL_FullList!I1135,ContactsDbl!B:D, 3, FALSE), ""), "", IFERROR(VLOOKUP(DBL_FullList!I1135, ContactsDbl!B:D, 3, FALSE), ""))</f>
        <v>http://www.wycliffe.org</v>
      </c>
      <c r="L1135">
        <f t="shared" si="35"/>
        <v>2</v>
      </c>
    </row>
    <row r="1136" spans="1:12" x14ac:dyDescent="0.25">
      <c r="A1136" t="s">
        <v>6675</v>
      </c>
      <c r="B1136" t="str">
        <f>IF(ISERROR(VLOOKUP(F1136,STEP!A:A, 1, FALSE)), "N", "Y")</f>
        <v>N</v>
      </c>
      <c r="C1136" t="str">
        <f>IF(ISERROR(VLOOKUP(E1136, BibleInEveryLanguageTexts!A:A, 1, FALSE)), "N", "Y")</f>
        <v>N</v>
      </c>
      <c r="D1136" t="str">
        <f t="shared" si="34"/>
        <v>X</v>
      </c>
      <c r="E1136" t="s">
        <v>6676</v>
      </c>
      <c r="F1136" t="s">
        <v>6677</v>
      </c>
      <c r="G1136" t="s">
        <v>4200</v>
      </c>
      <c r="H1136" t="s">
        <v>6678</v>
      </c>
      <c r="I1136" t="s">
        <v>2452</v>
      </c>
      <c r="J1136" t="str">
        <f>IF(0 = IFERROR(VLOOKUP(DBL_FullList!I1136, ContactsDbl!B:D, 2, FALSE), ""), "", IFERROR(VLOOKUP(DBL_FullList!I1136, ContactsDbl!B:D, 2, FALSE), ""))</f>
        <v>bsmalawi-dbl@biblesocieties.org</v>
      </c>
      <c r="K1136" t="str">
        <f>IF(0 = IFERROR(VLOOKUP(DBL_FullList!I1136,ContactsDbl!B:D, 3, FALSE), ""), "", IFERROR(VLOOKUP(DBL_FullList!I1136, ContactsDbl!B:D, 3, FALSE), ""))</f>
        <v>http://www.biblesociety-malawi.org/</v>
      </c>
      <c r="L1136">
        <f t="shared" si="35"/>
        <v>2</v>
      </c>
    </row>
    <row r="1137" spans="1:12" x14ac:dyDescent="0.25">
      <c r="A1137" t="s">
        <v>6679</v>
      </c>
      <c r="B1137" t="str">
        <f>IF(ISERROR(VLOOKUP(F1137,STEP!A:A, 1, FALSE)), "N", "Y")</f>
        <v>N</v>
      </c>
      <c r="C1137" t="str">
        <f>IF(ISERROR(VLOOKUP(E1137, BibleInEveryLanguageTexts!A:A, 1, FALSE)), "N", "Y")</f>
        <v>N</v>
      </c>
      <c r="D1137" t="str">
        <f t="shared" si="34"/>
        <v>X</v>
      </c>
      <c r="E1137" t="s">
        <v>334</v>
      </c>
      <c r="F1137" t="s">
        <v>332</v>
      </c>
      <c r="G1137" t="s">
        <v>333</v>
      </c>
      <c r="H1137" t="s">
        <v>6680</v>
      </c>
      <c r="I1137" t="s">
        <v>1997</v>
      </c>
      <c r="J1137" t="str">
        <f>IF(0 = IFERROR(VLOOKUP(DBL_FullList!I1137, ContactsDbl!B:D, 2, FALSE), ""), "", IFERROR(VLOOKUP(DBL_FullList!I1137, ContactsDbl!B:D, 2, FALSE), ""))</f>
        <v>Lee.Harris@biblica.com</v>
      </c>
      <c r="K1137" t="str">
        <f>IF(0 = IFERROR(VLOOKUP(DBL_FullList!I1137,ContactsDbl!B:D, 3, FALSE), ""), "", IFERROR(VLOOKUP(DBL_FullList!I1137, ContactsDbl!B:D, 3, FALSE), ""))</f>
        <v>http://www.Biblica.com</v>
      </c>
      <c r="L1137">
        <f t="shared" si="35"/>
        <v>2</v>
      </c>
    </row>
    <row r="1138" spans="1:12" x14ac:dyDescent="0.25">
      <c r="A1138" t="s">
        <v>6681</v>
      </c>
      <c r="B1138" t="str">
        <f>IF(ISERROR(VLOOKUP(F1138,STEP!A:A, 1, FALSE)), "N", "Y")</f>
        <v>N</v>
      </c>
      <c r="C1138" t="str">
        <f>IF(ISERROR(VLOOKUP(E1138, BibleInEveryLanguageTexts!A:A, 1, FALSE)), "N", "Y")</f>
        <v>Y</v>
      </c>
      <c r="D1138" t="str">
        <f t="shared" si="34"/>
        <v/>
      </c>
      <c r="E1138" t="s">
        <v>12</v>
      </c>
      <c r="F1138" t="s">
        <v>10</v>
      </c>
      <c r="G1138" t="s">
        <v>11</v>
      </c>
      <c r="H1138" t="s">
        <v>815</v>
      </c>
      <c r="I1138" t="s">
        <v>2401</v>
      </c>
      <c r="J1138" t="str">
        <f>IF(0 = IFERROR(VLOOKUP(DBL_FullList!I1138, ContactsDbl!B:D, 2, FALSE), ""), "", IFERROR(VLOOKUP(DBL_FullList!I1138, ContactsDbl!B:D, 2, FALSE), ""))</f>
        <v>digitalbiblelibrary@lockman.org</v>
      </c>
      <c r="K1138" t="str">
        <f>IF(0 = IFERROR(VLOOKUP(DBL_FullList!I1138,ContactsDbl!B:D, 3, FALSE), ""), "", IFERROR(VLOOKUP(DBL_FullList!I1138, ContactsDbl!B:D, 3, FALSE), ""))</f>
        <v>http://www.lockman.org/</v>
      </c>
      <c r="L1138">
        <f t="shared" si="35"/>
        <v>2</v>
      </c>
    </row>
    <row r="1139" spans="1:12" x14ac:dyDescent="0.25">
      <c r="A1139" t="s">
        <v>6682</v>
      </c>
      <c r="B1139" t="str">
        <f>IF(ISERROR(VLOOKUP(F1139,STEP!A:A, 1, FALSE)), "N", "Y")</f>
        <v>N</v>
      </c>
      <c r="C1139" t="str">
        <f>IF(ISERROR(VLOOKUP(E1139, BibleInEveryLanguageTexts!A:A, 1, FALSE)), "N", "Y")</f>
        <v>N</v>
      </c>
      <c r="D1139" t="str">
        <f t="shared" si="34"/>
        <v>X</v>
      </c>
      <c r="E1139" t="s">
        <v>5818</v>
      </c>
      <c r="F1139" t="s">
        <v>3846</v>
      </c>
      <c r="G1139" t="s">
        <v>27</v>
      </c>
      <c r="H1139" t="s">
        <v>6683</v>
      </c>
      <c r="I1139" t="s">
        <v>2563</v>
      </c>
      <c r="J1139" t="str">
        <f>IF(0 = IFERROR(VLOOKUP(DBL_FullList!I1139, ContactsDbl!B:D, 2, FALSE), ""), "", IFERROR(VLOOKUP(DBL_FullList!I1139, ContactsDbl!B:D, 2, FALSE), ""))</f>
        <v/>
      </c>
      <c r="K1139" t="str">
        <f>IF(0 = IFERROR(VLOOKUP(DBL_FullList!I1139,ContactsDbl!B:D, 3, FALSE), ""), "", IFERROR(VLOOKUP(DBL_FullList!I1139, ContactsDbl!B:D, 3, FALSE), ""))</f>
        <v>http://www.scottishbiblesociety.org</v>
      </c>
      <c r="L1139">
        <f t="shared" si="35"/>
        <v>1</v>
      </c>
    </row>
    <row r="1140" spans="1:12" x14ac:dyDescent="0.25">
      <c r="A1140" t="s">
        <v>6684</v>
      </c>
      <c r="B1140" t="str">
        <f>IF(ISERROR(VLOOKUP(F1140,STEP!A:A, 1, FALSE)), "N", "Y")</f>
        <v>N</v>
      </c>
      <c r="C1140" t="str">
        <f>IF(ISERROR(VLOOKUP(E1140, BibleInEveryLanguageTexts!A:A, 1, FALSE)), "N", "Y")</f>
        <v>N</v>
      </c>
      <c r="D1140" t="str">
        <f t="shared" si="34"/>
        <v>X</v>
      </c>
      <c r="E1140" t="s">
        <v>6685</v>
      </c>
      <c r="F1140" t="s">
        <v>6686</v>
      </c>
      <c r="G1140" t="s">
        <v>3861</v>
      </c>
      <c r="H1140" t="s">
        <v>6687</v>
      </c>
      <c r="I1140" t="s">
        <v>2393</v>
      </c>
      <c r="J1140" t="str">
        <f>IF(0 = IFERROR(VLOOKUP(DBL_FullList!I1140, ContactsDbl!B:D, 2, FALSE), ""), "", IFERROR(VLOOKUP(DBL_FullList!I1140, ContactsDbl!B:D, 2, FALSE), ""))</f>
        <v>pstevens@biblesocieties.org</v>
      </c>
      <c r="K1140" t="str">
        <f>IF(0 = IFERROR(VLOOKUP(DBL_FullList!I1140,ContactsDbl!B:D, 3, FALSE), ""), "", IFERROR(VLOOKUP(DBL_FullList!I1140, ContactsDbl!B:D, 3, FALSE), ""))</f>
        <v>http://www.unitedbiblesocieties.org/society/bible-society-in-liberia/</v>
      </c>
      <c r="L1140">
        <f t="shared" si="35"/>
        <v>2</v>
      </c>
    </row>
    <row r="1141" spans="1:12" x14ac:dyDescent="0.25">
      <c r="A1141" t="s">
        <v>6688</v>
      </c>
      <c r="B1141" t="str">
        <f>IF(ISERROR(VLOOKUP(F1141,STEP!A:A, 1, FALSE)), "N", "Y")</f>
        <v>N</v>
      </c>
      <c r="C1141" t="str">
        <f>IF(ISERROR(VLOOKUP(E1141, BibleInEveryLanguageTexts!A:A, 1, FALSE)), "N", "Y")</f>
        <v>N</v>
      </c>
      <c r="D1141" t="str">
        <f t="shared" si="34"/>
        <v>X</v>
      </c>
      <c r="E1141" t="s">
        <v>6689</v>
      </c>
      <c r="F1141" t="s">
        <v>6690</v>
      </c>
      <c r="G1141" t="s">
        <v>383</v>
      </c>
      <c r="H1141" t="s">
        <v>6691</v>
      </c>
      <c r="I1141" t="s">
        <v>2594</v>
      </c>
      <c r="J1141" t="str">
        <f>IF(0 = IFERROR(VLOOKUP(DBL_FullList!I1141, ContactsDbl!B:D, 2, FALSE), ""), "", IFERROR(VLOOKUP(DBL_FullList!I1141, ContactsDbl!B:D, 2, FALSE), ""))</f>
        <v>ekajivora@hotmail.com</v>
      </c>
      <c r="K1141" t="str">
        <f>IF(0 = IFERROR(VLOOKUP(DBL_FullList!I1141,ContactsDbl!B:D, 3, FALSE), ""), "", IFERROR(VLOOKUP(DBL_FullList!I1141, ContactsDbl!B:D, 3, FALSE), ""))</f>
        <v/>
      </c>
      <c r="L1141">
        <f t="shared" si="35"/>
        <v>2</v>
      </c>
    </row>
    <row r="1142" spans="1:12" x14ac:dyDescent="0.25">
      <c r="A1142" t="s">
        <v>6692</v>
      </c>
      <c r="B1142" t="str">
        <f>IF(ISERROR(VLOOKUP(F1142,STEP!A:A, 1, FALSE)), "N", "Y")</f>
        <v>N</v>
      </c>
      <c r="C1142" t="str">
        <f>IF(ISERROR(VLOOKUP(E1142, BibleInEveryLanguageTexts!A:A, 1, FALSE)), "N", "Y")</f>
        <v>N</v>
      </c>
      <c r="D1142" t="str">
        <f t="shared" si="34"/>
        <v>X</v>
      </c>
      <c r="E1142" t="s">
        <v>6693</v>
      </c>
      <c r="F1142" t="s">
        <v>6694</v>
      </c>
      <c r="G1142" t="s">
        <v>306</v>
      </c>
      <c r="H1142" t="s">
        <v>6695</v>
      </c>
      <c r="I1142" t="s">
        <v>2106</v>
      </c>
      <c r="J1142" t="str">
        <f>IF(0 = IFERROR(VLOOKUP(DBL_FullList!I1142, ContactsDbl!B:D, 2, FALSE), ""), "", IFERROR(VLOOKUP(DBL_FullList!I1142, ContactsDbl!B:D, 2, FALSE), ""))</f>
        <v>info@biblesociety-tanzania.org</v>
      </c>
      <c r="K1142" t="str">
        <f>IF(0 = IFERROR(VLOOKUP(DBL_FullList!I1142,ContactsDbl!B:D, 3, FALSE), ""), "", IFERROR(VLOOKUP(DBL_FullList!I1142, ContactsDbl!B:D, 3, FALSE), ""))</f>
        <v>http://biblesociety-tanzania.org/</v>
      </c>
      <c r="L1142">
        <f t="shared" si="35"/>
        <v>2</v>
      </c>
    </row>
    <row r="1143" spans="1:12" x14ac:dyDescent="0.25">
      <c r="A1143" t="s">
        <v>6696</v>
      </c>
      <c r="B1143" t="str">
        <f>IF(ISERROR(VLOOKUP(F1143,STEP!A:A, 1, FALSE)), "N", "Y")</f>
        <v>N</v>
      </c>
      <c r="C1143" t="str">
        <f>IF(ISERROR(VLOOKUP(E1143, BibleInEveryLanguageTexts!A:A, 1, FALSE)), "N", "Y")</f>
        <v>N</v>
      </c>
      <c r="D1143" t="str">
        <f t="shared" si="34"/>
        <v>X</v>
      </c>
      <c r="E1143" t="s">
        <v>6697</v>
      </c>
      <c r="F1143" t="s">
        <v>6698</v>
      </c>
      <c r="G1143" t="s">
        <v>2833</v>
      </c>
      <c r="H1143" t="s">
        <v>6699</v>
      </c>
      <c r="I1143" t="s">
        <v>2647</v>
      </c>
      <c r="J1143" t="str">
        <f>IF(0 = IFERROR(VLOOKUP(DBL_FullList!I1143, ContactsDbl!B:D, 2, FALSE), ""), "", IFERROR(VLOOKUP(DBL_FullList!I1143, ContactsDbl!B:D, 2, FALSE), ""))</f>
        <v>info@biblesociety-uganda.org</v>
      </c>
      <c r="K1143" t="str">
        <f>IF(0 = IFERROR(VLOOKUP(DBL_FullList!I1143,ContactsDbl!B:D, 3, FALSE), ""), "", IFERROR(VLOOKUP(DBL_FullList!I1143, ContactsDbl!B:D, 3, FALSE), ""))</f>
        <v>http://www.biblesociety-uganda.org/</v>
      </c>
      <c r="L1143">
        <f t="shared" si="35"/>
        <v>2</v>
      </c>
    </row>
    <row r="1144" spans="1:12" x14ac:dyDescent="0.25">
      <c r="A1144" t="s">
        <v>6700</v>
      </c>
      <c r="B1144" t="str">
        <f>IF(ISERROR(VLOOKUP(F1144,STEP!A:A, 1, FALSE)), "N", "Y")</f>
        <v>N</v>
      </c>
      <c r="C1144" t="str">
        <f>IF(ISERROR(VLOOKUP(E1144, BibleInEveryLanguageTexts!A:A, 1, FALSE)), "N", "Y")</f>
        <v>N</v>
      </c>
      <c r="D1144" t="str">
        <f t="shared" si="34"/>
        <v>X</v>
      </c>
      <c r="E1144" t="s">
        <v>3682</v>
      </c>
      <c r="F1144" t="s">
        <v>175</v>
      </c>
      <c r="G1144" t="s">
        <v>121</v>
      </c>
      <c r="H1144" t="s">
        <v>6701</v>
      </c>
      <c r="I1144" t="s">
        <v>2241</v>
      </c>
      <c r="J1144" t="str">
        <f>IF(0 = IFERROR(VLOOKUP(DBL_FullList!I1144, ContactsDbl!B:D, 2, FALSE), ""), "", IFERROR(VLOOKUP(DBL_FullList!I1144, ContactsDbl!B:D, 2, FALSE), ""))</f>
        <v>dbl@dbg.de</v>
      </c>
      <c r="K1144" t="str">
        <f>IF(0 = IFERROR(VLOOKUP(DBL_FullList!I1144,ContactsDbl!B:D, 3, FALSE), ""), "", IFERROR(VLOOKUP(DBL_FullList!I1144, ContactsDbl!B:D, 3, FALSE), ""))</f>
        <v>http://www.die-bibel.de</v>
      </c>
      <c r="L1144">
        <f t="shared" si="35"/>
        <v>2</v>
      </c>
    </row>
    <row r="1145" spans="1:12" x14ac:dyDescent="0.25">
      <c r="A1145" t="s">
        <v>6702</v>
      </c>
      <c r="B1145" t="str">
        <f>IF(ISERROR(VLOOKUP(F1145,STEP!A:A, 1, FALSE)), "N", "Y")</f>
        <v>N</v>
      </c>
      <c r="C1145" t="str">
        <f>IF(ISERROR(VLOOKUP(E1145, BibleInEveryLanguageTexts!A:A, 1, FALSE)), "N", "Y")</f>
        <v>N</v>
      </c>
      <c r="D1145" t="str">
        <f t="shared" si="34"/>
        <v>X</v>
      </c>
      <c r="E1145" t="s">
        <v>5488</v>
      </c>
      <c r="F1145" t="s">
        <v>5489</v>
      </c>
      <c r="G1145" t="s">
        <v>2942</v>
      </c>
      <c r="H1145" t="s">
        <v>6703</v>
      </c>
      <c r="I1145" t="s">
        <v>1975</v>
      </c>
      <c r="J1145" t="str">
        <f>IF(0 = IFERROR(VLOOKUP(DBL_FullList!I1145, ContactsDbl!B:D, 2, FALSE), ""), "", IFERROR(VLOOKUP(DBL_FullList!I1145, ContactsDbl!B:D, 2, FALSE), ""))</f>
        <v/>
      </c>
      <c r="K1145" t="str">
        <f>IF(0 = IFERROR(VLOOKUP(DBL_FullList!I1145,ContactsDbl!B:D, 3, FALSE), ""), "", IFERROR(VLOOKUP(DBL_FullList!I1145, ContactsDbl!B:D, 3, FALSE), ""))</f>
        <v>http://www.sba.org.ar/</v>
      </c>
      <c r="L1145">
        <f t="shared" si="35"/>
        <v>1</v>
      </c>
    </row>
    <row r="1146" spans="1:12" x14ac:dyDescent="0.25">
      <c r="A1146" t="s">
        <v>6704</v>
      </c>
      <c r="B1146" t="str">
        <f>IF(ISERROR(VLOOKUP(F1146,STEP!A:A, 1, FALSE)), "N", "Y")</f>
        <v>N</v>
      </c>
      <c r="C1146" t="str">
        <f>IF(ISERROR(VLOOKUP(E1146, BibleInEveryLanguageTexts!A:A, 1, FALSE)), "N", "Y")</f>
        <v>N</v>
      </c>
      <c r="D1146" t="str">
        <f t="shared" si="34"/>
        <v>X</v>
      </c>
      <c r="E1146" t="s">
        <v>6095</v>
      </c>
      <c r="F1146" t="s">
        <v>6096</v>
      </c>
      <c r="G1146" t="s">
        <v>2984</v>
      </c>
      <c r="H1146" t="s">
        <v>6705</v>
      </c>
      <c r="I1146" t="s">
        <v>183</v>
      </c>
      <c r="J1146" t="str">
        <f>IF(0 = IFERROR(VLOOKUP(DBL_FullList!I1146, ContactsDbl!B:D, 2, FALSE), ""), "", IFERROR(VLOOKUP(DBL_FullList!I1146, ContactsDbl!B:D, 2, FALSE), ""))</f>
        <v>dbl@biblesocieties.org</v>
      </c>
      <c r="K1146" t="str">
        <f>IF(0 = IFERROR(VLOOKUP(DBL_FullList!I1146,ContactsDbl!B:D, 3, FALSE), ""), "", IFERROR(VLOOKUP(DBL_FullList!I1146, ContactsDbl!B:D, 3, FALSE), ""))</f>
        <v>http://www.unitedbiblesocieties.org/</v>
      </c>
      <c r="L1146">
        <f t="shared" si="35"/>
        <v>2</v>
      </c>
    </row>
    <row r="1147" spans="1:12" x14ac:dyDescent="0.25">
      <c r="A1147" t="s">
        <v>6706</v>
      </c>
      <c r="B1147" t="str">
        <f>IF(ISERROR(VLOOKUP(F1147,STEP!A:A, 1, FALSE)), "N", "Y")</f>
        <v>N</v>
      </c>
      <c r="C1147" t="str">
        <f>IF(ISERROR(VLOOKUP(E1147, BibleInEveryLanguageTexts!A:A, 1, FALSE)), "N", "Y")</f>
        <v>N</v>
      </c>
      <c r="D1147" t="str">
        <f t="shared" si="34"/>
        <v>X</v>
      </c>
      <c r="E1147" t="s">
        <v>6707</v>
      </c>
      <c r="F1147" t="s">
        <v>6708</v>
      </c>
      <c r="G1147" t="s">
        <v>2984</v>
      </c>
      <c r="H1147" t="s">
        <v>6709</v>
      </c>
      <c r="I1147" t="s">
        <v>2456</v>
      </c>
      <c r="J1147" t="str">
        <f>IF(0 = IFERROR(VLOOKUP(DBL_FullList!I1147, ContactsDbl!B:D, 2, FALSE), ""), "", IFERROR(VLOOKUP(DBL_FullList!I1147, ContactsDbl!B:D, 2, FALSE), ""))</f>
        <v/>
      </c>
      <c r="K1147" t="str">
        <f>IF(0 = IFERROR(VLOOKUP(DBL_FullList!I1147,ContactsDbl!B:D, 3, FALSE), ""), "", IFERROR(VLOOKUP(DBL_FullList!I1147, ContactsDbl!B:D, 3, FALSE), ""))</f>
        <v>http://www.myanmarbible.com/</v>
      </c>
      <c r="L1147">
        <f t="shared" si="35"/>
        <v>1</v>
      </c>
    </row>
    <row r="1148" spans="1:12" x14ac:dyDescent="0.25">
      <c r="A1148" t="s">
        <v>335</v>
      </c>
      <c r="B1148" t="str">
        <f>IF(ISERROR(VLOOKUP(F1148,STEP!A:A, 1, FALSE)), "N", "Y")</f>
        <v>N</v>
      </c>
      <c r="C1148" t="str">
        <f>IF(ISERROR(VLOOKUP(E1148, BibleInEveryLanguageTexts!A:A, 1, FALSE)), "N", "Y")</f>
        <v>N</v>
      </c>
      <c r="D1148" t="str">
        <f t="shared" si="34"/>
        <v>X</v>
      </c>
      <c r="E1148" t="s">
        <v>334</v>
      </c>
      <c r="F1148" t="s">
        <v>332</v>
      </c>
      <c r="G1148" t="s">
        <v>333</v>
      </c>
      <c r="H1148" t="s">
        <v>330</v>
      </c>
      <c r="I1148" t="s">
        <v>24</v>
      </c>
      <c r="J1148" t="str">
        <f>IF(0 = IFERROR(VLOOKUP(DBL_FullList!I1148, ContactsDbl!B:D, 2, FALSE), ""), "", IFERROR(VLOOKUP(DBL_FullList!I1148, ContactsDbl!B:D, 2, FALSE), ""))</f>
        <v>Michael@eBible.org</v>
      </c>
      <c r="K1148" t="str">
        <f>IF(0 = IFERROR(VLOOKUP(DBL_FullList!I1148,ContactsDbl!B:D, 3, FALSE), ""), "", IFERROR(VLOOKUP(DBL_FullList!I1148, ContactsDbl!B:D, 3, FALSE), ""))</f>
        <v>http://eBible.org</v>
      </c>
      <c r="L1148">
        <f t="shared" si="35"/>
        <v>2</v>
      </c>
    </row>
    <row r="1149" spans="1:12" x14ac:dyDescent="0.25">
      <c r="A1149" t="s">
        <v>6710</v>
      </c>
      <c r="B1149" t="str">
        <f>IF(ISERROR(VLOOKUP(F1149,STEP!A:A, 1, FALSE)), "N", "Y")</f>
        <v>N</v>
      </c>
      <c r="C1149" t="str">
        <f>IF(ISERROR(VLOOKUP(E1149, BibleInEveryLanguageTexts!A:A, 1, FALSE)), "N", "Y")</f>
        <v>N</v>
      </c>
      <c r="D1149" t="str">
        <f t="shared" si="34"/>
        <v>X</v>
      </c>
      <c r="E1149" t="s">
        <v>6711</v>
      </c>
      <c r="F1149" t="s">
        <v>6712</v>
      </c>
      <c r="G1149" t="s">
        <v>383</v>
      </c>
      <c r="H1149" t="s">
        <v>6713</v>
      </c>
      <c r="I1149" t="s">
        <v>2594</v>
      </c>
      <c r="J1149" t="str">
        <f>IF(0 = IFERROR(VLOOKUP(DBL_FullList!I1149, ContactsDbl!B:D, 2, FALSE), ""), "", IFERROR(VLOOKUP(DBL_FullList!I1149, ContactsDbl!B:D, 2, FALSE), ""))</f>
        <v>ekajivora@hotmail.com</v>
      </c>
      <c r="K1149" t="str">
        <f>IF(0 = IFERROR(VLOOKUP(DBL_FullList!I1149,ContactsDbl!B:D, 3, FALSE), ""), "", IFERROR(VLOOKUP(DBL_FullList!I1149, ContactsDbl!B:D, 3, FALSE), ""))</f>
        <v/>
      </c>
      <c r="L1149">
        <f t="shared" si="35"/>
        <v>2</v>
      </c>
    </row>
    <row r="1150" spans="1:12" x14ac:dyDescent="0.25">
      <c r="A1150" t="s">
        <v>6714</v>
      </c>
      <c r="B1150" t="str">
        <f>IF(ISERROR(VLOOKUP(F1150,STEP!A:A, 1, FALSE)), "N", "Y")</f>
        <v>N</v>
      </c>
      <c r="C1150" t="str">
        <f>IF(ISERROR(VLOOKUP(E1150, BibleInEveryLanguageTexts!A:A, 1, FALSE)), "N", "Y")</f>
        <v>N</v>
      </c>
      <c r="D1150" t="str">
        <f t="shared" si="34"/>
        <v>X</v>
      </c>
      <c r="E1150" t="s">
        <v>6715</v>
      </c>
      <c r="F1150" t="s">
        <v>6716</v>
      </c>
      <c r="G1150" t="s">
        <v>2858</v>
      </c>
      <c r="H1150" t="s">
        <v>6717</v>
      </c>
      <c r="I1150" t="s">
        <v>2505</v>
      </c>
      <c r="J1150" t="str">
        <f>IF(0 = IFERROR(VLOOKUP(DBL_FullList!I1150, ContactsDbl!B:D, 2, FALSE), ""), "", IFERROR(VLOOKUP(DBL_FullList!I1150, ContactsDbl!B:D, 2, FALSE), ""))</f>
        <v/>
      </c>
      <c r="K1150" t="str">
        <f>IF(0 = IFERROR(VLOOKUP(DBL_FullList!I1150,ContactsDbl!B:D, 3, FALSE), ""), "", IFERROR(VLOOKUP(DBL_FullList!I1150, ContactsDbl!B:D, 3, FALSE), ""))</f>
        <v>http://www.bible.org.ph/</v>
      </c>
      <c r="L1150">
        <f t="shared" si="35"/>
        <v>1</v>
      </c>
    </row>
    <row r="1151" spans="1:12" x14ac:dyDescent="0.25">
      <c r="A1151" t="s">
        <v>6718</v>
      </c>
      <c r="B1151" t="str">
        <f>IF(ISERROR(VLOOKUP(F1151,STEP!A:A, 1, FALSE)), "N", "Y")</f>
        <v>N</v>
      </c>
      <c r="C1151" t="str">
        <f>IF(ISERROR(VLOOKUP(E1151, BibleInEveryLanguageTexts!A:A, 1, FALSE)), "N", "Y")</f>
        <v>N</v>
      </c>
      <c r="D1151" t="str">
        <f t="shared" si="34"/>
        <v>X</v>
      </c>
      <c r="E1151" t="s">
        <v>199</v>
      </c>
      <c r="F1151" t="s">
        <v>197</v>
      </c>
      <c r="G1151" t="s">
        <v>2942</v>
      </c>
      <c r="H1151" t="s">
        <v>6719</v>
      </c>
      <c r="I1151" t="s">
        <v>183</v>
      </c>
      <c r="J1151" t="str">
        <f>IF(0 = IFERROR(VLOOKUP(DBL_FullList!I1151, ContactsDbl!B:D, 2, FALSE), ""), "", IFERROR(VLOOKUP(DBL_FullList!I1151, ContactsDbl!B:D, 2, FALSE), ""))</f>
        <v>dbl@biblesocieties.org</v>
      </c>
      <c r="K1151" t="str">
        <f>IF(0 = IFERROR(VLOOKUP(DBL_FullList!I1151,ContactsDbl!B:D, 3, FALSE), ""), "", IFERROR(VLOOKUP(DBL_FullList!I1151, ContactsDbl!B:D, 3, FALSE), ""))</f>
        <v>http://www.unitedbiblesocieties.org/</v>
      </c>
      <c r="L1151">
        <f t="shared" si="35"/>
        <v>2</v>
      </c>
    </row>
    <row r="1152" spans="1:12" x14ac:dyDescent="0.25">
      <c r="A1152" t="s">
        <v>6720</v>
      </c>
      <c r="B1152" t="str">
        <f>IF(ISERROR(VLOOKUP(F1152,STEP!A:A, 1, FALSE)), "N", "Y")</f>
        <v>N</v>
      </c>
      <c r="C1152" t="str">
        <f>IF(ISERROR(VLOOKUP(E1152, BibleInEveryLanguageTexts!A:A, 1, FALSE)), "N", "Y")</f>
        <v>N</v>
      </c>
      <c r="D1152" t="str">
        <f t="shared" si="34"/>
        <v>X</v>
      </c>
      <c r="E1152" t="s">
        <v>6721</v>
      </c>
      <c r="F1152" t="s">
        <v>5004</v>
      </c>
      <c r="G1152" t="s">
        <v>6722</v>
      </c>
      <c r="H1152" t="s">
        <v>6723</v>
      </c>
      <c r="I1152" t="s">
        <v>183</v>
      </c>
      <c r="J1152" t="str">
        <f>IF(0 = IFERROR(VLOOKUP(DBL_FullList!I1152, ContactsDbl!B:D, 2, FALSE), ""), "", IFERROR(VLOOKUP(DBL_FullList!I1152, ContactsDbl!B:D, 2, FALSE), ""))</f>
        <v>dbl@biblesocieties.org</v>
      </c>
      <c r="K1152" t="str">
        <f>IF(0 = IFERROR(VLOOKUP(DBL_FullList!I1152,ContactsDbl!B:D, 3, FALSE), ""), "", IFERROR(VLOOKUP(DBL_FullList!I1152, ContactsDbl!B:D, 3, FALSE), ""))</f>
        <v>http://www.unitedbiblesocieties.org/</v>
      </c>
      <c r="L1152">
        <f t="shared" si="35"/>
        <v>2</v>
      </c>
    </row>
    <row r="1153" spans="1:12" x14ac:dyDescent="0.25">
      <c r="A1153" t="s">
        <v>6724</v>
      </c>
      <c r="B1153" t="str">
        <f>IF(ISERROR(VLOOKUP(F1153,STEP!A:A, 1, FALSE)), "N", "Y")</f>
        <v>N</v>
      </c>
      <c r="C1153" t="str">
        <f>IF(ISERROR(VLOOKUP(E1153, BibleInEveryLanguageTexts!A:A, 1, FALSE)), "N", "Y")</f>
        <v>N</v>
      </c>
      <c r="D1153" t="str">
        <f t="shared" si="34"/>
        <v>X</v>
      </c>
      <c r="E1153" t="s">
        <v>6095</v>
      </c>
      <c r="F1153" t="s">
        <v>6096</v>
      </c>
      <c r="G1153" t="s">
        <v>2984</v>
      </c>
      <c r="H1153" t="s">
        <v>6725</v>
      </c>
      <c r="I1153" t="s">
        <v>2456</v>
      </c>
      <c r="J1153" t="str">
        <f>IF(0 = IFERROR(VLOOKUP(DBL_FullList!I1153, ContactsDbl!B:D, 2, FALSE), ""), "", IFERROR(VLOOKUP(DBL_FullList!I1153, ContactsDbl!B:D, 2, FALSE), ""))</f>
        <v/>
      </c>
      <c r="K1153" t="str">
        <f>IF(0 = IFERROR(VLOOKUP(DBL_FullList!I1153,ContactsDbl!B:D, 3, FALSE), ""), "", IFERROR(VLOOKUP(DBL_FullList!I1153, ContactsDbl!B:D, 3, FALSE), ""))</f>
        <v>http://www.myanmarbible.com/</v>
      </c>
      <c r="L1153">
        <f t="shared" si="35"/>
        <v>1</v>
      </c>
    </row>
    <row r="1154" spans="1:12" x14ac:dyDescent="0.25">
      <c r="A1154" t="s">
        <v>6726</v>
      </c>
      <c r="B1154" t="str">
        <f>IF(ISERROR(VLOOKUP(F1154,STEP!A:A, 1, FALSE)), "N", "Y")</f>
        <v>N</v>
      </c>
      <c r="C1154" t="str">
        <f>IF(ISERROR(VLOOKUP(E1154, BibleInEveryLanguageTexts!A:A, 1, FALSE)), "N", "Y")</f>
        <v>Y</v>
      </c>
      <c r="D1154" t="str">
        <f t="shared" si="34"/>
        <v/>
      </c>
      <c r="E1154" t="s">
        <v>12</v>
      </c>
      <c r="F1154" t="s">
        <v>10</v>
      </c>
      <c r="G1154" t="s">
        <v>27</v>
      </c>
      <c r="H1154" t="s">
        <v>6727</v>
      </c>
      <c r="I1154" t="s">
        <v>3104</v>
      </c>
      <c r="J1154" t="str">
        <f>IF(0 = IFERROR(VLOOKUP(DBL_FullList!I1154, ContactsDbl!B:D, 2, FALSE), ""), "", IFERROR(VLOOKUP(DBL_FullList!I1154, ContactsDbl!B:D, 2, FALSE), ""))</f>
        <v/>
      </c>
      <c r="K1154" t="str">
        <f>IF(0 = IFERROR(VLOOKUP(DBL_FullList!I1154,ContactsDbl!B:D, 3, FALSE), ""), "", IFERROR(VLOOKUP(DBL_FullList!I1154, ContactsDbl!B:D, 3, FALSE), ""))</f>
        <v/>
      </c>
      <c r="L1154">
        <f t="shared" si="35"/>
        <v>0</v>
      </c>
    </row>
    <row r="1155" spans="1:12" x14ac:dyDescent="0.25">
      <c r="A1155" t="s">
        <v>6728</v>
      </c>
      <c r="B1155" t="str">
        <f>IF(ISERROR(VLOOKUP(F1155,STEP!A:A, 1, FALSE)), "N", "Y")</f>
        <v>N</v>
      </c>
      <c r="C1155" t="str">
        <f>IF(ISERROR(VLOOKUP(E1155, BibleInEveryLanguageTexts!A:A, 1, FALSE)), "N", "Y")</f>
        <v>N</v>
      </c>
      <c r="D1155" t="str">
        <f t="shared" ref="D1155:D1218" si="36">IF(AND("N" = B1155, "N" = C1155), "X", "")</f>
        <v>X</v>
      </c>
      <c r="E1155" t="s">
        <v>6729</v>
      </c>
      <c r="F1155" t="s">
        <v>6730</v>
      </c>
      <c r="G1155" t="s">
        <v>306</v>
      </c>
      <c r="H1155" t="s">
        <v>6731</v>
      </c>
      <c r="I1155" t="s">
        <v>2106</v>
      </c>
      <c r="J1155" t="str">
        <f>IF(0 = IFERROR(VLOOKUP(DBL_FullList!I1155, ContactsDbl!B:D, 2, FALSE), ""), "", IFERROR(VLOOKUP(DBL_FullList!I1155, ContactsDbl!B:D, 2, FALSE), ""))</f>
        <v>info@biblesociety-tanzania.org</v>
      </c>
      <c r="K1155" t="str">
        <f>IF(0 = IFERROR(VLOOKUP(DBL_FullList!I1155,ContactsDbl!B:D, 3, FALSE), ""), "", IFERROR(VLOOKUP(DBL_FullList!I1155, ContactsDbl!B:D, 3, FALSE), ""))</f>
        <v>http://biblesociety-tanzania.org/</v>
      </c>
      <c r="L1155">
        <f t="shared" ref="L1155:L1218" si="37">IF("" &lt;&gt; J1155, 2, IF("" &lt;&gt; K1155, 1, 0))</f>
        <v>2</v>
      </c>
    </row>
    <row r="1156" spans="1:12" x14ac:dyDescent="0.25">
      <c r="A1156" t="s">
        <v>6732</v>
      </c>
      <c r="B1156" t="str">
        <f>IF(ISERROR(VLOOKUP(F1156,STEP!A:A, 1, FALSE)), "N", "Y")</f>
        <v>N</v>
      </c>
      <c r="C1156" t="str">
        <f>IF(ISERROR(VLOOKUP(E1156, BibleInEveryLanguageTexts!A:A, 1, FALSE)), "N", "Y")</f>
        <v>N</v>
      </c>
      <c r="D1156" t="str">
        <f t="shared" si="36"/>
        <v>X</v>
      </c>
      <c r="E1156" t="s">
        <v>6729</v>
      </c>
      <c r="F1156" t="s">
        <v>6730</v>
      </c>
      <c r="G1156" t="s">
        <v>306</v>
      </c>
      <c r="H1156" t="s">
        <v>6733</v>
      </c>
      <c r="I1156" t="s">
        <v>2106</v>
      </c>
      <c r="J1156" t="str">
        <f>IF(0 = IFERROR(VLOOKUP(DBL_FullList!I1156, ContactsDbl!B:D, 2, FALSE), ""), "", IFERROR(VLOOKUP(DBL_FullList!I1156, ContactsDbl!B:D, 2, FALSE), ""))</f>
        <v>info@biblesociety-tanzania.org</v>
      </c>
      <c r="K1156" t="str">
        <f>IF(0 = IFERROR(VLOOKUP(DBL_FullList!I1156,ContactsDbl!B:D, 3, FALSE), ""), "", IFERROR(VLOOKUP(DBL_FullList!I1156, ContactsDbl!B:D, 3, FALSE), ""))</f>
        <v>http://biblesociety-tanzania.org/</v>
      </c>
      <c r="L1156">
        <f t="shared" si="37"/>
        <v>2</v>
      </c>
    </row>
    <row r="1157" spans="1:12" x14ac:dyDescent="0.25">
      <c r="A1157" t="s">
        <v>6734</v>
      </c>
      <c r="B1157" t="str">
        <f>IF(ISERROR(VLOOKUP(F1157,STEP!A:A, 1, FALSE)), "N", "Y")</f>
        <v>N</v>
      </c>
      <c r="C1157" t="str">
        <f>IF(ISERROR(VLOOKUP(E1157, BibleInEveryLanguageTexts!A:A, 1, FALSE)), "N", "Y")</f>
        <v>N</v>
      </c>
      <c r="D1157" t="str">
        <f t="shared" si="36"/>
        <v>X</v>
      </c>
      <c r="E1157" t="s">
        <v>6735</v>
      </c>
      <c r="F1157" t="s">
        <v>6736</v>
      </c>
      <c r="G1157" t="s">
        <v>2997</v>
      </c>
      <c r="H1157" t="s">
        <v>6737</v>
      </c>
      <c r="I1157" t="s">
        <v>2248</v>
      </c>
      <c r="J1157" t="str">
        <f>IF(0 = IFERROR(VLOOKUP(DBL_FullList!I1157, ContactsDbl!B:D, 2, FALSE), ""), "", IFERROR(VLOOKUP(DBL_FullList!I1157, ContactsDbl!B:D, 2, FALSE), ""))</f>
        <v>dokurugu@biblesociety-ghana.org</v>
      </c>
      <c r="K1157" t="str">
        <f>IF(0 = IFERROR(VLOOKUP(DBL_FullList!I1157,ContactsDbl!B:D, 3, FALSE), ""), "", IFERROR(VLOOKUP(DBL_FullList!I1157, ContactsDbl!B:D, 3, FALSE), ""))</f>
        <v>http://www.biblesociety-ghana.org/</v>
      </c>
      <c r="L1157">
        <f t="shared" si="37"/>
        <v>2</v>
      </c>
    </row>
    <row r="1158" spans="1:12" x14ac:dyDescent="0.25">
      <c r="A1158" t="s">
        <v>6738</v>
      </c>
      <c r="B1158" t="str">
        <f>IF(ISERROR(VLOOKUP(F1158,STEP!A:A, 1, FALSE)), "N", "Y")</f>
        <v>N</v>
      </c>
      <c r="C1158" t="str">
        <f>IF(ISERROR(VLOOKUP(E1158, BibleInEveryLanguageTexts!A:A, 1, FALSE)), "N", "Y")</f>
        <v>N</v>
      </c>
      <c r="D1158" t="str">
        <f t="shared" si="36"/>
        <v>X</v>
      </c>
      <c r="E1158" t="s">
        <v>6739</v>
      </c>
      <c r="F1158" t="s">
        <v>6740</v>
      </c>
      <c r="G1158" t="s">
        <v>2833</v>
      </c>
      <c r="H1158" t="s">
        <v>6741</v>
      </c>
      <c r="I1158" t="s">
        <v>2647</v>
      </c>
      <c r="J1158" t="str">
        <f>IF(0 = IFERROR(VLOOKUP(DBL_FullList!I1158, ContactsDbl!B:D, 2, FALSE), ""), "", IFERROR(VLOOKUP(DBL_FullList!I1158, ContactsDbl!B:D, 2, FALSE), ""))</f>
        <v>info@biblesociety-uganda.org</v>
      </c>
      <c r="K1158" t="str">
        <f>IF(0 = IFERROR(VLOOKUP(DBL_FullList!I1158,ContactsDbl!B:D, 3, FALSE), ""), "", IFERROR(VLOOKUP(DBL_FullList!I1158, ContactsDbl!B:D, 3, FALSE), ""))</f>
        <v>http://www.biblesociety-uganda.org/</v>
      </c>
      <c r="L1158">
        <f t="shared" si="37"/>
        <v>2</v>
      </c>
    </row>
    <row r="1159" spans="1:12" x14ac:dyDescent="0.25">
      <c r="A1159" t="s">
        <v>6742</v>
      </c>
      <c r="B1159" t="str">
        <f>IF(ISERROR(VLOOKUP(F1159,STEP!A:A, 1, FALSE)), "N", "Y")</f>
        <v>N</v>
      </c>
      <c r="C1159" t="str">
        <f>IF(ISERROR(VLOOKUP(E1159, BibleInEveryLanguageTexts!A:A, 1, FALSE)), "N", "Y")</f>
        <v>N</v>
      </c>
      <c r="D1159" t="str">
        <f t="shared" si="36"/>
        <v>X</v>
      </c>
      <c r="E1159" t="s">
        <v>6743</v>
      </c>
      <c r="F1159" t="s">
        <v>6744</v>
      </c>
      <c r="G1159" t="s">
        <v>2743</v>
      </c>
      <c r="H1159" t="s">
        <v>6745</v>
      </c>
      <c r="I1159" t="s">
        <v>2465</v>
      </c>
      <c r="J1159" t="str">
        <f>IF(0 = IFERROR(VLOOKUP(DBL_FullList!I1159, ContactsDbl!B:D, 2, FALSE), ""), "", IFERROR(VLOOKUP(DBL_FullList!I1159, ContactsDbl!B:D, 2, FALSE), ""))</f>
        <v>heidi_rosendall@sil.org</v>
      </c>
      <c r="K1159" t="str">
        <f>IF(0 = IFERROR(VLOOKUP(DBL_FullList!I1159,ContactsDbl!B:D, 3, FALSE), ""), "", IFERROR(VLOOKUP(DBL_FullList!I1159, ContactsDbl!B:D, 3, FALSE), ""))</f>
        <v>http://wycliffe.net</v>
      </c>
      <c r="L1159">
        <f t="shared" si="37"/>
        <v>2</v>
      </c>
    </row>
    <row r="1160" spans="1:12" x14ac:dyDescent="0.25">
      <c r="A1160" t="s">
        <v>6746</v>
      </c>
      <c r="B1160" t="str">
        <f>IF(ISERROR(VLOOKUP(F1160,STEP!A:A, 1, FALSE)), "N", "Y")</f>
        <v>N</v>
      </c>
      <c r="C1160" t="str">
        <f>IF(ISERROR(VLOOKUP(E1160, BibleInEveryLanguageTexts!A:A, 1, FALSE)), "N", "Y")</f>
        <v>N</v>
      </c>
      <c r="D1160" t="str">
        <f t="shared" si="36"/>
        <v>X</v>
      </c>
      <c r="E1160" t="s">
        <v>6747</v>
      </c>
      <c r="F1160" t="s">
        <v>6748</v>
      </c>
      <c r="G1160" t="s">
        <v>11</v>
      </c>
      <c r="H1160" t="s">
        <v>6749</v>
      </c>
      <c r="I1160" t="s">
        <v>2661</v>
      </c>
      <c r="J1160" t="str">
        <f>IF(0 = IFERROR(VLOOKUP(DBL_FullList!I1160, ContactsDbl!B:D, 2, FALSE), ""), "", IFERROR(VLOOKUP(DBL_FullList!I1160, ContactsDbl!B:D, 2, FALSE), ""))</f>
        <v>dbladmin_intl@sil.org</v>
      </c>
      <c r="K1160" t="str">
        <f>IF(0 = IFERROR(VLOOKUP(DBL_FullList!I1160,ContactsDbl!B:D, 3, FALSE), ""), "", IFERROR(VLOOKUP(DBL_FullList!I1160, ContactsDbl!B:D, 3, FALSE), ""))</f>
        <v>http://www.wycliffe.org</v>
      </c>
      <c r="L1160">
        <f t="shared" si="37"/>
        <v>2</v>
      </c>
    </row>
    <row r="1161" spans="1:12" x14ac:dyDescent="0.25">
      <c r="A1161" t="s">
        <v>6750</v>
      </c>
      <c r="B1161" t="str">
        <f>IF(ISERROR(VLOOKUP(F1161,STEP!A:A, 1, FALSE)), "N", "Y")</f>
        <v>Y</v>
      </c>
      <c r="C1161" t="str">
        <f>IF(ISERROR(VLOOKUP(E1161, BibleInEveryLanguageTexts!A:A, 1, FALSE)), "N", "Y")</f>
        <v>N</v>
      </c>
      <c r="D1161" t="str">
        <f t="shared" si="36"/>
        <v/>
      </c>
      <c r="E1161" t="s">
        <v>4258</v>
      </c>
      <c r="F1161" t="s">
        <v>4259</v>
      </c>
      <c r="G1161" t="s">
        <v>27</v>
      </c>
      <c r="H1161" t="s">
        <v>6751</v>
      </c>
      <c r="I1161" t="s">
        <v>3104</v>
      </c>
      <c r="J1161" t="str">
        <f>IF(0 = IFERROR(VLOOKUP(DBL_FullList!I1161, ContactsDbl!B:D, 2, FALSE), ""), "", IFERROR(VLOOKUP(DBL_FullList!I1161, ContactsDbl!B:D, 2, FALSE), ""))</f>
        <v/>
      </c>
      <c r="K1161" t="str">
        <f>IF(0 = IFERROR(VLOOKUP(DBL_FullList!I1161,ContactsDbl!B:D, 3, FALSE), ""), "", IFERROR(VLOOKUP(DBL_FullList!I1161, ContactsDbl!B:D, 3, FALSE), ""))</f>
        <v/>
      </c>
      <c r="L1161">
        <f t="shared" si="37"/>
        <v>0</v>
      </c>
    </row>
    <row r="1162" spans="1:12" x14ac:dyDescent="0.25">
      <c r="A1162" t="s">
        <v>6752</v>
      </c>
      <c r="B1162" t="str">
        <f>IF(ISERROR(VLOOKUP(F1162,STEP!A:A, 1, FALSE)), "N", "Y")</f>
        <v>Y</v>
      </c>
      <c r="C1162" t="str">
        <f>IF(ISERROR(VLOOKUP(E1162, BibleInEveryLanguageTexts!A:A, 1, FALSE)), "N", "Y")</f>
        <v>N</v>
      </c>
      <c r="D1162" t="str">
        <f t="shared" si="36"/>
        <v/>
      </c>
      <c r="E1162" t="s">
        <v>4258</v>
      </c>
      <c r="F1162" t="s">
        <v>4259</v>
      </c>
      <c r="G1162" t="s">
        <v>27</v>
      </c>
      <c r="H1162" t="s">
        <v>6753</v>
      </c>
      <c r="I1162" t="s">
        <v>3104</v>
      </c>
      <c r="J1162" t="str">
        <f>IF(0 = IFERROR(VLOOKUP(DBL_FullList!I1162, ContactsDbl!B:D, 2, FALSE), ""), "", IFERROR(VLOOKUP(DBL_FullList!I1162, ContactsDbl!B:D, 2, FALSE), ""))</f>
        <v/>
      </c>
      <c r="K1162" t="str">
        <f>IF(0 = IFERROR(VLOOKUP(DBL_FullList!I1162,ContactsDbl!B:D, 3, FALSE), ""), "", IFERROR(VLOOKUP(DBL_FullList!I1162, ContactsDbl!B:D, 3, FALSE), ""))</f>
        <v/>
      </c>
      <c r="L1162">
        <f t="shared" si="37"/>
        <v>0</v>
      </c>
    </row>
    <row r="1163" spans="1:12" x14ac:dyDescent="0.25">
      <c r="A1163" t="s">
        <v>6754</v>
      </c>
      <c r="B1163" t="str">
        <f>IF(ISERROR(VLOOKUP(F1163,STEP!A:A, 1, FALSE)), "N", "Y")</f>
        <v>N</v>
      </c>
      <c r="C1163" t="str">
        <f>IF(ISERROR(VLOOKUP(E1163, BibleInEveryLanguageTexts!A:A, 1, FALSE)), "N", "Y")</f>
        <v>N</v>
      </c>
      <c r="D1163" t="str">
        <f t="shared" si="36"/>
        <v>X</v>
      </c>
      <c r="E1163" t="s">
        <v>6371</v>
      </c>
      <c r="F1163" t="s">
        <v>6372</v>
      </c>
      <c r="G1163" t="s">
        <v>6373</v>
      </c>
      <c r="H1163" t="s">
        <v>6755</v>
      </c>
      <c r="I1163" t="s">
        <v>3104</v>
      </c>
      <c r="J1163" t="str">
        <f>IF(0 = IFERROR(VLOOKUP(DBL_FullList!I1163, ContactsDbl!B:D, 2, FALSE), ""), "", IFERROR(VLOOKUP(DBL_FullList!I1163, ContactsDbl!B:D, 2, FALSE), ""))</f>
        <v/>
      </c>
      <c r="K1163" t="str">
        <f>IF(0 = IFERROR(VLOOKUP(DBL_FullList!I1163,ContactsDbl!B:D, 3, FALSE), ""), "", IFERROR(VLOOKUP(DBL_FullList!I1163, ContactsDbl!B:D, 3, FALSE), ""))</f>
        <v/>
      </c>
      <c r="L1163">
        <f t="shared" si="37"/>
        <v>0</v>
      </c>
    </row>
    <row r="1164" spans="1:12" x14ac:dyDescent="0.25">
      <c r="A1164" t="s">
        <v>6756</v>
      </c>
      <c r="B1164" t="str">
        <f>IF(ISERROR(VLOOKUP(F1164,STEP!A:A, 1, FALSE)), "N", "Y")</f>
        <v>N</v>
      </c>
      <c r="C1164" t="str">
        <f>IF(ISERROR(VLOOKUP(E1164, BibleInEveryLanguageTexts!A:A, 1, FALSE)), "N", "Y")</f>
        <v>Y</v>
      </c>
      <c r="D1164" t="str">
        <f t="shared" si="36"/>
        <v/>
      </c>
      <c r="E1164" t="s">
        <v>12</v>
      </c>
      <c r="F1164" t="s">
        <v>10</v>
      </c>
      <c r="G1164" t="s">
        <v>11</v>
      </c>
      <c r="H1164" t="s">
        <v>6757</v>
      </c>
      <c r="I1164" t="s">
        <v>2632</v>
      </c>
      <c r="J1164" t="str">
        <f>IF(0 = IFERROR(VLOOKUP(DBL_FullList!I1164, ContactsDbl!B:D, 2, FALSE), ""), "", IFERROR(VLOOKUP(DBL_FullList!I1164, ContactsDbl!B:D, 2, FALSE), ""))</f>
        <v>TOV@TovRose.com</v>
      </c>
      <c r="K1164" t="str">
        <f>IF(0 = IFERROR(VLOOKUP(DBL_FullList!I1164,ContactsDbl!B:D, 3, FALSE), ""), "", IFERROR(VLOOKUP(DBL_FullList!I1164, ContactsDbl!B:D, 3, FALSE), ""))</f>
        <v>http://www.tovrose.com/</v>
      </c>
      <c r="L1164">
        <f t="shared" si="37"/>
        <v>2</v>
      </c>
    </row>
    <row r="1165" spans="1:12" x14ac:dyDescent="0.25">
      <c r="A1165" t="s">
        <v>6758</v>
      </c>
      <c r="B1165" t="str">
        <f>IF(ISERROR(VLOOKUP(F1165,STEP!A:A, 1, FALSE)), "N", "Y")</f>
        <v>N</v>
      </c>
      <c r="C1165" t="str">
        <f>IF(ISERROR(VLOOKUP(E1165, BibleInEveryLanguageTexts!A:A, 1, FALSE)), "N", "Y")</f>
        <v>Y</v>
      </c>
      <c r="D1165" t="str">
        <f t="shared" si="36"/>
        <v/>
      </c>
      <c r="E1165" t="s">
        <v>12</v>
      </c>
      <c r="F1165" t="s">
        <v>10</v>
      </c>
      <c r="G1165" t="s">
        <v>11</v>
      </c>
      <c r="H1165" t="s">
        <v>6759</v>
      </c>
      <c r="I1165" t="s">
        <v>2170</v>
      </c>
      <c r="J1165" t="str">
        <f>IF(0 = IFERROR(VLOOKUP(DBL_FullList!I1165, ContactsDbl!B:D, 2, FALSE), ""), "", IFERROR(VLOOKUP(DBL_FullList!I1165, ContactsDbl!B:D, 2, FALSE), ""))</f>
        <v>mark@mvhsolutions.com</v>
      </c>
      <c r="K1165" t="str">
        <f>IF(0 = IFERROR(VLOOKUP(DBL_FullList!I1165,ContactsDbl!B:D, 3, FALSE), ""), "", IFERROR(VLOOKUP(DBL_FullList!I1165, ContactsDbl!B:D, 3, FALSE), ""))</f>
        <v>http://www.thedigitalbiblelibrary.org/#</v>
      </c>
      <c r="L1165">
        <f t="shared" si="37"/>
        <v>2</v>
      </c>
    </row>
    <row r="1166" spans="1:12" x14ac:dyDescent="0.25">
      <c r="A1166" t="s">
        <v>6760</v>
      </c>
      <c r="B1166" t="str">
        <f>IF(ISERROR(VLOOKUP(F1166,STEP!A:A, 1, FALSE)), "N", "Y")</f>
        <v>N</v>
      </c>
      <c r="C1166" t="str">
        <f>IF(ISERROR(VLOOKUP(E1166, BibleInEveryLanguageTexts!A:A, 1, FALSE)), "N", "Y")</f>
        <v>N</v>
      </c>
      <c r="D1166" t="str">
        <f t="shared" si="36"/>
        <v>X</v>
      </c>
      <c r="E1166" t="s">
        <v>6761</v>
      </c>
      <c r="F1166" t="s">
        <v>6762</v>
      </c>
      <c r="G1166" t="s">
        <v>6722</v>
      </c>
      <c r="H1166" t="s">
        <v>6763</v>
      </c>
      <c r="I1166" t="s">
        <v>2661</v>
      </c>
      <c r="J1166" t="str">
        <f>IF(0 = IFERROR(VLOOKUP(DBL_FullList!I1166, ContactsDbl!B:D, 2, FALSE), ""), "", IFERROR(VLOOKUP(DBL_FullList!I1166, ContactsDbl!B:D, 2, FALSE), ""))</f>
        <v>dbladmin_intl@sil.org</v>
      </c>
      <c r="K1166" t="str">
        <f>IF(0 = IFERROR(VLOOKUP(DBL_FullList!I1166,ContactsDbl!B:D, 3, FALSE), ""), "", IFERROR(VLOOKUP(DBL_FullList!I1166, ContactsDbl!B:D, 3, FALSE), ""))</f>
        <v>http://www.wycliffe.org</v>
      </c>
      <c r="L1166">
        <f t="shared" si="37"/>
        <v>2</v>
      </c>
    </row>
    <row r="1167" spans="1:12" x14ac:dyDescent="0.25">
      <c r="A1167" t="s">
        <v>6764</v>
      </c>
      <c r="B1167" t="str">
        <f>IF(ISERROR(VLOOKUP(F1167,STEP!A:A, 1, FALSE)), "N", "Y")</f>
        <v>N</v>
      </c>
      <c r="C1167" t="str">
        <f>IF(ISERROR(VLOOKUP(E1167, BibleInEveryLanguageTexts!A:A, 1, FALSE)), "N", "Y")</f>
        <v>N</v>
      </c>
      <c r="D1167" t="str">
        <f t="shared" si="36"/>
        <v>X</v>
      </c>
      <c r="E1167" t="s">
        <v>4903</v>
      </c>
      <c r="F1167" t="s">
        <v>4904</v>
      </c>
      <c r="G1167" t="s">
        <v>2997</v>
      </c>
      <c r="H1167" t="s">
        <v>6765</v>
      </c>
      <c r="I1167" t="s">
        <v>2248</v>
      </c>
      <c r="J1167" t="str">
        <f>IF(0 = IFERROR(VLOOKUP(DBL_FullList!I1167, ContactsDbl!B:D, 2, FALSE), ""), "", IFERROR(VLOOKUP(DBL_FullList!I1167, ContactsDbl!B:D, 2, FALSE), ""))</f>
        <v>dokurugu@biblesociety-ghana.org</v>
      </c>
      <c r="K1167" t="str">
        <f>IF(0 = IFERROR(VLOOKUP(DBL_FullList!I1167,ContactsDbl!B:D, 3, FALSE), ""), "", IFERROR(VLOOKUP(DBL_FullList!I1167, ContactsDbl!B:D, 3, FALSE), ""))</f>
        <v>http://www.biblesociety-ghana.org/</v>
      </c>
      <c r="L1167">
        <f t="shared" si="37"/>
        <v>2</v>
      </c>
    </row>
    <row r="1168" spans="1:12" x14ac:dyDescent="0.25">
      <c r="A1168" t="s">
        <v>6766</v>
      </c>
      <c r="B1168" t="str">
        <f>IF(ISERROR(VLOOKUP(F1168,STEP!A:A, 1, FALSE)), "N", "Y")</f>
        <v>N</v>
      </c>
      <c r="C1168" t="str">
        <f>IF(ISERROR(VLOOKUP(E1168, BibleInEveryLanguageTexts!A:A, 1, FALSE)), "N", "Y")</f>
        <v>N</v>
      </c>
      <c r="D1168" t="str">
        <f t="shared" si="36"/>
        <v>X</v>
      </c>
      <c r="E1168" t="s">
        <v>3320</v>
      </c>
      <c r="F1168" t="s">
        <v>3321</v>
      </c>
      <c r="G1168" t="s">
        <v>6767</v>
      </c>
      <c r="H1168" t="s">
        <v>6768</v>
      </c>
      <c r="I1168" t="s">
        <v>3104</v>
      </c>
      <c r="J1168" t="str">
        <f>IF(0 = IFERROR(VLOOKUP(DBL_FullList!I1168, ContactsDbl!B:D, 2, FALSE), ""), "", IFERROR(VLOOKUP(DBL_FullList!I1168, ContactsDbl!B:D, 2, FALSE), ""))</f>
        <v/>
      </c>
      <c r="K1168" t="str">
        <f>IF(0 = IFERROR(VLOOKUP(DBL_FullList!I1168,ContactsDbl!B:D, 3, FALSE), ""), "", IFERROR(VLOOKUP(DBL_FullList!I1168, ContactsDbl!B:D, 3, FALSE), ""))</f>
        <v/>
      </c>
      <c r="L1168">
        <f t="shared" si="37"/>
        <v>0</v>
      </c>
    </row>
    <row r="1169" spans="1:12" x14ac:dyDescent="0.25">
      <c r="A1169" t="s">
        <v>6769</v>
      </c>
      <c r="B1169" t="str">
        <f>IF(ISERROR(VLOOKUP(F1169,STEP!A:A, 1, FALSE)), "N", "Y")</f>
        <v>N</v>
      </c>
      <c r="C1169" t="str">
        <f>IF(ISERROR(VLOOKUP(E1169, BibleInEveryLanguageTexts!A:A, 1, FALSE)), "N", "Y")</f>
        <v>N</v>
      </c>
      <c r="D1169" t="str">
        <f t="shared" si="36"/>
        <v>X</v>
      </c>
      <c r="E1169" t="s">
        <v>6770</v>
      </c>
      <c r="F1169" t="s">
        <v>6771</v>
      </c>
      <c r="G1169" t="s">
        <v>4961</v>
      </c>
      <c r="H1169" t="s">
        <v>6772</v>
      </c>
      <c r="I1169" t="s">
        <v>2661</v>
      </c>
      <c r="J1169" t="str">
        <f>IF(0 = IFERROR(VLOOKUP(DBL_FullList!I1169, ContactsDbl!B:D, 2, FALSE), ""), "", IFERROR(VLOOKUP(DBL_FullList!I1169, ContactsDbl!B:D, 2, FALSE), ""))</f>
        <v>dbladmin_intl@sil.org</v>
      </c>
      <c r="K1169" t="str">
        <f>IF(0 = IFERROR(VLOOKUP(DBL_FullList!I1169,ContactsDbl!B:D, 3, FALSE), ""), "", IFERROR(VLOOKUP(DBL_FullList!I1169, ContactsDbl!B:D, 3, FALSE), ""))</f>
        <v>http://www.wycliffe.org</v>
      </c>
      <c r="L1169">
        <f t="shared" si="37"/>
        <v>2</v>
      </c>
    </row>
    <row r="1170" spans="1:12" x14ac:dyDescent="0.25">
      <c r="A1170" t="s">
        <v>6773</v>
      </c>
      <c r="B1170" t="str">
        <f>IF(ISERROR(VLOOKUP(F1170,STEP!A:A, 1, FALSE)), "N", "Y")</f>
        <v>N</v>
      </c>
      <c r="C1170" t="str">
        <f>IF(ISERROR(VLOOKUP(E1170, BibleInEveryLanguageTexts!A:A, 1, FALSE)), "N", "Y")</f>
        <v>N</v>
      </c>
      <c r="D1170" t="str">
        <f t="shared" si="36"/>
        <v>X</v>
      </c>
      <c r="E1170" t="s">
        <v>3481</v>
      </c>
      <c r="F1170" t="s">
        <v>3482</v>
      </c>
      <c r="G1170" t="s">
        <v>3133</v>
      </c>
      <c r="H1170" t="s">
        <v>6774</v>
      </c>
      <c r="I1170" t="s">
        <v>2661</v>
      </c>
      <c r="J1170" t="str">
        <f>IF(0 = IFERROR(VLOOKUP(DBL_FullList!I1170, ContactsDbl!B:D, 2, FALSE), ""), "", IFERROR(VLOOKUP(DBL_FullList!I1170, ContactsDbl!B:D, 2, FALSE), ""))</f>
        <v>dbladmin_intl@sil.org</v>
      </c>
      <c r="K1170" t="str">
        <f>IF(0 = IFERROR(VLOOKUP(DBL_FullList!I1170,ContactsDbl!B:D, 3, FALSE), ""), "", IFERROR(VLOOKUP(DBL_FullList!I1170, ContactsDbl!B:D, 3, FALSE), ""))</f>
        <v>http://www.wycliffe.org</v>
      </c>
      <c r="L1170">
        <f t="shared" si="37"/>
        <v>2</v>
      </c>
    </row>
    <row r="1171" spans="1:12" x14ac:dyDescent="0.25">
      <c r="A1171" t="s">
        <v>6775</v>
      </c>
      <c r="B1171" t="str">
        <f>IF(ISERROR(VLOOKUP(F1171,STEP!A:A, 1, FALSE)), "N", "Y")</f>
        <v>N</v>
      </c>
      <c r="C1171" t="str">
        <f>IF(ISERROR(VLOOKUP(E1171, BibleInEveryLanguageTexts!A:A, 1, FALSE)), "N", "Y")</f>
        <v>N</v>
      </c>
      <c r="D1171" t="str">
        <f t="shared" si="36"/>
        <v>X</v>
      </c>
      <c r="E1171" t="s">
        <v>6776</v>
      </c>
      <c r="F1171" t="s">
        <v>6777</v>
      </c>
      <c r="G1171" t="s">
        <v>2858</v>
      </c>
      <c r="H1171" t="s">
        <v>6778</v>
      </c>
      <c r="I1171" t="s">
        <v>2505</v>
      </c>
      <c r="J1171" t="str">
        <f>IF(0 = IFERROR(VLOOKUP(DBL_FullList!I1171, ContactsDbl!B:D, 2, FALSE), ""), "", IFERROR(VLOOKUP(DBL_FullList!I1171, ContactsDbl!B:D, 2, FALSE), ""))</f>
        <v/>
      </c>
      <c r="K1171" t="str">
        <f>IF(0 = IFERROR(VLOOKUP(DBL_FullList!I1171,ContactsDbl!B:D, 3, FALSE), ""), "", IFERROR(VLOOKUP(DBL_FullList!I1171, ContactsDbl!B:D, 3, FALSE), ""))</f>
        <v>http://www.bible.org.ph/</v>
      </c>
      <c r="L1171">
        <f t="shared" si="37"/>
        <v>1</v>
      </c>
    </row>
    <row r="1172" spans="1:12" x14ac:dyDescent="0.25">
      <c r="A1172" t="s">
        <v>6779</v>
      </c>
      <c r="B1172" t="str">
        <f>IF(ISERROR(VLOOKUP(F1172,STEP!A:A, 1, FALSE)), "N", "Y")</f>
        <v>N</v>
      </c>
      <c r="C1172" t="str">
        <f>IF(ISERROR(VLOOKUP(E1172, BibleInEveryLanguageTexts!A:A, 1, FALSE)), "N", "Y")</f>
        <v>N</v>
      </c>
      <c r="D1172" t="str">
        <f t="shared" si="36"/>
        <v>X</v>
      </c>
      <c r="E1172" t="s">
        <v>6780</v>
      </c>
      <c r="F1172" t="s">
        <v>6781</v>
      </c>
      <c r="G1172" t="s">
        <v>2723</v>
      </c>
      <c r="H1172" t="s">
        <v>6782</v>
      </c>
      <c r="I1172" t="s">
        <v>2661</v>
      </c>
      <c r="J1172" t="str">
        <f>IF(0 = IFERROR(VLOOKUP(DBL_FullList!I1172, ContactsDbl!B:D, 2, FALSE), ""), "", IFERROR(VLOOKUP(DBL_FullList!I1172, ContactsDbl!B:D, 2, FALSE), ""))</f>
        <v>dbladmin_intl@sil.org</v>
      </c>
      <c r="K1172" t="str">
        <f>IF(0 = IFERROR(VLOOKUP(DBL_FullList!I1172,ContactsDbl!B:D, 3, FALSE), ""), "", IFERROR(VLOOKUP(DBL_FullList!I1172, ContactsDbl!B:D, 3, FALSE), ""))</f>
        <v>http://www.wycliffe.org</v>
      </c>
      <c r="L1172">
        <f t="shared" si="37"/>
        <v>2</v>
      </c>
    </row>
    <row r="1173" spans="1:12" x14ac:dyDescent="0.25">
      <c r="A1173" t="s">
        <v>6783</v>
      </c>
      <c r="B1173" t="str">
        <f>IF(ISERROR(VLOOKUP(F1173,STEP!A:A, 1, FALSE)), "N", "Y")</f>
        <v>N</v>
      </c>
      <c r="C1173" t="str">
        <f>IF(ISERROR(VLOOKUP(E1173, BibleInEveryLanguageTexts!A:A, 1, FALSE)), "N", "Y")</f>
        <v>N</v>
      </c>
      <c r="D1173" t="str">
        <f t="shared" si="36"/>
        <v>X</v>
      </c>
      <c r="E1173" t="s">
        <v>3088</v>
      </c>
      <c r="F1173" t="s">
        <v>3089</v>
      </c>
      <c r="G1173" t="s">
        <v>3090</v>
      </c>
      <c r="H1173" t="s">
        <v>6784</v>
      </c>
      <c r="I1173" t="s">
        <v>2222</v>
      </c>
      <c r="J1173" t="str">
        <f>IF(0 = IFERROR(VLOOKUP(DBL_FullList!I1173, ContactsDbl!B:D, 2, FALSE), ""), "", IFERROR(VLOOKUP(DBL_FullList!I1173, ContactsDbl!B:D, 2, FALSE), ""))</f>
        <v>info@piplia.fi</v>
      </c>
      <c r="K1173" t="str">
        <f>IF(0 = IFERROR(VLOOKUP(DBL_FullList!I1173,ContactsDbl!B:D, 3, FALSE), ""), "", IFERROR(VLOOKUP(DBL_FullList!I1173, ContactsDbl!B:D, 3, FALSE), ""))</f>
        <v>http://www.bible.fi/</v>
      </c>
      <c r="L1173">
        <f t="shared" si="37"/>
        <v>2</v>
      </c>
    </row>
    <row r="1174" spans="1:12" x14ac:dyDescent="0.25">
      <c r="A1174" t="s">
        <v>6785</v>
      </c>
      <c r="B1174" t="str">
        <f>IF(ISERROR(VLOOKUP(F1174,STEP!A:A, 1, FALSE)), "N", "Y")</f>
        <v>N</v>
      </c>
      <c r="C1174" t="str">
        <f>IF(ISERROR(VLOOKUP(E1174, BibleInEveryLanguageTexts!A:A, 1, FALSE)), "N", "Y")</f>
        <v>N</v>
      </c>
      <c r="D1174" t="str">
        <f t="shared" si="36"/>
        <v>X</v>
      </c>
      <c r="E1174" t="s">
        <v>517</v>
      </c>
      <c r="F1174" t="s">
        <v>515</v>
      </c>
      <c r="G1174" t="s">
        <v>516</v>
      </c>
      <c r="H1174" t="s">
        <v>6786</v>
      </c>
      <c r="I1174" t="s">
        <v>2519</v>
      </c>
      <c r="J1174" t="str">
        <f>IF(0 = IFERROR(VLOOKUP(DBL_FullList!I1174, ContactsDbl!B:D, 2, FALSE), ""), "", IFERROR(VLOOKUP(DBL_FullList!I1174, ContactsDbl!B:D, 2, FALSE), ""))</f>
        <v>gjjkarsten@jongbloed.com</v>
      </c>
      <c r="K1174" t="str">
        <f>IF(0 = IFERROR(VLOOKUP(DBL_FullList!I1174,ContactsDbl!B:D, 3, FALSE), ""), "", IFERROR(VLOOKUP(DBL_FullList!I1174, ContactsDbl!B:D, 3, FALSE), ""))</f>
        <v>http://www.royaljongbloed.com/</v>
      </c>
      <c r="L1174">
        <f t="shared" si="37"/>
        <v>2</v>
      </c>
    </row>
    <row r="1175" spans="1:12" x14ac:dyDescent="0.25">
      <c r="A1175" t="s">
        <v>6787</v>
      </c>
      <c r="B1175" t="str">
        <f>IF(ISERROR(VLOOKUP(F1175,STEP!A:A, 1, FALSE)), "N", "Y")</f>
        <v>N</v>
      </c>
      <c r="C1175" t="str">
        <f>IF(ISERROR(VLOOKUP(E1175, BibleInEveryLanguageTexts!A:A, 1, FALSE)), "N", "Y")</f>
        <v>N</v>
      </c>
      <c r="D1175" t="str">
        <f t="shared" si="36"/>
        <v>X</v>
      </c>
      <c r="E1175" t="s">
        <v>6788</v>
      </c>
      <c r="F1175" t="s">
        <v>6789</v>
      </c>
      <c r="G1175" t="s">
        <v>6790</v>
      </c>
      <c r="H1175" t="s">
        <v>6791</v>
      </c>
      <c r="I1175" t="s">
        <v>2668</v>
      </c>
      <c r="J1175" t="str">
        <f>IF(0 = IFERROR(VLOOKUP(DBL_FullList!I1175, ContactsDbl!B:D, 2, FALSE), ""), "", IFERROR(VLOOKUP(DBL_FullList!I1175, ContactsDbl!B:D, 2, FALSE), ""))</f>
        <v>biblehouse@biblesocietywi.org</v>
      </c>
      <c r="K1175" t="str">
        <f>IF(0 = IFERROR(VLOOKUP(DBL_FullList!I1175,ContactsDbl!B:D, 3, FALSE), ""), "", IFERROR(VLOOKUP(DBL_FullList!I1175, ContactsDbl!B:D, 3, FALSE), ""))</f>
        <v>http://www.biblesocietywi.com</v>
      </c>
      <c r="L1175">
        <f t="shared" si="37"/>
        <v>2</v>
      </c>
    </row>
    <row r="1176" spans="1:12" x14ac:dyDescent="0.25">
      <c r="A1176" t="s">
        <v>6792</v>
      </c>
      <c r="B1176" t="str">
        <f>IF(ISERROR(VLOOKUP(F1176,STEP!A:A, 1, FALSE)), "N", "Y")</f>
        <v>N</v>
      </c>
      <c r="C1176" t="str">
        <f>IF(ISERROR(VLOOKUP(E1176, BibleInEveryLanguageTexts!A:A, 1, FALSE)), "N", "Y")</f>
        <v>N</v>
      </c>
      <c r="D1176" t="str">
        <f t="shared" si="36"/>
        <v>X</v>
      </c>
      <c r="E1176" t="s">
        <v>3088</v>
      </c>
      <c r="F1176" t="s">
        <v>3089</v>
      </c>
      <c r="G1176" t="s">
        <v>3090</v>
      </c>
      <c r="H1176" t="s">
        <v>6793</v>
      </c>
      <c r="I1176" t="s">
        <v>2222</v>
      </c>
      <c r="J1176" t="str">
        <f>IF(0 = IFERROR(VLOOKUP(DBL_FullList!I1176, ContactsDbl!B:D, 2, FALSE), ""), "", IFERROR(VLOOKUP(DBL_FullList!I1176, ContactsDbl!B:D, 2, FALSE), ""))</f>
        <v>info@piplia.fi</v>
      </c>
      <c r="K1176" t="str">
        <f>IF(0 = IFERROR(VLOOKUP(DBL_FullList!I1176,ContactsDbl!B:D, 3, FALSE), ""), "", IFERROR(VLOOKUP(DBL_FullList!I1176, ContactsDbl!B:D, 3, FALSE), ""))</f>
        <v>http://www.bible.fi/</v>
      </c>
      <c r="L1176">
        <f t="shared" si="37"/>
        <v>2</v>
      </c>
    </row>
    <row r="1177" spans="1:12" x14ac:dyDescent="0.25">
      <c r="A1177" t="s">
        <v>6794</v>
      </c>
      <c r="B1177" t="str">
        <f>IF(ISERROR(VLOOKUP(F1177,STEP!A:A, 1, FALSE)), "N", "Y")</f>
        <v>N</v>
      </c>
      <c r="C1177" t="str">
        <f>IF(ISERROR(VLOOKUP(E1177, BibleInEveryLanguageTexts!A:A, 1, FALSE)), "N", "Y")</f>
        <v>N</v>
      </c>
      <c r="D1177" t="str">
        <f t="shared" si="36"/>
        <v>X</v>
      </c>
      <c r="E1177" t="s">
        <v>3088</v>
      </c>
      <c r="F1177" t="s">
        <v>3089</v>
      </c>
      <c r="G1177" t="s">
        <v>3090</v>
      </c>
      <c r="H1177" t="s">
        <v>6795</v>
      </c>
      <c r="I1177" t="s">
        <v>2222</v>
      </c>
      <c r="J1177" t="str">
        <f>IF(0 = IFERROR(VLOOKUP(DBL_FullList!I1177, ContactsDbl!B:D, 2, FALSE), ""), "", IFERROR(VLOOKUP(DBL_FullList!I1177, ContactsDbl!B:D, 2, FALSE), ""))</f>
        <v>info@piplia.fi</v>
      </c>
      <c r="K1177" t="str">
        <f>IF(0 = IFERROR(VLOOKUP(DBL_FullList!I1177,ContactsDbl!B:D, 3, FALSE), ""), "", IFERROR(VLOOKUP(DBL_FullList!I1177, ContactsDbl!B:D, 3, FALSE), ""))</f>
        <v>http://www.bible.fi/</v>
      </c>
      <c r="L1177">
        <f t="shared" si="37"/>
        <v>2</v>
      </c>
    </row>
    <row r="1178" spans="1:12" x14ac:dyDescent="0.25">
      <c r="A1178" t="s">
        <v>6796</v>
      </c>
      <c r="B1178" t="str">
        <f>IF(ISERROR(VLOOKUP(F1178,STEP!A:A, 1, FALSE)), "N", "Y")</f>
        <v>N</v>
      </c>
      <c r="C1178" t="str">
        <f>IF(ISERROR(VLOOKUP(E1178, BibleInEveryLanguageTexts!A:A, 1, FALSE)), "N", "Y")</f>
        <v>N</v>
      </c>
      <c r="D1178" t="str">
        <f t="shared" si="36"/>
        <v>X</v>
      </c>
      <c r="E1178" t="s">
        <v>517</v>
      </c>
      <c r="F1178" t="s">
        <v>515</v>
      </c>
      <c r="G1178" t="s">
        <v>516</v>
      </c>
      <c r="H1178" t="s">
        <v>6797</v>
      </c>
      <c r="I1178" t="s">
        <v>1997</v>
      </c>
      <c r="J1178" t="str">
        <f>IF(0 = IFERROR(VLOOKUP(DBL_FullList!I1178, ContactsDbl!B:D, 2, FALSE), ""), "", IFERROR(VLOOKUP(DBL_FullList!I1178, ContactsDbl!B:D, 2, FALSE), ""))</f>
        <v>Lee.Harris@biblica.com</v>
      </c>
      <c r="K1178" t="str">
        <f>IF(0 = IFERROR(VLOOKUP(DBL_FullList!I1178,ContactsDbl!B:D, 3, FALSE), ""), "", IFERROR(VLOOKUP(DBL_FullList!I1178, ContactsDbl!B:D, 3, FALSE), ""))</f>
        <v>http://www.Biblica.com</v>
      </c>
      <c r="L1178">
        <f t="shared" si="37"/>
        <v>2</v>
      </c>
    </row>
    <row r="1179" spans="1:12" x14ac:dyDescent="0.25">
      <c r="A1179" t="s">
        <v>6798</v>
      </c>
      <c r="B1179" t="str">
        <f>IF(ISERROR(VLOOKUP(F1179,STEP!A:A, 1, FALSE)), "N", "Y")</f>
        <v>N</v>
      </c>
      <c r="C1179" t="str">
        <f>IF(ISERROR(VLOOKUP(E1179, BibleInEveryLanguageTexts!A:A, 1, FALSE)), "N", "Y")</f>
        <v>N</v>
      </c>
      <c r="D1179" t="str">
        <f t="shared" si="36"/>
        <v>X</v>
      </c>
      <c r="E1179" t="s">
        <v>6799</v>
      </c>
      <c r="F1179" t="s">
        <v>6800</v>
      </c>
      <c r="G1179" t="s">
        <v>2947</v>
      </c>
      <c r="H1179" t="s">
        <v>6801</v>
      </c>
      <c r="I1179" t="s">
        <v>2661</v>
      </c>
      <c r="J1179" t="str">
        <f>IF(0 = IFERROR(VLOOKUP(DBL_FullList!I1179, ContactsDbl!B:D, 2, FALSE), ""), "", IFERROR(VLOOKUP(DBL_FullList!I1179, ContactsDbl!B:D, 2, FALSE), ""))</f>
        <v>dbladmin_intl@sil.org</v>
      </c>
      <c r="K1179" t="str">
        <f>IF(0 = IFERROR(VLOOKUP(DBL_FullList!I1179,ContactsDbl!B:D, 3, FALSE), ""), "", IFERROR(VLOOKUP(DBL_FullList!I1179, ContactsDbl!B:D, 3, FALSE), ""))</f>
        <v>http://www.wycliffe.org</v>
      </c>
      <c r="L1179">
        <f t="shared" si="37"/>
        <v>2</v>
      </c>
    </row>
    <row r="1180" spans="1:12" x14ac:dyDescent="0.25">
      <c r="A1180" t="s">
        <v>324</v>
      </c>
      <c r="B1180" t="str">
        <f>IF(ISERROR(VLOOKUP(F1180,STEP!A:A, 1, FALSE)), "N", "Y")</f>
        <v>N</v>
      </c>
      <c r="C1180" t="str">
        <f>IF(ISERROR(VLOOKUP(E1180, BibleInEveryLanguageTexts!A:A, 1, FALSE)), "N", "Y")</f>
        <v>N</v>
      </c>
      <c r="D1180" t="str">
        <f t="shared" si="36"/>
        <v>X</v>
      </c>
      <c r="E1180" t="s">
        <v>5</v>
      </c>
      <c r="F1180" t="s">
        <v>3</v>
      </c>
      <c r="G1180" t="s">
        <v>20</v>
      </c>
      <c r="H1180" t="s">
        <v>322</v>
      </c>
      <c r="I1180" t="s">
        <v>1</v>
      </c>
      <c r="J1180" t="str">
        <f>IF(0 = IFERROR(VLOOKUP(DBL_FullList!I1180, ContactsDbl!B:D, 2, FALSE), ""), "", IFERROR(VLOOKUP(DBL_FullList!I1180, ContactsDbl!B:D, 2, FALSE), ""))</f>
        <v>sanskritbible.in@gmail.com</v>
      </c>
      <c r="K1180" t="str">
        <f>IF(0 = IFERROR(VLOOKUP(DBL_FullList!I1180,ContactsDbl!B:D, 3, FALSE), ""), "", IFERROR(VLOOKUP(DBL_FullList!I1180, ContactsDbl!B:D, 3, FALSE), ""))</f>
        <v>http://www.sanskritbible.in/</v>
      </c>
      <c r="L1180">
        <f t="shared" si="37"/>
        <v>2</v>
      </c>
    </row>
    <row r="1181" spans="1:12" x14ac:dyDescent="0.25">
      <c r="A1181" t="s">
        <v>408</v>
      </c>
      <c r="B1181" t="str">
        <f>IF(ISERROR(VLOOKUP(F1181,STEP!A:A, 1, FALSE)), "N", "Y")</f>
        <v>N</v>
      </c>
      <c r="C1181" t="str">
        <f>IF(ISERROR(VLOOKUP(E1181, BibleInEveryLanguageTexts!A:A, 1, FALSE)), "N", "Y")</f>
        <v>N</v>
      </c>
      <c r="D1181" t="str">
        <f t="shared" si="36"/>
        <v>X</v>
      </c>
      <c r="E1181" t="s">
        <v>5</v>
      </c>
      <c r="F1181" t="s">
        <v>3</v>
      </c>
      <c r="G1181" t="s">
        <v>20</v>
      </c>
      <c r="H1181" t="s">
        <v>407</v>
      </c>
      <c r="I1181" t="s">
        <v>1</v>
      </c>
      <c r="J1181" t="str">
        <f>IF(0 = IFERROR(VLOOKUP(DBL_FullList!I1181, ContactsDbl!B:D, 2, FALSE), ""), "", IFERROR(VLOOKUP(DBL_FullList!I1181, ContactsDbl!B:D, 2, FALSE), ""))</f>
        <v>sanskritbible.in@gmail.com</v>
      </c>
      <c r="K1181" t="str">
        <f>IF(0 = IFERROR(VLOOKUP(DBL_FullList!I1181,ContactsDbl!B:D, 3, FALSE), ""), "", IFERROR(VLOOKUP(DBL_FullList!I1181, ContactsDbl!B:D, 3, FALSE), ""))</f>
        <v>http://www.sanskritbible.in/</v>
      </c>
      <c r="L1181">
        <f t="shared" si="37"/>
        <v>2</v>
      </c>
    </row>
    <row r="1182" spans="1:12" x14ac:dyDescent="0.25">
      <c r="A1182" t="s">
        <v>338</v>
      </c>
      <c r="B1182" t="str">
        <f>IF(ISERROR(VLOOKUP(F1182,STEP!A:A, 1, FALSE)), "N", "Y")</f>
        <v>N</v>
      </c>
      <c r="C1182" t="str">
        <f>IF(ISERROR(VLOOKUP(E1182, BibleInEveryLanguageTexts!A:A, 1, FALSE)), "N", "Y")</f>
        <v>N</v>
      </c>
      <c r="D1182" t="str">
        <f t="shared" si="36"/>
        <v>X</v>
      </c>
      <c r="E1182" t="s">
        <v>5</v>
      </c>
      <c r="F1182" t="s">
        <v>3</v>
      </c>
      <c r="G1182" t="s">
        <v>20</v>
      </c>
      <c r="H1182" t="s">
        <v>336</v>
      </c>
      <c r="I1182" t="s">
        <v>1</v>
      </c>
      <c r="J1182" t="str">
        <f>IF(0 = IFERROR(VLOOKUP(DBL_FullList!I1182, ContactsDbl!B:D, 2, FALSE), ""), "", IFERROR(VLOOKUP(DBL_FullList!I1182, ContactsDbl!B:D, 2, FALSE), ""))</f>
        <v>sanskritbible.in@gmail.com</v>
      </c>
      <c r="K1182" t="str">
        <f>IF(0 = IFERROR(VLOOKUP(DBL_FullList!I1182,ContactsDbl!B:D, 3, FALSE), ""), "", IFERROR(VLOOKUP(DBL_FullList!I1182, ContactsDbl!B:D, 3, FALSE), ""))</f>
        <v>http://www.sanskritbible.in/</v>
      </c>
      <c r="L1182">
        <f t="shared" si="37"/>
        <v>2</v>
      </c>
    </row>
    <row r="1183" spans="1:12" x14ac:dyDescent="0.25">
      <c r="A1183" t="s">
        <v>151</v>
      </c>
      <c r="B1183" t="str">
        <f>IF(ISERROR(VLOOKUP(F1183,STEP!A:A, 1, FALSE)), "N", "Y")</f>
        <v>N</v>
      </c>
      <c r="C1183" t="str">
        <f>IF(ISERROR(VLOOKUP(E1183, BibleInEveryLanguageTexts!A:A, 1, FALSE)), "N", "Y")</f>
        <v>N</v>
      </c>
      <c r="D1183" t="str">
        <f t="shared" si="36"/>
        <v>X</v>
      </c>
      <c r="E1183" t="s">
        <v>5</v>
      </c>
      <c r="F1183" t="s">
        <v>3</v>
      </c>
      <c r="G1183" t="s">
        <v>20</v>
      </c>
      <c r="H1183" t="s">
        <v>149</v>
      </c>
      <c r="I1183" t="s">
        <v>1</v>
      </c>
      <c r="J1183" t="str">
        <f>IF(0 = IFERROR(VLOOKUP(DBL_FullList!I1183, ContactsDbl!B:D, 2, FALSE), ""), "", IFERROR(VLOOKUP(DBL_FullList!I1183, ContactsDbl!B:D, 2, FALSE), ""))</f>
        <v>sanskritbible.in@gmail.com</v>
      </c>
      <c r="K1183" t="str">
        <f>IF(0 = IFERROR(VLOOKUP(DBL_FullList!I1183,ContactsDbl!B:D, 3, FALSE), ""), "", IFERROR(VLOOKUP(DBL_FullList!I1183, ContactsDbl!B:D, 3, FALSE), ""))</f>
        <v>http://www.sanskritbible.in/</v>
      </c>
      <c r="L1183">
        <f t="shared" si="37"/>
        <v>2</v>
      </c>
    </row>
    <row r="1184" spans="1:12" x14ac:dyDescent="0.25">
      <c r="A1184" t="s">
        <v>512</v>
      </c>
      <c r="B1184" t="str">
        <f>IF(ISERROR(VLOOKUP(F1184,STEP!A:A, 1, FALSE)), "N", "Y")</f>
        <v>N</v>
      </c>
      <c r="C1184" t="str">
        <f>IF(ISERROR(VLOOKUP(E1184, BibleInEveryLanguageTexts!A:A, 1, FALSE)), "N", "Y")</f>
        <v>N</v>
      </c>
      <c r="D1184" t="str">
        <f t="shared" si="36"/>
        <v>X</v>
      </c>
      <c r="E1184" t="s">
        <v>5</v>
      </c>
      <c r="F1184" t="s">
        <v>3</v>
      </c>
      <c r="G1184" t="s">
        <v>20</v>
      </c>
      <c r="H1184" t="s">
        <v>510</v>
      </c>
      <c r="I1184" t="s">
        <v>1</v>
      </c>
      <c r="J1184" t="str">
        <f>IF(0 = IFERROR(VLOOKUP(DBL_FullList!I1184, ContactsDbl!B:D, 2, FALSE), ""), "", IFERROR(VLOOKUP(DBL_FullList!I1184, ContactsDbl!B:D, 2, FALSE), ""))</f>
        <v>sanskritbible.in@gmail.com</v>
      </c>
      <c r="K1184" t="str">
        <f>IF(0 = IFERROR(VLOOKUP(DBL_FullList!I1184,ContactsDbl!B:D, 3, FALSE), ""), "", IFERROR(VLOOKUP(DBL_FullList!I1184, ContactsDbl!B:D, 3, FALSE), ""))</f>
        <v>http://www.sanskritbible.in/</v>
      </c>
      <c r="L1184">
        <f t="shared" si="37"/>
        <v>2</v>
      </c>
    </row>
    <row r="1185" spans="1:12" x14ac:dyDescent="0.25">
      <c r="A1185" t="s">
        <v>63</v>
      </c>
      <c r="B1185" t="str">
        <f>IF(ISERROR(VLOOKUP(F1185,STEP!A:A, 1, FALSE)), "N", "Y")</f>
        <v>N</v>
      </c>
      <c r="C1185" t="str">
        <f>IF(ISERROR(VLOOKUP(E1185, BibleInEveryLanguageTexts!A:A, 1, FALSE)), "N", "Y")</f>
        <v>N</v>
      </c>
      <c r="D1185" t="str">
        <f t="shared" si="36"/>
        <v>X</v>
      </c>
      <c r="E1185" t="s">
        <v>5</v>
      </c>
      <c r="F1185" t="s">
        <v>3</v>
      </c>
      <c r="G1185" t="s">
        <v>20</v>
      </c>
      <c r="H1185" t="s">
        <v>61</v>
      </c>
      <c r="I1185" t="s">
        <v>1</v>
      </c>
      <c r="J1185" t="str">
        <f>IF(0 = IFERROR(VLOOKUP(DBL_FullList!I1185, ContactsDbl!B:D, 2, FALSE), ""), "", IFERROR(VLOOKUP(DBL_FullList!I1185, ContactsDbl!B:D, 2, FALSE), ""))</f>
        <v>sanskritbible.in@gmail.com</v>
      </c>
      <c r="K1185" t="str">
        <f>IF(0 = IFERROR(VLOOKUP(DBL_FullList!I1185,ContactsDbl!B:D, 3, FALSE), ""), "", IFERROR(VLOOKUP(DBL_FullList!I1185, ContactsDbl!B:D, 3, FALSE), ""))</f>
        <v>http://www.sanskritbible.in/</v>
      </c>
      <c r="L1185">
        <f t="shared" si="37"/>
        <v>2</v>
      </c>
    </row>
    <row r="1186" spans="1:12" x14ac:dyDescent="0.25">
      <c r="A1186" t="s">
        <v>431</v>
      </c>
      <c r="B1186" t="str">
        <f>IF(ISERROR(VLOOKUP(F1186,STEP!A:A, 1, FALSE)), "N", "Y")</f>
        <v>N</v>
      </c>
      <c r="C1186" t="str">
        <f>IF(ISERROR(VLOOKUP(E1186, BibleInEveryLanguageTexts!A:A, 1, FALSE)), "N", "Y")</f>
        <v>N</v>
      </c>
      <c r="D1186" t="str">
        <f t="shared" si="36"/>
        <v>X</v>
      </c>
      <c r="E1186" t="s">
        <v>5</v>
      </c>
      <c r="F1186" t="s">
        <v>3</v>
      </c>
      <c r="G1186" t="s">
        <v>20</v>
      </c>
      <c r="H1186" t="s">
        <v>429</v>
      </c>
      <c r="I1186" t="s">
        <v>1</v>
      </c>
      <c r="J1186" t="str">
        <f>IF(0 = IFERROR(VLOOKUP(DBL_FullList!I1186, ContactsDbl!B:D, 2, FALSE), ""), "", IFERROR(VLOOKUP(DBL_FullList!I1186, ContactsDbl!B:D, 2, FALSE), ""))</f>
        <v>sanskritbible.in@gmail.com</v>
      </c>
      <c r="K1186" t="str">
        <f>IF(0 = IFERROR(VLOOKUP(DBL_FullList!I1186,ContactsDbl!B:D, 3, FALSE), ""), "", IFERROR(VLOOKUP(DBL_FullList!I1186, ContactsDbl!B:D, 3, FALSE), ""))</f>
        <v>http://www.sanskritbible.in/</v>
      </c>
      <c r="L1186">
        <f t="shared" si="37"/>
        <v>2</v>
      </c>
    </row>
    <row r="1187" spans="1:12" x14ac:dyDescent="0.25">
      <c r="A1187" t="s">
        <v>310</v>
      </c>
      <c r="B1187" t="str">
        <f>IF(ISERROR(VLOOKUP(F1187,STEP!A:A, 1, FALSE)), "N", "Y")</f>
        <v>N</v>
      </c>
      <c r="C1187" t="str">
        <f>IF(ISERROR(VLOOKUP(E1187, BibleInEveryLanguageTexts!A:A, 1, FALSE)), "N", "Y")</f>
        <v>N</v>
      </c>
      <c r="D1187" t="str">
        <f t="shared" si="36"/>
        <v>X</v>
      </c>
      <c r="E1187" t="s">
        <v>5</v>
      </c>
      <c r="F1187" t="s">
        <v>3</v>
      </c>
      <c r="G1187" t="s">
        <v>20</v>
      </c>
      <c r="H1187" t="s">
        <v>308</v>
      </c>
      <c r="I1187" t="s">
        <v>1</v>
      </c>
      <c r="J1187" t="str">
        <f>IF(0 = IFERROR(VLOOKUP(DBL_FullList!I1187, ContactsDbl!B:D, 2, FALSE), ""), "", IFERROR(VLOOKUP(DBL_FullList!I1187, ContactsDbl!B:D, 2, FALSE), ""))</f>
        <v>sanskritbible.in@gmail.com</v>
      </c>
      <c r="K1187" t="str">
        <f>IF(0 = IFERROR(VLOOKUP(DBL_FullList!I1187,ContactsDbl!B:D, 3, FALSE), ""), "", IFERROR(VLOOKUP(DBL_FullList!I1187, ContactsDbl!B:D, 3, FALSE), ""))</f>
        <v>http://www.sanskritbible.in/</v>
      </c>
      <c r="L1187">
        <f t="shared" si="37"/>
        <v>2</v>
      </c>
    </row>
    <row r="1188" spans="1:12" x14ac:dyDescent="0.25">
      <c r="A1188" t="s">
        <v>288</v>
      </c>
      <c r="B1188" t="str">
        <f>IF(ISERROR(VLOOKUP(F1188,STEP!A:A, 1, FALSE)), "N", "Y")</f>
        <v>N</v>
      </c>
      <c r="C1188" t="str">
        <f>IF(ISERROR(VLOOKUP(E1188, BibleInEveryLanguageTexts!A:A, 1, FALSE)), "N", "Y")</f>
        <v>N</v>
      </c>
      <c r="D1188" t="str">
        <f t="shared" si="36"/>
        <v>X</v>
      </c>
      <c r="E1188" t="s">
        <v>5</v>
      </c>
      <c r="F1188" t="s">
        <v>3</v>
      </c>
      <c r="G1188" t="s">
        <v>20</v>
      </c>
      <c r="H1188" t="s">
        <v>286</v>
      </c>
      <c r="I1188" t="s">
        <v>1</v>
      </c>
      <c r="J1188" t="str">
        <f>IF(0 = IFERROR(VLOOKUP(DBL_FullList!I1188, ContactsDbl!B:D, 2, FALSE), ""), "", IFERROR(VLOOKUP(DBL_FullList!I1188, ContactsDbl!B:D, 2, FALSE), ""))</f>
        <v>sanskritbible.in@gmail.com</v>
      </c>
      <c r="K1188" t="str">
        <f>IF(0 = IFERROR(VLOOKUP(DBL_FullList!I1188,ContactsDbl!B:D, 3, FALSE), ""), "", IFERROR(VLOOKUP(DBL_FullList!I1188, ContactsDbl!B:D, 3, FALSE), ""))</f>
        <v>http://www.sanskritbible.in/</v>
      </c>
      <c r="L1188">
        <f t="shared" si="37"/>
        <v>2</v>
      </c>
    </row>
    <row r="1189" spans="1:12" x14ac:dyDescent="0.25">
      <c r="A1189" t="s">
        <v>285</v>
      </c>
      <c r="B1189" t="str">
        <f>IF(ISERROR(VLOOKUP(F1189,STEP!A:A, 1, FALSE)), "N", "Y")</f>
        <v>N</v>
      </c>
      <c r="C1189" t="str">
        <f>IF(ISERROR(VLOOKUP(E1189, BibleInEveryLanguageTexts!A:A, 1, FALSE)), "N", "Y")</f>
        <v>N</v>
      </c>
      <c r="D1189" t="str">
        <f t="shared" si="36"/>
        <v>X</v>
      </c>
      <c r="E1189" t="s">
        <v>5</v>
      </c>
      <c r="F1189" t="s">
        <v>3</v>
      </c>
      <c r="G1189" t="s">
        <v>284</v>
      </c>
      <c r="H1189" t="s">
        <v>282</v>
      </c>
      <c r="I1189" t="s">
        <v>1</v>
      </c>
      <c r="J1189" t="str">
        <f>IF(0 = IFERROR(VLOOKUP(DBL_FullList!I1189, ContactsDbl!B:D, 2, FALSE), ""), "", IFERROR(VLOOKUP(DBL_FullList!I1189, ContactsDbl!B:D, 2, FALSE), ""))</f>
        <v>sanskritbible.in@gmail.com</v>
      </c>
      <c r="K1189" t="str">
        <f>IF(0 = IFERROR(VLOOKUP(DBL_FullList!I1189,ContactsDbl!B:D, 3, FALSE), ""), "", IFERROR(VLOOKUP(DBL_FullList!I1189, ContactsDbl!B:D, 3, FALSE), ""))</f>
        <v>http://www.sanskritbible.in/</v>
      </c>
      <c r="L1189">
        <f t="shared" si="37"/>
        <v>2</v>
      </c>
    </row>
    <row r="1190" spans="1:12" x14ac:dyDescent="0.25">
      <c r="A1190" t="s">
        <v>60</v>
      </c>
      <c r="B1190" t="str">
        <f>IF(ISERROR(VLOOKUP(F1190,STEP!A:A, 1, FALSE)), "N", "Y")</f>
        <v>N</v>
      </c>
      <c r="C1190" t="str">
        <f>IF(ISERROR(VLOOKUP(E1190, BibleInEveryLanguageTexts!A:A, 1, FALSE)), "N", "Y")</f>
        <v>N</v>
      </c>
      <c r="D1190" t="str">
        <f t="shared" si="36"/>
        <v>X</v>
      </c>
      <c r="E1190" t="s">
        <v>5</v>
      </c>
      <c r="F1190" t="s">
        <v>3</v>
      </c>
      <c r="G1190" t="s">
        <v>20</v>
      </c>
      <c r="H1190" t="s">
        <v>58</v>
      </c>
      <c r="I1190" t="s">
        <v>1</v>
      </c>
      <c r="J1190" t="str">
        <f>IF(0 = IFERROR(VLOOKUP(DBL_FullList!I1190, ContactsDbl!B:D, 2, FALSE), ""), "", IFERROR(VLOOKUP(DBL_FullList!I1190, ContactsDbl!B:D, 2, FALSE), ""))</f>
        <v>sanskritbible.in@gmail.com</v>
      </c>
      <c r="K1190" t="str">
        <f>IF(0 = IFERROR(VLOOKUP(DBL_FullList!I1190,ContactsDbl!B:D, 3, FALSE), ""), "", IFERROR(VLOOKUP(DBL_FullList!I1190, ContactsDbl!B:D, 3, FALSE), ""))</f>
        <v>http://www.sanskritbible.in/</v>
      </c>
      <c r="L1190">
        <f t="shared" si="37"/>
        <v>2</v>
      </c>
    </row>
    <row r="1191" spans="1:12" x14ac:dyDescent="0.25">
      <c r="A1191" t="s">
        <v>242</v>
      </c>
      <c r="B1191" t="str">
        <f>IF(ISERROR(VLOOKUP(F1191,STEP!A:A, 1, FALSE)), "N", "Y")</f>
        <v>N</v>
      </c>
      <c r="C1191" t="str">
        <f>IF(ISERROR(VLOOKUP(E1191, BibleInEveryLanguageTexts!A:A, 1, FALSE)), "N", "Y")</f>
        <v>N</v>
      </c>
      <c r="D1191" t="str">
        <f t="shared" si="36"/>
        <v>X</v>
      </c>
      <c r="E1191" t="s">
        <v>5</v>
      </c>
      <c r="F1191" t="s">
        <v>3</v>
      </c>
      <c r="G1191" t="s">
        <v>20</v>
      </c>
      <c r="H1191" t="s">
        <v>240</v>
      </c>
      <c r="I1191" t="s">
        <v>1</v>
      </c>
      <c r="J1191" t="str">
        <f>IF(0 = IFERROR(VLOOKUP(DBL_FullList!I1191, ContactsDbl!B:D, 2, FALSE), ""), "", IFERROR(VLOOKUP(DBL_FullList!I1191, ContactsDbl!B:D, 2, FALSE), ""))</f>
        <v>sanskritbible.in@gmail.com</v>
      </c>
      <c r="K1191" t="str">
        <f>IF(0 = IFERROR(VLOOKUP(DBL_FullList!I1191,ContactsDbl!B:D, 3, FALSE), ""), "", IFERROR(VLOOKUP(DBL_FullList!I1191, ContactsDbl!B:D, 3, FALSE), ""))</f>
        <v>http://www.sanskritbible.in/</v>
      </c>
      <c r="L1191">
        <f t="shared" si="37"/>
        <v>2</v>
      </c>
    </row>
    <row r="1192" spans="1:12" x14ac:dyDescent="0.25">
      <c r="A1192" t="s">
        <v>40</v>
      </c>
      <c r="B1192" t="str">
        <f>IF(ISERROR(VLOOKUP(F1192,STEP!A:A, 1, FALSE)), "N", "Y")</f>
        <v>N</v>
      </c>
      <c r="C1192" t="str">
        <f>IF(ISERROR(VLOOKUP(E1192, BibleInEveryLanguageTexts!A:A, 1, FALSE)), "N", "Y")</f>
        <v>N</v>
      </c>
      <c r="D1192" t="str">
        <f t="shared" si="36"/>
        <v>X</v>
      </c>
      <c r="E1192" t="s">
        <v>5</v>
      </c>
      <c r="F1192" t="s">
        <v>3</v>
      </c>
      <c r="G1192" t="s">
        <v>20</v>
      </c>
      <c r="H1192" t="s">
        <v>38</v>
      </c>
      <c r="I1192" t="s">
        <v>1</v>
      </c>
      <c r="J1192" t="str">
        <f>IF(0 = IFERROR(VLOOKUP(DBL_FullList!I1192, ContactsDbl!B:D, 2, FALSE), ""), "", IFERROR(VLOOKUP(DBL_FullList!I1192, ContactsDbl!B:D, 2, FALSE), ""))</f>
        <v>sanskritbible.in@gmail.com</v>
      </c>
      <c r="K1192" t="str">
        <f>IF(0 = IFERROR(VLOOKUP(DBL_FullList!I1192,ContactsDbl!B:D, 3, FALSE), ""), "", IFERROR(VLOOKUP(DBL_FullList!I1192, ContactsDbl!B:D, 3, FALSE), ""))</f>
        <v>http://www.sanskritbible.in/</v>
      </c>
      <c r="L1192">
        <f t="shared" si="37"/>
        <v>2</v>
      </c>
    </row>
    <row r="1193" spans="1:12" x14ac:dyDescent="0.25">
      <c r="A1193" t="s">
        <v>99</v>
      </c>
      <c r="B1193" t="str">
        <f>IF(ISERROR(VLOOKUP(F1193,STEP!A:A, 1, FALSE)), "N", "Y")</f>
        <v>N</v>
      </c>
      <c r="C1193" t="str">
        <f>IF(ISERROR(VLOOKUP(E1193, BibleInEveryLanguageTexts!A:A, 1, FALSE)), "N", "Y")</f>
        <v>N</v>
      </c>
      <c r="D1193" t="str">
        <f t="shared" si="36"/>
        <v>X</v>
      </c>
      <c r="E1193" t="s">
        <v>5</v>
      </c>
      <c r="F1193" t="s">
        <v>3</v>
      </c>
      <c r="G1193" t="s">
        <v>98</v>
      </c>
      <c r="H1193" t="s">
        <v>96</v>
      </c>
      <c r="I1193" t="s">
        <v>1</v>
      </c>
      <c r="J1193" t="str">
        <f>IF(0 = IFERROR(VLOOKUP(DBL_FullList!I1193, ContactsDbl!B:D, 2, FALSE), ""), "", IFERROR(VLOOKUP(DBL_FullList!I1193, ContactsDbl!B:D, 2, FALSE), ""))</f>
        <v>sanskritbible.in@gmail.com</v>
      </c>
      <c r="K1193" t="str">
        <f>IF(0 = IFERROR(VLOOKUP(DBL_FullList!I1193,ContactsDbl!B:D, 3, FALSE), ""), "", IFERROR(VLOOKUP(DBL_FullList!I1193, ContactsDbl!B:D, 3, FALSE), ""))</f>
        <v>http://www.sanskritbible.in/</v>
      </c>
      <c r="L1193">
        <f t="shared" si="37"/>
        <v>2</v>
      </c>
    </row>
    <row r="1194" spans="1:12" x14ac:dyDescent="0.25">
      <c r="A1194" t="s">
        <v>379</v>
      </c>
      <c r="B1194" t="str">
        <f>IF(ISERROR(VLOOKUP(F1194,STEP!A:A, 1, FALSE)), "N", "Y")</f>
        <v>N</v>
      </c>
      <c r="C1194" t="str">
        <f>IF(ISERROR(VLOOKUP(E1194, BibleInEveryLanguageTexts!A:A, 1, FALSE)), "N", "Y")</f>
        <v>N</v>
      </c>
      <c r="D1194" t="str">
        <f t="shared" si="36"/>
        <v>X</v>
      </c>
      <c r="E1194" t="s">
        <v>5</v>
      </c>
      <c r="F1194" t="s">
        <v>3</v>
      </c>
      <c r="G1194" t="s">
        <v>20</v>
      </c>
      <c r="H1194" t="s">
        <v>377</v>
      </c>
      <c r="I1194" t="s">
        <v>1</v>
      </c>
      <c r="J1194" t="str">
        <f>IF(0 = IFERROR(VLOOKUP(DBL_FullList!I1194, ContactsDbl!B:D, 2, FALSE), ""), "", IFERROR(VLOOKUP(DBL_FullList!I1194, ContactsDbl!B:D, 2, FALSE), ""))</f>
        <v>sanskritbible.in@gmail.com</v>
      </c>
      <c r="K1194" t="str">
        <f>IF(0 = IFERROR(VLOOKUP(DBL_FullList!I1194,ContactsDbl!B:D, 3, FALSE), ""), "", IFERROR(VLOOKUP(DBL_FullList!I1194, ContactsDbl!B:D, 3, FALSE), ""))</f>
        <v>http://www.sanskritbible.in/</v>
      </c>
      <c r="L1194">
        <f t="shared" si="37"/>
        <v>2</v>
      </c>
    </row>
    <row r="1195" spans="1:12" x14ac:dyDescent="0.25">
      <c r="A1195" t="s">
        <v>125</v>
      </c>
      <c r="B1195" t="str">
        <f>IF(ISERROR(VLOOKUP(F1195,STEP!A:A, 1, FALSE)), "N", "Y")</f>
        <v>N</v>
      </c>
      <c r="C1195" t="str">
        <f>IF(ISERROR(VLOOKUP(E1195, BibleInEveryLanguageTexts!A:A, 1, FALSE)), "N", "Y")</f>
        <v>N</v>
      </c>
      <c r="D1195" t="str">
        <f t="shared" si="36"/>
        <v>X</v>
      </c>
      <c r="E1195" t="s">
        <v>5</v>
      </c>
      <c r="F1195" t="s">
        <v>3</v>
      </c>
      <c r="G1195" t="s">
        <v>115</v>
      </c>
      <c r="H1195" t="s">
        <v>123</v>
      </c>
      <c r="I1195" t="s">
        <v>1</v>
      </c>
      <c r="J1195" t="str">
        <f>IF(0 = IFERROR(VLOOKUP(DBL_FullList!I1195, ContactsDbl!B:D, 2, FALSE), ""), "", IFERROR(VLOOKUP(DBL_FullList!I1195, ContactsDbl!B:D, 2, FALSE), ""))</f>
        <v>sanskritbible.in@gmail.com</v>
      </c>
      <c r="K1195" t="str">
        <f>IF(0 = IFERROR(VLOOKUP(DBL_FullList!I1195,ContactsDbl!B:D, 3, FALSE), ""), "", IFERROR(VLOOKUP(DBL_FullList!I1195, ContactsDbl!B:D, 3, FALSE), ""))</f>
        <v>http://www.sanskritbible.in/</v>
      </c>
      <c r="L1195">
        <f t="shared" si="37"/>
        <v>2</v>
      </c>
    </row>
    <row r="1196" spans="1:12" x14ac:dyDescent="0.25">
      <c r="A1196" t="s">
        <v>7</v>
      </c>
      <c r="B1196" t="str">
        <f>IF(ISERROR(VLOOKUP(F1196,STEP!A:A, 1, FALSE)), "N", "Y")</f>
        <v>N</v>
      </c>
      <c r="C1196" t="str">
        <f>IF(ISERROR(VLOOKUP(E1196, BibleInEveryLanguageTexts!A:A, 1, FALSE)), "N", "Y")</f>
        <v>N</v>
      </c>
      <c r="D1196" t="str">
        <f t="shared" si="36"/>
        <v>X</v>
      </c>
      <c r="E1196" t="s">
        <v>5</v>
      </c>
      <c r="F1196" t="s">
        <v>3</v>
      </c>
      <c r="G1196" t="s">
        <v>4</v>
      </c>
      <c r="H1196" t="s">
        <v>0</v>
      </c>
      <c r="I1196" t="s">
        <v>1</v>
      </c>
      <c r="J1196" t="str">
        <f>IF(0 = IFERROR(VLOOKUP(DBL_FullList!I1196, ContactsDbl!B:D, 2, FALSE), ""), "", IFERROR(VLOOKUP(DBL_FullList!I1196, ContactsDbl!B:D, 2, FALSE), ""))</f>
        <v>sanskritbible.in@gmail.com</v>
      </c>
      <c r="K1196" t="str">
        <f>IF(0 = IFERROR(VLOOKUP(DBL_FullList!I1196,ContactsDbl!B:D, 3, FALSE), ""), "", IFERROR(VLOOKUP(DBL_FullList!I1196, ContactsDbl!B:D, 3, FALSE), ""))</f>
        <v>http://www.sanskritbible.in/</v>
      </c>
      <c r="L1196">
        <f t="shared" si="37"/>
        <v>2</v>
      </c>
    </row>
    <row r="1197" spans="1:12" x14ac:dyDescent="0.25">
      <c r="A1197" t="s">
        <v>43</v>
      </c>
      <c r="B1197" t="str">
        <f>IF(ISERROR(VLOOKUP(F1197,STEP!A:A, 1, FALSE)), "N", "Y")</f>
        <v>N</v>
      </c>
      <c r="C1197" t="str">
        <f>IF(ISERROR(VLOOKUP(E1197, BibleInEveryLanguageTexts!A:A, 1, FALSE)), "N", "Y")</f>
        <v>N</v>
      </c>
      <c r="D1197" t="str">
        <f t="shared" si="36"/>
        <v>X</v>
      </c>
      <c r="E1197" t="s">
        <v>5</v>
      </c>
      <c r="F1197" t="s">
        <v>3</v>
      </c>
      <c r="G1197" t="s">
        <v>20</v>
      </c>
      <c r="H1197" t="s">
        <v>41</v>
      </c>
      <c r="I1197" t="s">
        <v>1</v>
      </c>
      <c r="J1197" t="str">
        <f>IF(0 = IFERROR(VLOOKUP(DBL_FullList!I1197, ContactsDbl!B:D, 2, FALSE), ""), "", IFERROR(VLOOKUP(DBL_FullList!I1197, ContactsDbl!B:D, 2, FALSE), ""))</f>
        <v>sanskritbible.in@gmail.com</v>
      </c>
      <c r="K1197" t="str">
        <f>IF(0 = IFERROR(VLOOKUP(DBL_FullList!I1197,ContactsDbl!B:D, 3, FALSE), ""), "", IFERROR(VLOOKUP(DBL_FullList!I1197, ContactsDbl!B:D, 3, FALSE), ""))</f>
        <v>http://www.sanskritbible.in/</v>
      </c>
      <c r="L1197">
        <f t="shared" si="37"/>
        <v>2</v>
      </c>
    </row>
    <row r="1198" spans="1:12" x14ac:dyDescent="0.25">
      <c r="A1198" t="s">
        <v>463</v>
      </c>
      <c r="B1198" t="str">
        <f>IF(ISERROR(VLOOKUP(F1198,STEP!A:A, 1, FALSE)), "N", "Y")</f>
        <v>N</v>
      </c>
      <c r="C1198" t="str">
        <f>IF(ISERROR(VLOOKUP(E1198, BibleInEveryLanguageTexts!A:A, 1, FALSE)), "N", "Y")</f>
        <v>N</v>
      </c>
      <c r="D1198" t="str">
        <f t="shared" si="36"/>
        <v>X</v>
      </c>
      <c r="E1198" t="s">
        <v>5</v>
      </c>
      <c r="F1198" t="s">
        <v>3</v>
      </c>
      <c r="G1198" t="s">
        <v>20</v>
      </c>
      <c r="H1198" t="s">
        <v>461</v>
      </c>
      <c r="I1198" t="s">
        <v>1</v>
      </c>
      <c r="J1198" t="str">
        <f>IF(0 = IFERROR(VLOOKUP(DBL_FullList!I1198, ContactsDbl!B:D, 2, FALSE), ""), "", IFERROR(VLOOKUP(DBL_FullList!I1198, ContactsDbl!B:D, 2, FALSE), ""))</f>
        <v>sanskritbible.in@gmail.com</v>
      </c>
      <c r="K1198" t="str">
        <f>IF(0 = IFERROR(VLOOKUP(DBL_FullList!I1198,ContactsDbl!B:D, 3, FALSE), ""), "", IFERROR(VLOOKUP(DBL_FullList!I1198, ContactsDbl!B:D, 3, FALSE), ""))</f>
        <v>http://www.sanskritbible.in/</v>
      </c>
      <c r="L1198">
        <f t="shared" si="37"/>
        <v>2</v>
      </c>
    </row>
    <row r="1199" spans="1:12" x14ac:dyDescent="0.25">
      <c r="A1199" t="s">
        <v>357</v>
      </c>
      <c r="B1199" t="str">
        <f>IF(ISERROR(VLOOKUP(F1199,STEP!A:A, 1, FALSE)), "N", "Y")</f>
        <v>N</v>
      </c>
      <c r="C1199" t="str">
        <f>IF(ISERROR(VLOOKUP(E1199, BibleInEveryLanguageTexts!A:A, 1, FALSE)), "N", "Y")</f>
        <v>N</v>
      </c>
      <c r="D1199" t="str">
        <f t="shared" si="36"/>
        <v>X</v>
      </c>
      <c r="E1199" t="s">
        <v>5</v>
      </c>
      <c r="F1199" t="s">
        <v>3</v>
      </c>
      <c r="G1199" t="s">
        <v>20</v>
      </c>
      <c r="H1199" t="s">
        <v>355</v>
      </c>
      <c r="I1199" t="s">
        <v>1</v>
      </c>
      <c r="J1199" t="str">
        <f>IF(0 = IFERROR(VLOOKUP(DBL_FullList!I1199, ContactsDbl!B:D, 2, FALSE), ""), "", IFERROR(VLOOKUP(DBL_FullList!I1199, ContactsDbl!B:D, 2, FALSE), ""))</f>
        <v>sanskritbible.in@gmail.com</v>
      </c>
      <c r="K1199" t="str">
        <f>IF(0 = IFERROR(VLOOKUP(DBL_FullList!I1199,ContactsDbl!B:D, 3, FALSE), ""), "", IFERROR(VLOOKUP(DBL_FullList!I1199, ContactsDbl!B:D, 3, FALSE), ""))</f>
        <v>http://www.sanskritbible.in/</v>
      </c>
      <c r="L1199">
        <f t="shared" si="37"/>
        <v>2</v>
      </c>
    </row>
    <row r="1200" spans="1:12" x14ac:dyDescent="0.25">
      <c r="A1200" t="s">
        <v>503</v>
      </c>
      <c r="B1200" t="str">
        <f>IF(ISERROR(VLOOKUP(F1200,STEP!A:A, 1, FALSE)), "N", "Y")</f>
        <v>N</v>
      </c>
      <c r="C1200" t="str">
        <f>IF(ISERROR(VLOOKUP(E1200, BibleInEveryLanguageTexts!A:A, 1, FALSE)), "N", "Y")</f>
        <v>N</v>
      </c>
      <c r="D1200" t="str">
        <f t="shared" si="36"/>
        <v>X</v>
      </c>
      <c r="E1200" t="s">
        <v>5</v>
      </c>
      <c r="F1200" t="s">
        <v>3</v>
      </c>
      <c r="G1200" t="s">
        <v>20</v>
      </c>
      <c r="H1200" t="s">
        <v>502</v>
      </c>
      <c r="I1200" t="s">
        <v>1</v>
      </c>
      <c r="J1200" t="str">
        <f>IF(0 = IFERROR(VLOOKUP(DBL_FullList!I1200, ContactsDbl!B:D, 2, FALSE), ""), "", IFERROR(VLOOKUP(DBL_FullList!I1200, ContactsDbl!B:D, 2, FALSE), ""))</f>
        <v>sanskritbible.in@gmail.com</v>
      </c>
      <c r="K1200" t="str">
        <f>IF(0 = IFERROR(VLOOKUP(DBL_FullList!I1200,ContactsDbl!B:D, 3, FALSE), ""), "", IFERROR(VLOOKUP(DBL_FullList!I1200, ContactsDbl!B:D, 3, FALSE), ""))</f>
        <v>http://www.sanskritbible.in/</v>
      </c>
      <c r="L1200">
        <f t="shared" si="37"/>
        <v>2</v>
      </c>
    </row>
    <row r="1201" spans="1:12" x14ac:dyDescent="0.25">
      <c r="A1201" t="s">
        <v>214</v>
      </c>
      <c r="B1201" t="str">
        <f>IF(ISERROR(VLOOKUP(F1201,STEP!A:A, 1, FALSE)), "N", "Y")</f>
        <v>N</v>
      </c>
      <c r="C1201" t="str">
        <f>IF(ISERROR(VLOOKUP(E1201, BibleInEveryLanguageTexts!A:A, 1, FALSE)), "N", "Y")</f>
        <v>N</v>
      </c>
      <c r="D1201" t="str">
        <f t="shared" si="36"/>
        <v>X</v>
      </c>
      <c r="E1201" t="s">
        <v>5</v>
      </c>
      <c r="F1201" t="s">
        <v>3</v>
      </c>
      <c r="G1201" t="s">
        <v>20</v>
      </c>
      <c r="H1201" t="s">
        <v>212</v>
      </c>
      <c r="I1201" t="s">
        <v>1</v>
      </c>
      <c r="J1201" t="str">
        <f>IF(0 = IFERROR(VLOOKUP(DBL_FullList!I1201, ContactsDbl!B:D, 2, FALSE), ""), "", IFERROR(VLOOKUP(DBL_FullList!I1201, ContactsDbl!B:D, 2, FALSE), ""))</f>
        <v>sanskritbible.in@gmail.com</v>
      </c>
      <c r="K1201" t="str">
        <f>IF(0 = IFERROR(VLOOKUP(DBL_FullList!I1201,ContactsDbl!B:D, 3, FALSE), ""), "", IFERROR(VLOOKUP(DBL_FullList!I1201, ContactsDbl!B:D, 3, FALSE), ""))</f>
        <v>http://www.sanskritbible.in/</v>
      </c>
      <c r="L1201">
        <f t="shared" si="37"/>
        <v>2</v>
      </c>
    </row>
    <row r="1202" spans="1:12" x14ac:dyDescent="0.25">
      <c r="A1202" t="s">
        <v>6802</v>
      </c>
      <c r="B1202" t="str">
        <f>IF(ISERROR(VLOOKUP(F1202,STEP!A:A, 1, FALSE)), "N", "Y")</f>
        <v>N</v>
      </c>
      <c r="C1202" t="str">
        <f>IF(ISERROR(VLOOKUP(E1202, BibleInEveryLanguageTexts!A:A, 1, FALSE)), "N", "Y")</f>
        <v>N</v>
      </c>
      <c r="D1202" t="str">
        <f t="shared" si="36"/>
        <v>X</v>
      </c>
      <c r="E1202" t="s">
        <v>6803</v>
      </c>
      <c r="F1202" t="s">
        <v>6804</v>
      </c>
      <c r="G1202" t="s">
        <v>198</v>
      </c>
      <c r="H1202" t="s">
        <v>6805</v>
      </c>
      <c r="I1202" t="s">
        <v>3104</v>
      </c>
      <c r="J1202" t="str">
        <f>IF(0 = IFERROR(VLOOKUP(DBL_FullList!I1202, ContactsDbl!B:D, 2, FALSE), ""), "", IFERROR(VLOOKUP(DBL_FullList!I1202, ContactsDbl!B:D, 2, FALSE), ""))</f>
        <v/>
      </c>
      <c r="K1202" t="str">
        <f>IF(0 = IFERROR(VLOOKUP(DBL_FullList!I1202,ContactsDbl!B:D, 3, FALSE), ""), "", IFERROR(VLOOKUP(DBL_FullList!I1202, ContactsDbl!B:D, 3, FALSE), ""))</f>
        <v/>
      </c>
      <c r="L1202">
        <f t="shared" si="37"/>
        <v>0</v>
      </c>
    </row>
    <row r="1203" spans="1:12" x14ac:dyDescent="0.25">
      <c r="A1203" t="s">
        <v>6806</v>
      </c>
      <c r="B1203" t="str">
        <f>IF(ISERROR(VLOOKUP(F1203,STEP!A:A, 1, FALSE)), "N", "Y")</f>
        <v>N</v>
      </c>
      <c r="C1203" t="str">
        <f>IF(ISERROR(VLOOKUP(E1203, BibleInEveryLanguageTexts!A:A, 1, FALSE)), "N", "Y")</f>
        <v>N</v>
      </c>
      <c r="D1203" t="str">
        <f t="shared" si="36"/>
        <v>X</v>
      </c>
      <c r="E1203" t="s">
        <v>6803</v>
      </c>
      <c r="F1203" t="s">
        <v>6804</v>
      </c>
      <c r="G1203" t="s">
        <v>198</v>
      </c>
      <c r="H1203" t="s">
        <v>6807</v>
      </c>
      <c r="I1203" t="s">
        <v>3104</v>
      </c>
      <c r="J1203" t="str">
        <f>IF(0 = IFERROR(VLOOKUP(DBL_FullList!I1203, ContactsDbl!B:D, 2, FALSE), ""), "", IFERROR(VLOOKUP(DBL_FullList!I1203, ContactsDbl!B:D, 2, FALSE), ""))</f>
        <v/>
      </c>
      <c r="K1203" t="str">
        <f>IF(0 = IFERROR(VLOOKUP(DBL_FullList!I1203,ContactsDbl!B:D, 3, FALSE), ""), "", IFERROR(VLOOKUP(DBL_FullList!I1203, ContactsDbl!B:D, 3, FALSE), ""))</f>
        <v/>
      </c>
      <c r="L1203">
        <f t="shared" si="37"/>
        <v>0</v>
      </c>
    </row>
    <row r="1204" spans="1:12" x14ac:dyDescent="0.25">
      <c r="A1204" t="s">
        <v>6808</v>
      </c>
      <c r="B1204" t="str">
        <f>IF(ISERROR(VLOOKUP(F1204,STEP!A:A, 1, FALSE)), "N", "Y")</f>
        <v>N</v>
      </c>
      <c r="C1204" t="str">
        <f>IF(ISERROR(VLOOKUP(E1204, BibleInEveryLanguageTexts!A:A, 1, FALSE)), "N", "Y")</f>
        <v>N</v>
      </c>
      <c r="D1204" t="str">
        <f t="shared" si="36"/>
        <v>X</v>
      </c>
      <c r="E1204" t="s">
        <v>1667</v>
      </c>
      <c r="F1204" t="s">
        <v>6809</v>
      </c>
      <c r="G1204" t="s">
        <v>5400</v>
      </c>
      <c r="H1204" t="s">
        <v>6810</v>
      </c>
      <c r="I1204" t="s">
        <v>2061</v>
      </c>
      <c r="J1204" t="str">
        <f>IF(0 = IFERROR(VLOOKUP(DBL_FullList!I1204, ContactsDbl!B:D, 2, FALSE), ""), "", IFERROR(VLOOKUP(DBL_FullList!I1204, ContactsDbl!B:D, 2, FALSE), ""))</f>
        <v>bsl@biblesociety.org.lb</v>
      </c>
      <c r="K1204" t="str">
        <f>IF(0 = IFERROR(VLOOKUP(DBL_FullList!I1204,ContactsDbl!B:D, 3, FALSE), ""), "", IFERROR(VLOOKUP(DBL_FullList!I1204, ContactsDbl!B:D, 3, FALSE), ""))</f>
        <v>http://www.biblesociety.org.lb/</v>
      </c>
      <c r="L1204">
        <f t="shared" si="37"/>
        <v>2</v>
      </c>
    </row>
    <row r="1205" spans="1:12" x14ac:dyDescent="0.25">
      <c r="A1205" t="s">
        <v>6811</v>
      </c>
      <c r="B1205" t="str">
        <f>IF(ISERROR(VLOOKUP(F1205,STEP!A:A, 1, FALSE)), "N", "Y")</f>
        <v>N</v>
      </c>
      <c r="C1205" t="str">
        <f>IF(ISERROR(VLOOKUP(E1205, BibleInEveryLanguageTexts!A:A, 1, FALSE)), "N", "Y")</f>
        <v>N</v>
      </c>
      <c r="D1205" t="str">
        <f t="shared" si="36"/>
        <v>X</v>
      </c>
      <c r="E1205" t="s">
        <v>6739</v>
      </c>
      <c r="F1205" t="s">
        <v>6740</v>
      </c>
      <c r="G1205" t="s">
        <v>2833</v>
      </c>
      <c r="H1205" t="s">
        <v>6812</v>
      </c>
      <c r="I1205" t="s">
        <v>2647</v>
      </c>
      <c r="J1205" t="str">
        <f>IF(0 = IFERROR(VLOOKUP(DBL_FullList!I1205, ContactsDbl!B:D, 2, FALSE), ""), "", IFERROR(VLOOKUP(DBL_FullList!I1205, ContactsDbl!B:D, 2, FALSE), ""))</f>
        <v>info@biblesociety-uganda.org</v>
      </c>
      <c r="K1205" t="str">
        <f>IF(0 = IFERROR(VLOOKUP(DBL_FullList!I1205,ContactsDbl!B:D, 3, FALSE), ""), "", IFERROR(VLOOKUP(DBL_FullList!I1205, ContactsDbl!B:D, 3, FALSE), ""))</f>
        <v>http://www.biblesociety-uganda.org/</v>
      </c>
      <c r="L1205">
        <f t="shared" si="37"/>
        <v>2</v>
      </c>
    </row>
    <row r="1206" spans="1:12" x14ac:dyDescent="0.25">
      <c r="A1206" t="s">
        <v>26</v>
      </c>
      <c r="B1206" t="str">
        <f>IF(ISERROR(VLOOKUP(F1206,STEP!A:A, 1, FALSE)), "N", "Y")</f>
        <v>N</v>
      </c>
      <c r="C1206" t="str">
        <f>IF(ISERROR(VLOOKUP(E1206, BibleInEveryLanguageTexts!A:A, 1, FALSE)), "N", "Y")</f>
        <v>Y</v>
      </c>
      <c r="D1206" t="str">
        <f t="shared" si="36"/>
        <v/>
      </c>
      <c r="E1206" t="s">
        <v>12</v>
      </c>
      <c r="F1206" t="s">
        <v>10</v>
      </c>
      <c r="G1206" t="s">
        <v>25</v>
      </c>
      <c r="H1206" t="s">
        <v>23</v>
      </c>
      <c r="I1206" t="s">
        <v>24</v>
      </c>
      <c r="J1206" t="str">
        <f>IF(0 = IFERROR(VLOOKUP(DBL_FullList!I1206, ContactsDbl!B:D, 2, FALSE), ""), "", IFERROR(VLOOKUP(DBL_FullList!I1206, ContactsDbl!B:D, 2, FALSE), ""))</f>
        <v>Michael@eBible.org</v>
      </c>
      <c r="K1206" t="str">
        <f>IF(0 = IFERROR(VLOOKUP(DBL_FullList!I1206,ContactsDbl!B:D, 3, FALSE), ""), "", IFERROR(VLOOKUP(DBL_FullList!I1206, ContactsDbl!B:D, 3, FALSE), ""))</f>
        <v>http://eBible.org</v>
      </c>
      <c r="L1206">
        <f t="shared" si="37"/>
        <v>2</v>
      </c>
    </row>
    <row r="1207" spans="1:12" x14ac:dyDescent="0.25">
      <c r="A1207" t="s">
        <v>6813</v>
      </c>
      <c r="B1207" t="str">
        <f>IF(ISERROR(VLOOKUP(F1207,STEP!A:A, 1, FALSE)), "N", "Y")</f>
        <v>N</v>
      </c>
      <c r="C1207" t="str">
        <f>IF(ISERROR(VLOOKUP(E1207, BibleInEveryLanguageTexts!A:A, 1, FALSE)), "N", "Y")</f>
        <v>N</v>
      </c>
      <c r="D1207" t="str">
        <f t="shared" si="36"/>
        <v>X</v>
      </c>
      <c r="E1207" t="s">
        <v>6814</v>
      </c>
      <c r="F1207" t="s">
        <v>6815</v>
      </c>
      <c r="G1207" t="s">
        <v>4050</v>
      </c>
      <c r="H1207" t="s">
        <v>6816</v>
      </c>
      <c r="I1207" t="s">
        <v>2661</v>
      </c>
      <c r="J1207" t="str">
        <f>IF(0 = IFERROR(VLOOKUP(DBL_FullList!I1207, ContactsDbl!B:D, 2, FALSE), ""), "", IFERROR(VLOOKUP(DBL_FullList!I1207, ContactsDbl!B:D, 2, FALSE), ""))</f>
        <v>dbladmin_intl@sil.org</v>
      </c>
      <c r="K1207" t="str">
        <f>IF(0 = IFERROR(VLOOKUP(DBL_FullList!I1207,ContactsDbl!B:D, 3, FALSE), ""), "", IFERROR(VLOOKUP(DBL_FullList!I1207, ContactsDbl!B:D, 3, FALSE), ""))</f>
        <v>http://www.wycliffe.org</v>
      </c>
      <c r="L1207">
        <f t="shared" si="37"/>
        <v>2</v>
      </c>
    </row>
    <row r="1208" spans="1:12" x14ac:dyDescent="0.25">
      <c r="A1208" t="s">
        <v>6817</v>
      </c>
      <c r="B1208" t="str">
        <f>IF(ISERROR(VLOOKUP(F1208,STEP!A:A, 1, FALSE)), "N", "Y")</f>
        <v>N</v>
      </c>
      <c r="C1208" t="str">
        <f>IF(ISERROR(VLOOKUP(E1208, BibleInEveryLanguageTexts!A:A, 1, FALSE)), "N", "Y")</f>
        <v>N</v>
      </c>
      <c r="D1208" t="str">
        <f t="shared" si="36"/>
        <v>X</v>
      </c>
      <c r="E1208" t="s">
        <v>6818</v>
      </c>
      <c r="F1208" t="s">
        <v>6819</v>
      </c>
      <c r="G1208" t="s">
        <v>4050</v>
      </c>
      <c r="H1208" t="s">
        <v>6820</v>
      </c>
      <c r="I1208" t="s">
        <v>2661</v>
      </c>
      <c r="J1208" t="str">
        <f>IF(0 = IFERROR(VLOOKUP(DBL_FullList!I1208, ContactsDbl!B:D, 2, FALSE), ""), "", IFERROR(VLOOKUP(DBL_FullList!I1208, ContactsDbl!B:D, 2, FALSE), ""))</f>
        <v>dbladmin_intl@sil.org</v>
      </c>
      <c r="K1208" t="str">
        <f>IF(0 = IFERROR(VLOOKUP(DBL_FullList!I1208,ContactsDbl!B:D, 3, FALSE), ""), "", IFERROR(VLOOKUP(DBL_FullList!I1208, ContactsDbl!B:D, 3, FALSE), ""))</f>
        <v>http://www.wycliffe.org</v>
      </c>
      <c r="L1208">
        <f t="shared" si="37"/>
        <v>2</v>
      </c>
    </row>
    <row r="1209" spans="1:12" x14ac:dyDescent="0.25">
      <c r="A1209" t="s">
        <v>6821</v>
      </c>
      <c r="B1209" t="str">
        <f>IF(ISERROR(VLOOKUP(F1209,STEP!A:A, 1, FALSE)), "N", "Y")</f>
        <v>N</v>
      </c>
      <c r="C1209" t="str">
        <f>IF(ISERROR(VLOOKUP(E1209, BibleInEveryLanguageTexts!A:A, 1, FALSE)), "N", "Y")</f>
        <v>N</v>
      </c>
      <c r="D1209" t="str">
        <f t="shared" si="36"/>
        <v>X</v>
      </c>
      <c r="E1209" t="s">
        <v>6822</v>
      </c>
      <c r="F1209" t="s">
        <v>6823</v>
      </c>
      <c r="G1209" t="s">
        <v>3418</v>
      </c>
      <c r="H1209" t="s">
        <v>6824</v>
      </c>
      <c r="I1209" t="s">
        <v>2226</v>
      </c>
      <c r="J1209" t="str">
        <f>IF(0 = IFERROR(VLOOKUP(DBL_FullList!I1209, ContactsDbl!B:D, 2, FALSE), ""), "", IFERROR(VLOOKUP(DBL_FullList!I1209, ContactsDbl!B:D, 2, FALSE), ""))</f>
        <v>alliance.biblique@sbf.fr</v>
      </c>
      <c r="K1209" t="str">
        <f>IF(0 = IFERROR(VLOOKUP(DBL_FullList!I1209,ContactsDbl!B:D, 3, FALSE), ""), "", IFERROR(VLOOKUP(DBL_FullList!I1209, ContactsDbl!B:D, 3, FALSE), ""))</f>
        <v>www.alliancebiblique.fr</v>
      </c>
      <c r="L1209">
        <f t="shared" si="37"/>
        <v>2</v>
      </c>
    </row>
    <row r="1210" spans="1:12" x14ac:dyDescent="0.25">
      <c r="A1210" t="s">
        <v>538</v>
      </c>
      <c r="B1210" t="str">
        <f>IF(ISERROR(VLOOKUP(F1210,STEP!A:A, 1, FALSE)), "N", "Y")</f>
        <v>N</v>
      </c>
      <c r="C1210" t="str">
        <f>IF(ISERROR(VLOOKUP(E1210, BibleInEveryLanguageTexts!A:A, 1, FALSE)), "N", "Y")</f>
        <v>Y</v>
      </c>
      <c r="D1210" t="str">
        <f t="shared" si="36"/>
        <v/>
      </c>
      <c r="E1210" t="s">
        <v>12</v>
      </c>
      <c r="F1210" t="s">
        <v>10</v>
      </c>
      <c r="G1210" t="s">
        <v>11</v>
      </c>
      <c r="H1210" t="s">
        <v>537</v>
      </c>
      <c r="I1210" t="s">
        <v>24</v>
      </c>
      <c r="J1210" t="str">
        <f>IF(0 = IFERROR(VLOOKUP(DBL_FullList!I1210, ContactsDbl!B:D, 2, FALSE), ""), "", IFERROR(VLOOKUP(DBL_FullList!I1210, ContactsDbl!B:D, 2, FALSE), ""))</f>
        <v>Michael@eBible.org</v>
      </c>
      <c r="K1210" t="str">
        <f>IF(0 = IFERROR(VLOOKUP(DBL_FullList!I1210,ContactsDbl!B:D, 3, FALSE), ""), "", IFERROR(VLOOKUP(DBL_FullList!I1210, ContactsDbl!B:D, 3, FALSE), ""))</f>
        <v>http://eBible.org</v>
      </c>
      <c r="L1210">
        <f t="shared" si="37"/>
        <v>2</v>
      </c>
    </row>
    <row r="1211" spans="1:12" x14ac:dyDescent="0.25">
      <c r="A1211" t="s">
        <v>6825</v>
      </c>
      <c r="B1211" t="str">
        <f>IF(ISERROR(VLOOKUP(F1211,STEP!A:A, 1, FALSE)), "N", "Y")</f>
        <v>N</v>
      </c>
      <c r="C1211" t="str">
        <f>IF(ISERROR(VLOOKUP(E1211, BibleInEveryLanguageTexts!A:A, 1, FALSE)), "N", "Y")</f>
        <v>N</v>
      </c>
      <c r="D1211" t="str">
        <f t="shared" si="36"/>
        <v>X</v>
      </c>
      <c r="E1211" t="s">
        <v>6826</v>
      </c>
      <c r="F1211" t="s">
        <v>6827</v>
      </c>
      <c r="G1211" t="s">
        <v>4050</v>
      </c>
      <c r="H1211" t="s">
        <v>6828</v>
      </c>
      <c r="I1211" t="s">
        <v>2661</v>
      </c>
      <c r="J1211" t="str">
        <f>IF(0 = IFERROR(VLOOKUP(DBL_FullList!I1211, ContactsDbl!B:D, 2, FALSE), ""), "", IFERROR(VLOOKUP(DBL_FullList!I1211, ContactsDbl!B:D, 2, FALSE), ""))</f>
        <v>dbladmin_intl@sil.org</v>
      </c>
      <c r="K1211" t="str">
        <f>IF(0 = IFERROR(VLOOKUP(DBL_FullList!I1211,ContactsDbl!B:D, 3, FALSE), ""), "", IFERROR(VLOOKUP(DBL_FullList!I1211, ContactsDbl!B:D, 3, FALSE), ""))</f>
        <v>http://www.wycliffe.org</v>
      </c>
      <c r="L1211">
        <f t="shared" si="37"/>
        <v>2</v>
      </c>
    </row>
    <row r="1212" spans="1:12" x14ac:dyDescent="0.25">
      <c r="A1212" t="s">
        <v>6829</v>
      </c>
      <c r="B1212" t="str">
        <f>IF(ISERROR(VLOOKUP(F1212,STEP!A:A, 1, FALSE)), "N", "Y")</f>
        <v>N</v>
      </c>
      <c r="C1212" t="str">
        <f>IF(ISERROR(VLOOKUP(E1212, BibleInEveryLanguageTexts!A:A, 1, FALSE)), "N", "Y")</f>
        <v>N</v>
      </c>
      <c r="D1212" t="str">
        <f t="shared" si="36"/>
        <v>X</v>
      </c>
      <c r="E1212" t="s">
        <v>6830</v>
      </c>
      <c r="F1212" t="s">
        <v>6831</v>
      </c>
      <c r="G1212" t="s">
        <v>4050</v>
      </c>
      <c r="H1212" t="s">
        <v>6832</v>
      </c>
      <c r="I1212" t="s">
        <v>2661</v>
      </c>
      <c r="J1212" t="str">
        <f>IF(0 = IFERROR(VLOOKUP(DBL_FullList!I1212, ContactsDbl!B:D, 2, FALSE), ""), "", IFERROR(VLOOKUP(DBL_FullList!I1212, ContactsDbl!B:D, 2, FALSE), ""))</f>
        <v>dbladmin_intl@sil.org</v>
      </c>
      <c r="K1212" t="str">
        <f>IF(0 = IFERROR(VLOOKUP(DBL_FullList!I1212,ContactsDbl!B:D, 3, FALSE), ""), "", IFERROR(VLOOKUP(DBL_FullList!I1212, ContactsDbl!B:D, 3, FALSE), ""))</f>
        <v>http://www.wycliffe.org</v>
      </c>
      <c r="L1212">
        <f t="shared" si="37"/>
        <v>2</v>
      </c>
    </row>
    <row r="1213" spans="1:12" x14ac:dyDescent="0.25">
      <c r="A1213" t="s">
        <v>6833</v>
      </c>
      <c r="B1213" t="str">
        <f>IF(ISERROR(VLOOKUP(F1213,STEP!A:A, 1, FALSE)), "N", "Y")</f>
        <v>N</v>
      </c>
      <c r="C1213" t="str">
        <f>IF(ISERROR(VLOOKUP(E1213, BibleInEveryLanguageTexts!A:A, 1, FALSE)), "N", "Y")</f>
        <v>N</v>
      </c>
      <c r="D1213" t="str">
        <f t="shared" si="36"/>
        <v>X</v>
      </c>
      <c r="E1213" t="s">
        <v>6834</v>
      </c>
      <c r="F1213" t="s">
        <v>6835</v>
      </c>
      <c r="G1213" t="s">
        <v>2858</v>
      </c>
      <c r="H1213" t="s">
        <v>6836</v>
      </c>
      <c r="I1213" t="s">
        <v>2661</v>
      </c>
      <c r="J1213" t="str">
        <f>IF(0 = IFERROR(VLOOKUP(DBL_FullList!I1213, ContactsDbl!B:D, 2, FALSE), ""), "", IFERROR(VLOOKUP(DBL_FullList!I1213, ContactsDbl!B:D, 2, FALSE), ""))</f>
        <v>dbladmin_intl@sil.org</v>
      </c>
      <c r="K1213" t="str">
        <f>IF(0 = IFERROR(VLOOKUP(DBL_FullList!I1213,ContactsDbl!B:D, 3, FALSE), ""), "", IFERROR(VLOOKUP(DBL_FullList!I1213, ContactsDbl!B:D, 3, FALSE), ""))</f>
        <v>http://www.wycliffe.org</v>
      </c>
      <c r="L1213">
        <f t="shared" si="37"/>
        <v>2</v>
      </c>
    </row>
    <row r="1214" spans="1:12" x14ac:dyDescent="0.25">
      <c r="A1214" t="s">
        <v>6837</v>
      </c>
      <c r="B1214" t="str">
        <f>IF(ISERROR(VLOOKUP(F1214,STEP!A:A, 1, FALSE)), "N", "Y")</f>
        <v>N</v>
      </c>
      <c r="C1214" t="str">
        <f>IF(ISERROR(VLOOKUP(E1214, BibleInEveryLanguageTexts!A:A, 1, FALSE)), "N", "Y")</f>
        <v>N</v>
      </c>
      <c r="D1214" t="str">
        <f t="shared" si="36"/>
        <v>X</v>
      </c>
      <c r="E1214" t="s">
        <v>6838</v>
      </c>
      <c r="F1214" t="s">
        <v>6839</v>
      </c>
      <c r="G1214" t="s">
        <v>4050</v>
      </c>
      <c r="H1214" t="s">
        <v>6840</v>
      </c>
      <c r="I1214" t="s">
        <v>2661</v>
      </c>
      <c r="J1214" t="str">
        <f>IF(0 = IFERROR(VLOOKUP(DBL_FullList!I1214, ContactsDbl!B:D, 2, FALSE), ""), "", IFERROR(VLOOKUP(DBL_FullList!I1214, ContactsDbl!B:D, 2, FALSE), ""))</f>
        <v>dbladmin_intl@sil.org</v>
      </c>
      <c r="K1214" t="str">
        <f>IF(0 = IFERROR(VLOOKUP(DBL_FullList!I1214,ContactsDbl!B:D, 3, FALSE), ""), "", IFERROR(VLOOKUP(DBL_FullList!I1214, ContactsDbl!B:D, 3, FALSE), ""))</f>
        <v>http://www.wycliffe.org</v>
      </c>
      <c r="L1214">
        <f t="shared" si="37"/>
        <v>2</v>
      </c>
    </row>
    <row r="1215" spans="1:12" x14ac:dyDescent="0.25">
      <c r="A1215" t="s">
        <v>6841</v>
      </c>
      <c r="B1215" t="str">
        <f>IF(ISERROR(VLOOKUP(F1215,STEP!A:A, 1, FALSE)), "N", "Y")</f>
        <v>N</v>
      </c>
      <c r="C1215" t="str">
        <f>IF(ISERROR(VLOOKUP(E1215, BibleInEveryLanguageTexts!A:A, 1, FALSE)), "N", "Y")</f>
        <v>N</v>
      </c>
      <c r="D1215" t="str">
        <f t="shared" si="36"/>
        <v>X</v>
      </c>
      <c r="E1215" t="s">
        <v>6842</v>
      </c>
      <c r="F1215" t="s">
        <v>6843</v>
      </c>
      <c r="G1215" t="s">
        <v>25</v>
      </c>
      <c r="H1215" t="s">
        <v>6844</v>
      </c>
      <c r="I1215" t="s">
        <v>2032</v>
      </c>
      <c r="J1215" t="str">
        <f>IF(0 = IFERROR(VLOOKUP(DBL_FullList!I1215, ContactsDbl!B:D, 2, FALSE), ""), "", IFERROR(VLOOKUP(DBL_FullList!I1215, ContactsDbl!B:D, 2, FALSE), ""))</f>
        <v>paul.eckert@biblesociety.org.au</v>
      </c>
      <c r="K1215" t="str">
        <f>IF(0 = IFERROR(VLOOKUP(DBL_FullList!I1215,ContactsDbl!B:D, 3, FALSE), ""), "", IFERROR(VLOOKUP(DBL_FullList!I1215, ContactsDbl!B:D, 3, FALSE), ""))</f>
        <v>http://www.biblesociety.org.au</v>
      </c>
      <c r="L1215">
        <f t="shared" si="37"/>
        <v>2</v>
      </c>
    </row>
    <row r="1216" spans="1:12" x14ac:dyDescent="0.25">
      <c r="A1216" t="s">
        <v>6845</v>
      </c>
      <c r="B1216" t="str">
        <f>IF(ISERROR(VLOOKUP(F1216,STEP!A:A, 1, FALSE)), "N", "Y")</f>
        <v>N</v>
      </c>
      <c r="C1216" t="str">
        <f>IF(ISERROR(VLOOKUP(E1216, BibleInEveryLanguageTexts!A:A, 1, FALSE)), "N", "Y")</f>
        <v>N</v>
      </c>
      <c r="D1216" t="str">
        <f t="shared" si="36"/>
        <v>X</v>
      </c>
      <c r="E1216" t="s">
        <v>6846</v>
      </c>
      <c r="F1216" t="s">
        <v>6847</v>
      </c>
      <c r="G1216" t="s">
        <v>4050</v>
      </c>
      <c r="H1216" t="s">
        <v>6848</v>
      </c>
      <c r="I1216" t="s">
        <v>2661</v>
      </c>
      <c r="J1216" t="str">
        <f>IF(0 = IFERROR(VLOOKUP(DBL_FullList!I1216, ContactsDbl!B:D, 2, FALSE), ""), "", IFERROR(VLOOKUP(DBL_FullList!I1216, ContactsDbl!B:D, 2, FALSE), ""))</f>
        <v>dbladmin_intl@sil.org</v>
      </c>
      <c r="K1216" t="str">
        <f>IF(0 = IFERROR(VLOOKUP(DBL_FullList!I1216,ContactsDbl!B:D, 3, FALSE), ""), "", IFERROR(VLOOKUP(DBL_FullList!I1216, ContactsDbl!B:D, 3, FALSE), ""))</f>
        <v>http://www.wycliffe.org</v>
      </c>
      <c r="L1216">
        <f t="shared" si="37"/>
        <v>2</v>
      </c>
    </row>
    <row r="1217" spans="1:12" x14ac:dyDescent="0.25">
      <c r="A1217" t="s">
        <v>419</v>
      </c>
      <c r="B1217" t="str">
        <f>IF(ISERROR(VLOOKUP(F1217,STEP!A:A, 1, FALSE)), "N", "Y")</f>
        <v>N</v>
      </c>
      <c r="C1217" t="str">
        <f>IF(ISERROR(VLOOKUP(E1217, BibleInEveryLanguageTexts!A:A, 1, FALSE)), "N", "Y")</f>
        <v>Y</v>
      </c>
      <c r="D1217" t="str">
        <f t="shared" si="36"/>
        <v/>
      </c>
      <c r="E1217" t="s">
        <v>12</v>
      </c>
      <c r="F1217" t="s">
        <v>10</v>
      </c>
      <c r="G1217" t="s">
        <v>11</v>
      </c>
      <c r="H1217" t="s">
        <v>417</v>
      </c>
      <c r="I1217" t="s">
        <v>24</v>
      </c>
      <c r="J1217" t="str">
        <f>IF(0 = IFERROR(VLOOKUP(DBL_FullList!I1217, ContactsDbl!B:D, 2, FALSE), ""), "", IFERROR(VLOOKUP(DBL_FullList!I1217, ContactsDbl!B:D, 2, FALSE), ""))</f>
        <v>Michael@eBible.org</v>
      </c>
      <c r="K1217" t="str">
        <f>IF(0 = IFERROR(VLOOKUP(DBL_FullList!I1217,ContactsDbl!B:D, 3, FALSE), ""), "", IFERROR(VLOOKUP(DBL_FullList!I1217, ContactsDbl!B:D, 3, FALSE), ""))</f>
        <v>http://eBible.org</v>
      </c>
      <c r="L1217">
        <f t="shared" si="37"/>
        <v>2</v>
      </c>
    </row>
    <row r="1218" spans="1:12" x14ac:dyDescent="0.25">
      <c r="A1218" t="s">
        <v>6849</v>
      </c>
      <c r="B1218" t="str">
        <f>IF(ISERROR(VLOOKUP(F1218,STEP!A:A, 1, FALSE)), "N", "Y")</f>
        <v>N</v>
      </c>
      <c r="C1218" t="str">
        <f>IF(ISERROR(VLOOKUP(E1218, BibleInEveryLanguageTexts!A:A, 1, FALSE)), "N", "Y")</f>
        <v>N</v>
      </c>
      <c r="D1218" t="str">
        <f t="shared" si="36"/>
        <v>X</v>
      </c>
      <c r="E1218" t="s">
        <v>6850</v>
      </c>
      <c r="F1218" t="s">
        <v>6851</v>
      </c>
      <c r="G1218" t="s">
        <v>4050</v>
      </c>
      <c r="H1218" t="s">
        <v>6852</v>
      </c>
      <c r="I1218" t="s">
        <v>2661</v>
      </c>
      <c r="J1218" t="str">
        <f>IF(0 = IFERROR(VLOOKUP(DBL_FullList!I1218, ContactsDbl!B:D, 2, FALSE), ""), "", IFERROR(VLOOKUP(DBL_FullList!I1218, ContactsDbl!B:D, 2, FALSE), ""))</f>
        <v>dbladmin_intl@sil.org</v>
      </c>
      <c r="K1218" t="str">
        <f>IF(0 = IFERROR(VLOOKUP(DBL_FullList!I1218,ContactsDbl!B:D, 3, FALSE), ""), "", IFERROR(VLOOKUP(DBL_FullList!I1218, ContactsDbl!B:D, 3, FALSE), ""))</f>
        <v>http://www.wycliffe.org</v>
      </c>
      <c r="L1218">
        <f t="shared" si="37"/>
        <v>2</v>
      </c>
    </row>
    <row r="1219" spans="1:12" x14ac:dyDescent="0.25">
      <c r="A1219" t="s">
        <v>6853</v>
      </c>
      <c r="B1219" t="str">
        <f>IF(ISERROR(VLOOKUP(F1219,STEP!A:A, 1, FALSE)), "N", "Y")</f>
        <v>N</v>
      </c>
      <c r="C1219" t="str">
        <f>IF(ISERROR(VLOOKUP(E1219, BibleInEveryLanguageTexts!A:A, 1, FALSE)), "N", "Y")</f>
        <v>N</v>
      </c>
      <c r="D1219" t="str">
        <f t="shared" ref="D1219:D1282" si="38">IF(AND("N" = B1219, "N" = C1219), "X", "")</f>
        <v>X</v>
      </c>
      <c r="E1219" t="s">
        <v>334</v>
      </c>
      <c r="F1219" t="s">
        <v>332</v>
      </c>
      <c r="G1219" t="s">
        <v>333</v>
      </c>
      <c r="H1219" t="s">
        <v>6854</v>
      </c>
      <c r="I1219" t="s">
        <v>2534</v>
      </c>
      <c r="J1219" t="str">
        <f>IF(0 = IFERROR(VLOOKUP(DBL_FullList!I1219, ContactsDbl!B:D, 2, FALSE), ""), "", IFERROR(VLOOKUP(DBL_FullList!I1219, ContactsDbl!B:D, 2, FALSE), ""))</f>
        <v>elismar@sbb.org.br</v>
      </c>
      <c r="K1219" t="str">
        <f>IF(0 = IFERROR(VLOOKUP(DBL_FullList!I1219,ContactsDbl!B:D, 3, FALSE), ""), "", IFERROR(VLOOKUP(DBL_FullList!I1219, ContactsDbl!B:D, 3, FALSE), ""))</f>
        <v>http://www.sbb.org.br</v>
      </c>
      <c r="L1219">
        <f t="shared" ref="L1219:L1282" si="39">IF("" &lt;&gt; J1219, 2, IF("" &lt;&gt; K1219, 1, 0))</f>
        <v>2</v>
      </c>
    </row>
    <row r="1220" spans="1:12" x14ac:dyDescent="0.25">
      <c r="A1220" t="s">
        <v>6855</v>
      </c>
      <c r="B1220" t="str">
        <f>IF(ISERROR(VLOOKUP(F1220,STEP!A:A, 1, FALSE)), "N", "Y")</f>
        <v>N</v>
      </c>
      <c r="C1220" t="str">
        <f>IF(ISERROR(VLOOKUP(E1220, BibleInEveryLanguageTexts!A:A, 1, FALSE)), "N", "Y")</f>
        <v>N</v>
      </c>
      <c r="D1220" t="str">
        <f t="shared" si="38"/>
        <v>X</v>
      </c>
      <c r="E1220" t="s">
        <v>6856</v>
      </c>
      <c r="F1220" t="s">
        <v>6857</v>
      </c>
      <c r="G1220" t="s">
        <v>4050</v>
      </c>
      <c r="H1220" t="s">
        <v>6858</v>
      </c>
      <c r="I1220" t="s">
        <v>2661</v>
      </c>
      <c r="J1220" t="str">
        <f>IF(0 = IFERROR(VLOOKUP(DBL_FullList!I1220, ContactsDbl!B:D, 2, FALSE), ""), "", IFERROR(VLOOKUP(DBL_FullList!I1220, ContactsDbl!B:D, 2, FALSE), ""))</f>
        <v>dbladmin_intl@sil.org</v>
      </c>
      <c r="K1220" t="str">
        <f>IF(0 = IFERROR(VLOOKUP(DBL_FullList!I1220,ContactsDbl!B:D, 3, FALSE), ""), "", IFERROR(VLOOKUP(DBL_FullList!I1220, ContactsDbl!B:D, 3, FALSE), ""))</f>
        <v>http://www.wycliffe.org</v>
      </c>
      <c r="L1220">
        <f t="shared" si="39"/>
        <v>2</v>
      </c>
    </row>
    <row r="1221" spans="1:12" x14ac:dyDescent="0.25">
      <c r="A1221" t="s">
        <v>6859</v>
      </c>
      <c r="B1221" t="str">
        <f>IF(ISERROR(VLOOKUP(F1221,STEP!A:A, 1, FALSE)), "N", "Y")</f>
        <v>N</v>
      </c>
      <c r="C1221" t="str">
        <f>IF(ISERROR(VLOOKUP(E1221, BibleInEveryLanguageTexts!A:A, 1, FALSE)), "N", "Y")</f>
        <v>N</v>
      </c>
      <c r="D1221" t="str">
        <f t="shared" si="38"/>
        <v>X</v>
      </c>
      <c r="E1221" t="s">
        <v>6860</v>
      </c>
      <c r="F1221" t="s">
        <v>6861</v>
      </c>
      <c r="G1221" t="s">
        <v>48</v>
      </c>
      <c r="H1221" t="s">
        <v>6862</v>
      </c>
      <c r="I1221" t="s">
        <v>45</v>
      </c>
      <c r="J1221" t="str">
        <f>IF(0 = IFERROR(VLOOKUP(DBL_FullList!I1221, ContactsDbl!B:D, 2, FALSE), ""), "", IFERROR(VLOOKUP(DBL_FullList!I1221, ContactsDbl!B:D, 2, FALSE), ""))</f>
        <v>pbt@pbti.org</v>
      </c>
      <c r="K1221" t="str">
        <f>IF(0 = IFERROR(VLOOKUP(DBL_FullList!I1221,ContactsDbl!B:D, 3, FALSE), ""), "", IFERROR(VLOOKUP(DBL_FullList!I1221, ContactsDbl!B:D, 3, FALSE), ""))</f>
        <v>www.pioneerbible.org</v>
      </c>
      <c r="L1221">
        <f t="shared" si="39"/>
        <v>2</v>
      </c>
    </row>
    <row r="1222" spans="1:12" x14ac:dyDescent="0.25">
      <c r="A1222" t="s">
        <v>6863</v>
      </c>
      <c r="B1222" t="str">
        <f>IF(ISERROR(VLOOKUP(F1222,STEP!A:A, 1, FALSE)), "N", "Y")</f>
        <v>N</v>
      </c>
      <c r="C1222" t="str">
        <f>IF(ISERROR(VLOOKUP(E1222, BibleInEveryLanguageTexts!A:A, 1, FALSE)), "N", "Y")</f>
        <v>N</v>
      </c>
      <c r="D1222" t="str">
        <f t="shared" si="38"/>
        <v>X</v>
      </c>
      <c r="E1222" t="s">
        <v>4383</v>
      </c>
      <c r="F1222" t="s">
        <v>4384</v>
      </c>
      <c r="G1222" t="s">
        <v>4385</v>
      </c>
      <c r="H1222" t="s">
        <v>6864</v>
      </c>
      <c r="I1222" t="s">
        <v>183</v>
      </c>
      <c r="J1222" t="str">
        <f>IF(0 = IFERROR(VLOOKUP(DBL_FullList!I1222, ContactsDbl!B:D, 2, FALSE), ""), "", IFERROR(VLOOKUP(DBL_FullList!I1222, ContactsDbl!B:D, 2, FALSE), ""))</f>
        <v>dbl@biblesocieties.org</v>
      </c>
      <c r="K1222" t="str">
        <f>IF(0 = IFERROR(VLOOKUP(DBL_FullList!I1222,ContactsDbl!B:D, 3, FALSE), ""), "", IFERROR(VLOOKUP(DBL_FullList!I1222, ContactsDbl!B:D, 3, FALSE), ""))</f>
        <v>http://www.unitedbiblesocieties.org/</v>
      </c>
      <c r="L1222">
        <f t="shared" si="39"/>
        <v>2</v>
      </c>
    </row>
    <row r="1223" spans="1:12" x14ac:dyDescent="0.25">
      <c r="A1223" t="s">
        <v>6865</v>
      </c>
      <c r="B1223" t="str">
        <f>IF(ISERROR(VLOOKUP(F1223,STEP!A:A, 1, FALSE)), "N", "Y")</f>
        <v>N</v>
      </c>
      <c r="C1223" t="str">
        <f>IF(ISERROR(VLOOKUP(E1223, BibleInEveryLanguageTexts!A:A, 1, FALSE)), "N", "Y")</f>
        <v>N</v>
      </c>
      <c r="D1223" t="str">
        <f t="shared" si="38"/>
        <v>X</v>
      </c>
      <c r="E1223" t="s">
        <v>6866</v>
      </c>
      <c r="F1223" t="s">
        <v>4942</v>
      </c>
      <c r="G1223" t="s">
        <v>6867</v>
      </c>
      <c r="H1223" t="s">
        <v>6868</v>
      </c>
      <c r="I1223" t="s">
        <v>3104</v>
      </c>
      <c r="J1223" t="str">
        <f>IF(0 = IFERROR(VLOOKUP(DBL_FullList!I1223, ContactsDbl!B:D, 2, FALSE), ""), "", IFERROR(VLOOKUP(DBL_FullList!I1223, ContactsDbl!B:D, 2, FALSE), ""))</f>
        <v/>
      </c>
      <c r="K1223" t="str">
        <f>IF(0 = IFERROR(VLOOKUP(DBL_FullList!I1223,ContactsDbl!B:D, 3, FALSE), ""), "", IFERROR(VLOOKUP(DBL_FullList!I1223, ContactsDbl!B:D, 3, FALSE), ""))</f>
        <v/>
      </c>
      <c r="L1223">
        <f t="shared" si="39"/>
        <v>0</v>
      </c>
    </row>
    <row r="1224" spans="1:12" x14ac:dyDescent="0.25">
      <c r="A1224" t="s">
        <v>6869</v>
      </c>
      <c r="B1224" t="str">
        <f>IF(ISERROR(VLOOKUP(F1224,STEP!A:A, 1, FALSE)), "N", "Y")</f>
        <v>N</v>
      </c>
      <c r="C1224" t="str">
        <f>IF(ISERROR(VLOOKUP(E1224, BibleInEveryLanguageTexts!A:A, 1, FALSE)), "N", "Y")</f>
        <v>N</v>
      </c>
      <c r="D1224" t="str">
        <f t="shared" si="38"/>
        <v>X</v>
      </c>
      <c r="E1224" t="s">
        <v>6870</v>
      </c>
      <c r="F1224" t="s">
        <v>6871</v>
      </c>
      <c r="G1224" t="s">
        <v>4050</v>
      </c>
      <c r="H1224" t="s">
        <v>6872</v>
      </c>
      <c r="I1224" t="s">
        <v>2661</v>
      </c>
      <c r="J1224" t="str">
        <f>IF(0 = IFERROR(VLOOKUP(DBL_FullList!I1224, ContactsDbl!B:D, 2, FALSE), ""), "", IFERROR(VLOOKUP(DBL_FullList!I1224, ContactsDbl!B:D, 2, FALSE), ""))</f>
        <v>dbladmin_intl@sil.org</v>
      </c>
      <c r="K1224" t="str">
        <f>IF(0 = IFERROR(VLOOKUP(DBL_FullList!I1224,ContactsDbl!B:D, 3, FALSE), ""), "", IFERROR(VLOOKUP(DBL_FullList!I1224, ContactsDbl!B:D, 3, FALSE), ""))</f>
        <v>http://www.wycliffe.org</v>
      </c>
      <c r="L1224">
        <f t="shared" si="39"/>
        <v>2</v>
      </c>
    </row>
    <row r="1225" spans="1:12" x14ac:dyDescent="0.25">
      <c r="A1225" t="s">
        <v>6873</v>
      </c>
      <c r="B1225" t="str">
        <f>IF(ISERROR(VLOOKUP(F1225,STEP!A:A, 1, FALSE)), "N", "Y")</f>
        <v>N</v>
      </c>
      <c r="C1225" t="str">
        <f>IF(ISERROR(VLOOKUP(E1225, BibleInEveryLanguageTexts!A:A, 1, FALSE)), "N", "Y")</f>
        <v>N</v>
      </c>
      <c r="D1225" t="str">
        <f t="shared" si="38"/>
        <v>X</v>
      </c>
      <c r="E1225" t="s">
        <v>6874</v>
      </c>
      <c r="F1225" t="s">
        <v>6875</v>
      </c>
      <c r="G1225" t="s">
        <v>4050</v>
      </c>
      <c r="H1225" t="s">
        <v>6876</v>
      </c>
      <c r="I1225" t="s">
        <v>2661</v>
      </c>
      <c r="J1225" t="str">
        <f>IF(0 = IFERROR(VLOOKUP(DBL_FullList!I1225, ContactsDbl!B:D, 2, FALSE), ""), "", IFERROR(VLOOKUP(DBL_FullList!I1225, ContactsDbl!B:D, 2, FALSE), ""))</f>
        <v>dbladmin_intl@sil.org</v>
      </c>
      <c r="K1225" t="str">
        <f>IF(0 = IFERROR(VLOOKUP(DBL_FullList!I1225,ContactsDbl!B:D, 3, FALSE), ""), "", IFERROR(VLOOKUP(DBL_FullList!I1225, ContactsDbl!B:D, 3, FALSE), ""))</f>
        <v>http://www.wycliffe.org</v>
      </c>
      <c r="L1225">
        <f t="shared" si="39"/>
        <v>2</v>
      </c>
    </row>
    <row r="1226" spans="1:12" x14ac:dyDescent="0.25">
      <c r="A1226" t="s">
        <v>6877</v>
      </c>
      <c r="B1226" t="str">
        <f>IF(ISERROR(VLOOKUP(F1226,STEP!A:A, 1, FALSE)), "N", "Y")</f>
        <v>Y</v>
      </c>
      <c r="C1226" t="str">
        <f>IF(ISERROR(VLOOKUP(E1226, BibleInEveryLanguageTexts!A:A, 1, FALSE)), "N", "Y")</f>
        <v>N</v>
      </c>
      <c r="D1226" t="str">
        <f t="shared" si="38"/>
        <v/>
      </c>
      <c r="E1226" t="s">
        <v>6878</v>
      </c>
      <c r="F1226" t="s">
        <v>6879</v>
      </c>
      <c r="G1226" t="s">
        <v>48</v>
      </c>
      <c r="H1226" t="s">
        <v>6880</v>
      </c>
      <c r="I1226" t="s">
        <v>2661</v>
      </c>
      <c r="J1226" t="str">
        <f>IF(0 = IFERROR(VLOOKUP(DBL_FullList!I1226, ContactsDbl!B:D, 2, FALSE), ""), "", IFERROR(VLOOKUP(DBL_FullList!I1226, ContactsDbl!B:D, 2, FALSE), ""))</f>
        <v>dbladmin_intl@sil.org</v>
      </c>
      <c r="K1226" t="str">
        <f>IF(0 = IFERROR(VLOOKUP(DBL_FullList!I1226,ContactsDbl!B:D, 3, FALSE), ""), "", IFERROR(VLOOKUP(DBL_FullList!I1226, ContactsDbl!B:D, 3, FALSE), ""))</f>
        <v>http://www.wycliffe.org</v>
      </c>
      <c r="L1226">
        <f t="shared" si="39"/>
        <v>2</v>
      </c>
    </row>
    <row r="1227" spans="1:12" x14ac:dyDescent="0.25">
      <c r="A1227" t="s">
        <v>6881</v>
      </c>
      <c r="B1227" t="str">
        <f>IF(ISERROR(VLOOKUP(F1227,STEP!A:A, 1, FALSE)), "N", "Y")</f>
        <v>N</v>
      </c>
      <c r="C1227" t="str">
        <f>IF(ISERROR(VLOOKUP(E1227, BibleInEveryLanguageTexts!A:A, 1, FALSE)), "N", "Y")</f>
        <v>N</v>
      </c>
      <c r="D1227" t="str">
        <f t="shared" si="38"/>
        <v>X</v>
      </c>
      <c r="E1227" t="s">
        <v>6882</v>
      </c>
      <c r="F1227" t="s">
        <v>6883</v>
      </c>
      <c r="G1227" t="s">
        <v>4050</v>
      </c>
      <c r="H1227" t="s">
        <v>6884</v>
      </c>
      <c r="I1227" t="s">
        <v>2661</v>
      </c>
      <c r="J1227" t="str">
        <f>IF(0 = IFERROR(VLOOKUP(DBL_FullList!I1227, ContactsDbl!B:D, 2, FALSE), ""), "", IFERROR(VLOOKUP(DBL_FullList!I1227, ContactsDbl!B:D, 2, FALSE), ""))</f>
        <v>dbladmin_intl@sil.org</v>
      </c>
      <c r="K1227" t="str">
        <f>IF(0 = IFERROR(VLOOKUP(DBL_FullList!I1227,ContactsDbl!B:D, 3, FALSE), ""), "", IFERROR(VLOOKUP(DBL_FullList!I1227, ContactsDbl!B:D, 3, FALSE), ""))</f>
        <v>http://www.wycliffe.org</v>
      </c>
      <c r="L1227">
        <f t="shared" si="39"/>
        <v>2</v>
      </c>
    </row>
    <row r="1228" spans="1:12" x14ac:dyDescent="0.25">
      <c r="A1228" t="s">
        <v>6885</v>
      </c>
      <c r="B1228" t="str">
        <f>IF(ISERROR(VLOOKUP(F1228,STEP!A:A, 1, FALSE)), "N", "Y")</f>
        <v>N</v>
      </c>
      <c r="C1228" t="str">
        <f>IF(ISERROR(VLOOKUP(E1228, BibleInEveryLanguageTexts!A:A, 1, FALSE)), "N", "Y")</f>
        <v>N</v>
      </c>
      <c r="D1228" t="str">
        <f t="shared" si="38"/>
        <v>X</v>
      </c>
      <c r="E1228" t="s">
        <v>6886</v>
      </c>
      <c r="F1228" t="s">
        <v>6887</v>
      </c>
      <c r="G1228" t="s">
        <v>4050</v>
      </c>
      <c r="H1228" t="s">
        <v>6888</v>
      </c>
      <c r="I1228" t="s">
        <v>2661</v>
      </c>
      <c r="J1228" t="str">
        <f>IF(0 = IFERROR(VLOOKUP(DBL_FullList!I1228, ContactsDbl!B:D, 2, FALSE), ""), "", IFERROR(VLOOKUP(DBL_FullList!I1228, ContactsDbl!B:D, 2, FALSE), ""))</f>
        <v>dbladmin_intl@sil.org</v>
      </c>
      <c r="K1228" t="str">
        <f>IF(0 = IFERROR(VLOOKUP(DBL_FullList!I1228,ContactsDbl!B:D, 3, FALSE), ""), "", IFERROR(VLOOKUP(DBL_FullList!I1228, ContactsDbl!B:D, 3, FALSE), ""))</f>
        <v>http://www.wycliffe.org</v>
      </c>
      <c r="L1228">
        <f t="shared" si="39"/>
        <v>2</v>
      </c>
    </row>
    <row r="1229" spans="1:12" x14ac:dyDescent="0.25">
      <c r="A1229" t="s">
        <v>6889</v>
      </c>
      <c r="B1229" t="str">
        <f>IF(ISERROR(VLOOKUP(F1229,STEP!A:A, 1, FALSE)), "N", "Y")</f>
        <v>N</v>
      </c>
      <c r="C1229" t="str">
        <f>IF(ISERROR(VLOOKUP(E1229, BibleInEveryLanguageTexts!A:A, 1, FALSE)), "N", "Y")</f>
        <v>N</v>
      </c>
      <c r="D1229" t="str">
        <f t="shared" si="38"/>
        <v>X</v>
      </c>
      <c r="E1229" t="s">
        <v>6890</v>
      </c>
      <c r="F1229" t="s">
        <v>6891</v>
      </c>
      <c r="G1229" t="s">
        <v>4050</v>
      </c>
      <c r="H1229" t="s">
        <v>6892</v>
      </c>
      <c r="I1229" t="s">
        <v>2661</v>
      </c>
      <c r="J1229" t="str">
        <f>IF(0 = IFERROR(VLOOKUP(DBL_FullList!I1229, ContactsDbl!B:D, 2, FALSE), ""), "", IFERROR(VLOOKUP(DBL_FullList!I1229, ContactsDbl!B:D, 2, FALSE), ""))</f>
        <v>dbladmin_intl@sil.org</v>
      </c>
      <c r="K1229" t="str">
        <f>IF(0 = IFERROR(VLOOKUP(DBL_FullList!I1229,ContactsDbl!B:D, 3, FALSE), ""), "", IFERROR(VLOOKUP(DBL_FullList!I1229, ContactsDbl!B:D, 3, FALSE), ""))</f>
        <v>http://www.wycliffe.org</v>
      </c>
      <c r="L1229">
        <f t="shared" si="39"/>
        <v>2</v>
      </c>
    </row>
    <row r="1230" spans="1:12" x14ac:dyDescent="0.25">
      <c r="A1230" t="s">
        <v>6893</v>
      </c>
      <c r="B1230" t="str">
        <f>IF(ISERROR(VLOOKUP(F1230,STEP!A:A, 1, FALSE)), "N", "Y")</f>
        <v>Y</v>
      </c>
      <c r="C1230" t="str">
        <f>IF(ISERROR(VLOOKUP(E1230, BibleInEveryLanguageTexts!A:A, 1, FALSE)), "N", "Y")</f>
        <v>N</v>
      </c>
      <c r="D1230" t="str">
        <f t="shared" si="38"/>
        <v/>
      </c>
      <c r="E1230" t="s">
        <v>4215</v>
      </c>
      <c r="F1230" t="s">
        <v>4216</v>
      </c>
      <c r="G1230" t="s">
        <v>48</v>
      </c>
      <c r="H1230" t="s">
        <v>743</v>
      </c>
      <c r="I1230" t="s">
        <v>2661</v>
      </c>
      <c r="J1230" t="str">
        <f>IF(0 = IFERROR(VLOOKUP(DBL_FullList!I1230, ContactsDbl!B:D, 2, FALSE), ""), "", IFERROR(VLOOKUP(DBL_FullList!I1230, ContactsDbl!B:D, 2, FALSE), ""))</f>
        <v>dbladmin_intl@sil.org</v>
      </c>
      <c r="K1230" t="str">
        <f>IF(0 = IFERROR(VLOOKUP(DBL_FullList!I1230,ContactsDbl!B:D, 3, FALSE), ""), "", IFERROR(VLOOKUP(DBL_FullList!I1230, ContactsDbl!B:D, 3, FALSE), ""))</f>
        <v>http://www.wycliffe.org</v>
      </c>
      <c r="L1230">
        <f t="shared" si="39"/>
        <v>2</v>
      </c>
    </row>
    <row r="1231" spans="1:12" x14ac:dyDescent="0.25">
      <c r="A1231" t="s">
        <v>6894</v>
      </c>
      <c r="B1231" t="str">
        <f>IF(ISERROR(VLOOKUP(F1231,STEP!A:A, 1, FALSE)), "N", "Y")</f>
        <v>N</v>
      </c>
      <c r="C1231" t="str">
        <f>IF(ISERROR(VLOOKUP(E1231, BibleInEveryLanguageTexts!A:A, 1, FALSE)), "N", "Y")</f>
        <v>N</v>
      </c>
      <c r="D1231" t="str">
        <f t="shared" si="38"/>
        <v>X</v>
      </c>
      <c r="E1231" t="s">
        <v>1804</v>
      </c>
      <c r="F1231" t="s">
        <v>6895</v>
      </c>
      <c r="G1231" t="s">
        <v>4120</v>
      </c>
      <c r="H1231" t="s">
        <v>6896</v>
      </c>
      <c r="I1231" t="s">
        <v>1997</v>
      </c>
      <c r="J1231" t="str">
        <f>IF(0 = IFERROR(VLOOKUP(DBL_FullList!I1231, ContactsDbl!B:D, 2, FALSE), ""), "", IFERROR(VLOOKUP(DBL_FullList!I1231, ContactsDbl!B:D, 2, FALSE), ""))</f>
        <v>Lee.Harris@biblica.com</v>
      </c>
      <c r="K1231" t="str">
        <f>IF(0 = IFERROR(VLOOKUP(DBL_FullList!I1231,ContactsDbl!B:D, 3, FALSE), ""), "", IFERROR(VLOOKUP(DBL_FullList!I1231, ContactsDbl!B:D, 3, FALSE), ""))</f>
        <v>http://www.Biblica.com</v>
      </c>
      <c r="L1231">
        <f t="shared" si="39"/>
        <v>2</v>
      </c>
    </row>
    <row r="1232" spans="1:12" x14ac:dyDescent="0.25">
      <c r="A1232" t="s">
        <v>6897</v>
      </c>
      <c r="B1232" t="str">
        <f>IF(ISERROR(VLOOKUP(F1232,STEP!A:A, 1, FALSE)), "N", "Y")</f>
        <v>N</v>
      </c>
      <c r="C1232" t="str">
        <f>IF(ISERROR(VLOOKUP(E1232, BibleInEveryLanguageTexts!A:A, 1, FALSE)), "N", "Y")</f>
        <v>N</v>
      </c>
      <c r="D1232" t="str">
        <f t="shared" si="38"/>
        <v>X</v>
      </c>
      <c r="E1232" t="s">
        <v>6898</v>
      </c>
      <c r="F1232" t="s">
        <v>6899</v>
      </c>
      <c r="G1232" t="s">
        <v>4050</v>
      </c>
      <c r="H1232" t="s">
        <v>6900</v>
      </c>
      <c r="I1232" t="s">
        <v>2661</v>
      </c>
      <c r="J1232" t="str">
        <f>IF(0 = IFERROR(VLOOKUP(DBL_FullList!I1232, ContactsDbl!B:D, 2, FALSE), ""), "", IFERROR(VLOOKUP(DBL_FullList!I1232, ContactsDbl!B:D, 2, FALSE), ""))</f>
        <v>dbladmin_intl@sil.org</v>
      </c>
      <c r="K1232" t="str">
        <f>IF(0 = IFERROR(VLOOKUP(DBL_FullList!I1232,ContactsDbl!B:D, 3, FALSE), ""), "", IFERROR(VLOOKUP(DBL_FullList!I1232, ContactsDbl!B:D, 3, FALSE), ""))</f>
        <v>http://www.wycliffe.org</v>
      </c>
      <c r="L1232">
        <f t="shared" si="39"/>
        <v>2</v>
      </c>
    </row>
    <row r="1233" spans="1:12" x14ac:dyDescent="0.25">
      <c r="A1233" t="s">
        <v>6901</v>
      </c>
      <c r="B1233" t="str">
        <f>IF(ISERROR(VLOOKUP(F1233,STEP!A:A, 1, FALSE)), "N", "Y")</f>
        <v>N</v>
      </c>
      <c r="C1233" t="str">
        <f>IF(ISERROR(VLOOKUP(E1233, BibleInEveryLanguageTexts!A:A, 1, FALSE)), "N", "Y")</f>
        <v>N</v>
      </c>
      <c r="D1233" t="str">
        <f t="shared" si="38"/>
        <v>X</v>
      </c>
      <c r="E1233" t="s">
        <v>116</v>
      </c>
      <c r="F1233" t="s">
        <v>114</v>
      </c>
      <c r="G1233" t="s">
        <v>115</v>
      </c>
      <c r="H1233" t="s">
        <v>6902</v>
      </c>
      <c r="I1233" t="s">
        <v>1997</v>
      </c>
      <c r="J1233" t="str">
        <f>IF(0 = IFERROR(VLOOKUP(DBL_FullList!I1233, ContactsDbl!B:D, 2, FALSE), ""), "", IFERROR(VLOOKUP(DBL_FullList!I1233, ContactsDbl!B:D, 2, FALSE), ""))</f>
        <v>Lee.Harris@biblica.com</v>
      </c>
      <c r="K1233" t="str">
        <f>IF(0 = IFERROR(VLOOKUP(DBL_FullList!I1233,ContactsDbl!B:D, 3, FALSE), ""), "", IFERROR(VLOOKUP(DBL_FullList!I1233, ContactsDbl!B:D, 3, FALSE), ""))</f>
        <v>http://www.Biblica.com</v>
      </c>
      <c r="L1233">
        <f t="shared" si="39"/>
        <v>2</v>
      </c>
    </row>
    <row r="1234" spans="1:12" x14ac:dyDescent="0.25">
      <c r="A1234" t="s">
        <v>6903</v>
      </c>
      <c r="B1234" t="str">
        <f>IF(ISERROR(VLOOKUP(F1234,STEP!A:A, 1, FALSE)), "N", "Y")</f>
        <v>N</v>
      </c>
      <c r="C1234" t="str">
        <f>IF(ISERROR(VLOOKUP(E1234, BibleInEveryLanguageTexts!A:A, 1, FALSE)), "N", "Y")</f>
        <v>N</v>
      </c>
      <c r="D1234" t="str">
        <f t="shared" si="38"/>
        <v>X</v>
      </c>
      <c r="E1234" t="s">
        <v>517</v>
      </c>
      <c r="F1234" t="s">
        <v>515</v>
      </c>
      <c r="G1234" t="s">
        <v>516</v>
      </c>
      <c r="H1234" t="s">
        <v>6904</v>
      </c>
      <c r="I1234" t="s">
        <v>2519</v>
      </c>
      <c r="J1234" t="str">
        <f>IF(0 = IFERROR(VLOOKUP(DBL_FullList!I1234, ContactsDbl!B:D, 2, FALSE), ""), "", IFERROR(VLOOKUP(DBL_FullList!I1234, ContactsDbl!B:D, 2, FALSE), ""))</f>
        <v>gjjkarsten@jongbloed.com</v>
      </c>
      <c r="K1234" t="str">
        <f>IF(0 = IFERROR(VLOOKUP(DBL_FullList!I1234,ContactsDbl!B:D, 3, FALSE), ""), "", IFERROR(VLOOKUP(DBL_FullList!I1234, ContactsDbl!B:D, 3, FALSE), ""))</f>
        <v>http://www.royaljongbloed.com/</v>
      </c>
      <c r="L1234">
        <f t="shared" si="39"/>
        <v>2</v>
      </c>
    </row>
    <row r="1235" spans="1:12" x14ac:dyDescent="0.25">
      <c r="A1235" t="s">
        <v>6905</v>
      </c>
      <c r="B1235" t="str">
        <f>IF(ISERROR(VLOOKUP(F1235,STEP!A:A, 1, FALSE)), "N", "Y")</f>
        <v>N</v>
      </c>
      <c r="C1235" t="str">
        <f>IF(ISERROR(VLOOKUP(E1235, BibleInEveryLanguageTexts!A:A, 1, FALSE)), "N", "Y")</f>
        <v>Y</v>
      </c>
      <c r="D1235" t="str">
        <f t="shared" si="38"/>
        <v/>
      </c>
      <c r="E1235" t="s">
        <v>1481</v>
      </c>
      <c r="F1235" t="s">
        <v>4123</v>
      </c>
      <c r="G1235" t="s">
        <v>2815</v>
      </c>
      <c r="H1235" t="s">
        <v>6906</v>
      </c>
      <c r="I1235" t="s">
        <v>1997</v>
      </c>
      <c r="J1235" t="str">
        <f>IF(0 = IFERROR(VLOOKUP(DBL_FullList!I1235, ContactsDbl!B:D, 2, FALSE), ""), "", IFERROR(VLOOKUP(DBL_FullList!I1235, ContactsDbl!B:D, 2, FALSE), ""))</f>
        <v>Lee.Harris@biblica.com</v>
      </c>
      <c r="K1235" t="str">
        <f>IF(0 = IFERROR(VLOOKUP(DBL_FullList!I1235,ContactsDbl!B:D, 3, FALSE), ""), "", IFERROR(VLOOKUP(DBL_FullList!I1235, ContactsDbl!B:D, 3, FALSE), ""))</f>
        <v>http://www.Biblica.com</v>
      </c>
      <c r="L1235">
        <f t="shared" si="39"/>
        <v>2</v>
      </c>
    </row>
    <row r="1236" spans="1:12" x14ac:dyDescent="0.25">
      <c r="A1236" t="s">
        <v>260</v>
      </c>
      <c r="B1236" t="str">
        <f>IF(ISERROR(VLOOKUP(F1236,STEP!A:A, 1, FALSE)), "N", "Y")</f>
        <v>N</v>
      </c>
      <c r="C1236" t="str">
        <f>IF(ISERROR(VLOOKUP(E1236, BibleInEveryLanguageTexts!A:A, 1, FALSE)), "N", "Y")</f>
        <v>Y</v>
      </c>
      <c r="D1236" t="str">
        <f t="shared" si="38"/>
        <v/>
      </c>
      <c r="E1236" t="s">
        <v>12</v>
      </c>
      <c r="F1236" t="s">
        <v>10</v>
      </c>
      <c r="G1236" t="s">
        <v>11</v>
      </c>
      <c r="H1236" t="s">
        <v>6907</v>
      </c>
      <c r="I1236" t="s">
        <v>196</v>
      </c>
      <c r="J1236" t="str">
        <f>IF(0 = IFERROR(VLOOKUP(DBL_FullList!I1236, ContactsDbl!B:D, 2, FALSE), ""), "", IFERROR(VLOOKUP(DBL_FullList!I1236, ContactsDbl!B:D, 2, FALSE), ""))</f>
        <v>info@freebibleministry.org</v>
      </c>
      <c r="K1236" t="str">
        <f>IF(0 = IFERROR(VLOOKUP(DBL_FullList!I1236,ContactsDbl!B:D, 3, FALSE), ""), "", IFERROR(VLOOKUP(DBL_FullList!I1236, ContactsDbl!B:D, 3, FALSE), ""))</f>
        <v>http://www.freebibleministry.org/</v>
      </c>
      <c r="L1236">
        <f t="shared" si="39"/>
        <v>2</v>
      </c>
    </row>
    <row r="1237" spans="1:12" x14ac:dyDescent="0.25">
      <c r="A1237" t="s">
        <v>6908</v>
      </c>
      <c r="B1237" t="str">
        <f>IF(ISERROR(VLOOKUP(F1237,STEP!A:A, 1, FALSE)), "N", "Y")</f>
        <v>N</v>
      </c>
      <c r="C1237" t="str">
        <f>IF(ISERROR(VLOOKUP(E1237, BibleInEveryLanguageTexts!A:A, 1, FALSE)), "N", "Y")</f>
        <v>N</v>
      </c>
      <c r="D1237" t="str">
        <f t="shared" si="38"/>
        <v>X</v>
      </c>
      <c r="E1237" t="s">
        <v>6909</v>
      </c>
      <c r="F1237" t="s">
        <v>6910</v>
      </c>
      <c r="G1237" t="s">
        <v>4050</v>
      </c>
      <c r="H1237" t="s">
        <v>6911</v>
      </c>
      <c r="I1237" t="s">
        <v>2661</v>
      </c>
      <c r="J1237" t="str">
        <f>IF(0 = IFERROR(VLOOKUP(DBL_FullList!I1237, ContactsDbl!B:D, 2, FALSE), ""), "", IFERROR(VLOOKUP(DBL_FullList!I1237, ContactsDbl!B:D, 2, FALSE), ""))</f>
        <v>dbladmin_intl@sil.org</v>
      </c>
      <c r="K1237" t="str">
        <f>IF(0 = IFERROR(VLOOKUP(DBL_FullList!I1237,ContactsDbl!B:D, 3, FALSE), ""), "", IFERROR(VLOOKUP(DBL_FullList!I1237, ContactsDbl!B:D, 3, FALSE), ""))</f>
        <v>http://www.wycliffe.org</v>
      </c>
      <c r="L1237">
        <f t="shared" si="39"/>
        <v>2</v>
      </c>
    </row>
    <row r="1238" spans="1:12" x14ac:dyDescent="0.25">
      <c r="A1238" t="s">
        <v>6912</v>
      </c>
      <c r="B1238" t="str">
        <f>IF(ISERROR(VLOOKUP(F1238,STEP!A:A, 1, FALSE)), "N", "Y")</f>
        <v>N</v>
      </c>
      <c r="C1238" t="str">
        <f>IF(ISERROR(VLOOKUP(E1238, BibleInEveryLanguageTexts!A:A, 1, FALSE)), "N", "Y")</f>
        <v>N</v>
      </c>
      <c r="D1238" t="str">
        <f t="shared" si="38"/>
        <v>X</v>
      </c>
      <c r="E1238" t="s">
        <v>6913</v>
      </c>
      <c r="F1238" t="s">
        <v>6914</v>
      </c>
      <c r="G1238" t="s">
        <v>4050</v>
      </c>
      <c r="H1238" t="s">
        <v>6915</v>
      </c>
      <c r="I1238" t="s">
        <v>2433</v>
      </c>
      <c r="J1238" t="str">
        <f>IF(0 = IFERROR(VLOOKUP(DBL_FullList!I1238, ContactsDbl!B:D, 2, FALSE), ""), "", IFERROR(VLOOKUP(DBL_FullList!I1238, ContactsDbl!B:D, 2, FALSE), ""))</f>
        <v>igalicia@sbm.mx</v>
      </c>
      <c r="K1238" t="str">
        <f>IF(0 = IFERROR(VLOOKUP(DBL_FullList!I1238,ContactsDbl!B:D, 3, FALSE), ""), "", IFERROR(VLOOKUP(DBL_FullList!I1238, ContactsDbl!B:D, 3, FALSE), ""))</f>
        <v>www.sbm.mx</v>
      </c>
      <c r="L1238">
        <f t="shared" si="39"/>
        <v>2</v>
      </c>
    </row>
    <row r="1239" spans="1:12" x14ac:dyDescent="0.25">
      <c r="A1239" t="s">
        <v>6916</v>
      </c>
      <c r="B1239" t="str">
        <f>IF(ISERROR(VLOOKUP(F1239,STEP!A:A, 1, FALSE)), "N", "Y")</f>
        <v>N</v>
      </c>
      <c r="C1239" t="str">
        <f>IF(ISERROR(VLOOKUP(E1239, BibleInEveryLanguageTexts!A:A, 1, FALSE)), "N", "Y")</f>
        <v>N</v>
      </c>
      <c r="D1239" t="str">
        <f t="shared" si="38"/>
        <v>X</v>
      </c>
      <c r="E1239" t="s">
        <v>6917</v>
      </c>
      <c r="F1239" t="s">
        <v>6918</v>
      </c>
      <c r="G1239" t="s">
        <v>4050</v>
      </c>
      <c r="H1239" t="s">
        <v>6919</v>
      </c>
      <c r="I1239" t="s">
        <v>2661</v>
      </c>
      <c r="J1239" t="str">
        <f>IF(0 = IFERROR(VLOOKUP(DBL_FullList!I1239, ContactsDbl!B:D, 2, FALSE), ""), "", IFERROR(VLOOKUP(DBL_FullList!I1239, ContactsDbl!B:D, 2, FALSE), ""))</f>
        <v>dbladmin_intl@sil.org</v>
      </c>
      <c r="K1239" t="str">
        <f>IF(0 = IFERROR(VLOOKUP(DBL_FullList!I1239,ContactsDbl!B:D, 3, FALSE), ""), "", IFERROR(VLOOKUP(DBL_FullList!I1239, ContactsDbl!B:D, 3, FALSE), ""))</f>
        <v>http://www.wycliffe.org</v>
      </c>
      <c r="L1239">
        <f t="shared" si="39"/>
        <v>2</v>
      </c>
    </row>
    <row r="1240" spans="1:12" x14ac:dyDescent="0.25">
      <c r="A1240" t="s">
        <v>6920</v>
      </c>
      <c r="B1240" t="str">
        <f>IF(ISERROR(VLOOKUP(F1240,STEP!A:A, 1, FALSE)), "N", "Y")</f>
        <v>N</v>
      </c>
      <c r="C1240" t="str">
        <f>IF(ISERROR(VLOOKUP(E1240, BibleInEveryLanguageTexts!A:A, 1, FALSE)), "N", "Y")</f>
        <v>N</v>
      </c>
      <c r="D1240" t="str">
        <f t="shared" si="38"/>
        <v>X</v>
      </c>
      <c r="E1240" t="s">
        <v>6917</v>
      </c>
      <c r="F1240" t="s">
        <v>6918</v>
      </c>
      <c r="G1240" t="s">
        <v>4050</v>
      </c>
      <c r="H1240" t="s">
        <v>6921</v>
      </c>
      <c r="I1240" t="s">
        <v>2661</v>
      </c>
      <c r="J1240" t="str">
        <f>IF(0 = IFERROR(VLOOKUP(DBL_FullList!I1240, ContactsDbl!B:D, 2, FALSE), ""), "", IFERROR(VLOOKUP(DBL_FullList!I1240, ContactsDbl!B:D, 2, FALSE), ""))</f>
        <v>dbladmin_intl@sil.org</v>
      </c>
      <c r="K1240" t="str">
        <f>IF(0 = IFERROR(VLOOKUP(DBL_FullList!I1240,ContactsDbl!B:D, 3, FALSE), ""), "", IFERROR(VLOOKUP(DBL_FullList!I1240, ContactsDbl!B:D, 3, FALSE), ""))</f>
        <v>http://www.wycliffe.org</v>
      </c>
      <c r="L1240">
        <f t="shared" si="39"/>
        <v>2</v>
      </c>
    </row>
    <row r="1241" spans="1:12" x14ac:dyDescent="0.25">
      <c r="A1241" t="s">
        <v>6922</v>
      </c>
      <c r="B1241" t="str">
        <f>IF(ISERROR(VLOOKUP(F1241,STEP!A:A, 1, FALSE)), "N", "Y")</f>
        <v>N</v>
      </c>
      <c r="C1241" t="str">
        <f>IF(ISERROR(VLOOKUP(E1241, BibleInEveryLanguageTexts!A:A, 1, FALSE)), "N", "Y")</f>
        <v>N</v>
      </c>
      <c r="D1241" t="str">
        <f t="shared" si="38"/>
        <v>X</v>
      </c>
      <c r="E1241" t="s">
        <v>6923</v>
      </c>
      <c r="F1241" t="s">
        <v>6924</v>
      </c>
      <c r="G1241" t="s">
        <v>25</v>
      </c>
      <c r="H1241" t="s">
        <v>6925</v>
      </c>
      <c r="I1241" t="s">
        <v>2032</v>
      </c>
      <c r="J1241" t="str">
        <f>IF(0 = IFERROR(VLOOKUP(DBL_FullList!I1241, ContactsDbl!B:D, 2, FALSE), ""), "", IFERROR(VLOOKUP(DBL_FullList!I1241, ContactsDbl!B:D, 2, FALSE), ""))</f>
        <v>paul.eckert@biblesociety.org.au</v>
      </c>
      <c r="K1241" t="str">
        <f>IF(0 = IFERROR(VLOOKUP(DBL_FullList!I1241,ContactsDbl!B:D, 3, FALSE), ""), "", IFERROR(VLOOKUP(DBL_FullList!I1241, ContactsDbl!B:D, 3, FALSE), ""))</f>
        <v>http://www.biblesociety.org.au</v>
      </c>
      <c r="L1241">
        <f t="shared" si="39"/>
        <v>2</v>
      </c>
    </row>
    <row r="1242" spans="1:12" x14ac:dyDescent="0.25">
      <c r="A1242" t="s">
        <v>6926</v>
      </c>
      <c r="B1242" t="str">
        <f>IF(ISERROR(VLOOKUP(F1242,STEP!A:A, 1, FALSE)), "N", "Y")</f>
        <v>N</v>
      </c>
      <c r="C1242" t="str">
        <f>IF(ISERROR(VLOOKUP(E1242, BibleInEveryLanguageTexts!A:A, 1, FALSE)), "N", "Y")</f>
        <v>N</v>
      </c>
      <c r="D1242" t="str">
        <f t="shared" si="38"/>
        <v>X</v>
      </c>
      <c r="E1242" t="s">
        <v>6927</v>
      </c>
      <c r="F1242" t="s">
        <v>6928</v>
      </c>
      <c r="G1242" t="s">
        <v>4050</v>
      </c>
      <c r="H1242" t="s">
        <v>6929</v>
      </c>
      <c r="I1242" t="s">
        <v>2661</v>
      </c>
      <c r="J1242" t="str">
        <f>IF(0 = IFERROR(VLOOKUP(DBL_FullList!I1242, ContactsDbl!B:D, 2, FALSE), ""), "", IFERROR(VLOOKUP(DBL_FullList!I1242, ContactsDbl!B:D, 2, FALSE), ""))</f>
        <v>dbladmin_intl@sil.org</v>
      </c>
      <c r="K1242" t="str">
        <f>IF(0 = IFERROR(VLOOKUP(DBL_FullList!I1242,ContactsDbl!B:D, 3, FALSE), ""), "", IFERROR(VLOOKUP(DBL_FullList!I1242, ContactsDbl!B:D, 3, FALSE), ""))</f>
        <v>http://www.wycliffe.org</v>
      </c>
      <c r="L1242">
        <f t="shared" si="39"/>
        <v>2</v>
      </c>
    </row>
    <row r="1243" spans="1:12" x14ac:dyDescent="0.25">
      <c r="A1243" t="s">
        <v>6930</v>
      </c>
      <c r="B1243" t="str">
        <f>IF(ISERROR(VLOOKUP(F1243,STEP!A:A, 1, FALSE)), "N", "Y")</f>
        <v>N</v>
      </c>
      <c r="C1243" t="str">
        <f>IF(ISERROR(VLOOKUP(E1243, BibleInEveryLanguageTexts!A:A, 1, FALSE)), "N", "Y")</f>
        <v>N</v>
      </c>
      <c r="D1243" t="str">
        <f t="shared" si="38"/>
        <v>X</v>
      </c>
      <c r="E1243" t="s">
        <v>6931</v>
      </c>
      <c r="F1243" t="s">
        <v>6932</v>
      </c>
      <c r="G1243" t="s">
        <v>4050</v>
      </c>
      <c r="H1243" t="s">
        <v>6933</v>
      </c>
      <c r="I1243" t="s">
        <v>2661</v>
      </c>
      <c r="J1243" t="str">
        <f>IF(0 = IFERROR(VLOOKUP(DBL_FullList!I1243, ContactsDbl!B:D, 2, FALSE), ""), "", IFERROR(VLOOKUP(DBL_FullList!I1243, ContactsDbl!B:D, 2, FALSE), ""))</f>
        <v>dbladmin_intl@sil.org</v>
      </c>
      <c r="K1243" t="str">
        <f>IF(0 = IFERROR(VLOOKUP(DBL_FullList!I1243,ContactsDbl!B:D, 3, FALSE), ""), "", IFERROR(VLOOKUP(DBL_FullList!I1243, ContactsDbl!B:D, 3, FALSE), ""))</f>
        <v>http://www.wycliffe.org</v>
      </c>
      <c r="L1243">
        <f t="shared" si="39"/>
        <v>2</v>
      </c>
    </row>
    <row r="1244" spans="1:12" x14ac:dyDescent="0.25">
      <c r="A1244" t="s">
        <v>6934</v>
      </c>
      <c r="B1244" t="str">
        <f>IF(ISERROR(VLOOKUP(F1244,STEP!A:A, 1, FALSE)), "N", "Y")</f>
        <v>N</v>
      </c>
      <c r="C1244" t="str">
        <f>IF(ISERROR(VLOOKUP(E1244, BibleInEveryLanguageTexts!A:A, 1, FALSE)), "N", "Y")</f>
        <v>N</v>
      </c>
      <c r="D1244" t="str">
        <f t="shared" si="38"/>
        <v>X</v>
      </c>
      <c r="E1244" t="s">
        <v>6935</v>
      </c>
      <c r="F1244" t="s">
        <v>5208</v>
      </c>
      <c r="G1244" t="s">
        <v>4050</v>
      </c>
      <c r="H1244" t="s">
        <v>6936</v>
      </c>
      <c r="I1244" t="s">
        <v>2433</v>
      </c>
      <c r="J1244" t="str">
        <f>IF(0 = IFERROR(VLOOKUP(DBL_FullList!I1244, ContactsDbl!B:D, 2, FALSE), ""), "", IFERROR(VLOOKUP(DBL_FullList!I1244, ContactsDbl!B:D, 2, FALSE), ""))</f>
        <v>igalicia@sbm.mx</v>
      </c>
      <c r="K1244" t="str">
        <f>IF(0 = IFERROR(VLOOKUP(DBL_FullList!I1244,ContactsDbl!B:D, 3, FALSE), ""), "", IFERROR(VLOOKUP(DBL_FullList!I1244, ContactsDbl!B:D, 3, FALSE), ""))</f>
        <v>www.sbm.mx</v>
      </c>
      <c r="L1244">
        <f t="shared" si="39"/>
        <v>2</v>
      </c>
    </row>
    <row r="1245" spans="1:12" x14ac:dyDescent="0.25">
      <c r="A1245" t="s">
        <v>6937</v>
      </c>
      <c r="B1245" t="str">
        <f>IF(ISERROR(VLOOKUP(F1245,STEP!A:A, 1, FALSE)), "N", "Y")</f>
        <v>N</v>
      </c>
      <c r="C1245" t="str">
        <f>IF(ISERROR(VLOOKUP(E1245, BibleInEveryLanguageTexts!A:A, 1, FALSE)), "N", "Y")</f>
        <v>N</v>
      </c>
      <c r="D1245" t="str">
        <f t="shared" si="38"/>
        <v>X</v>
      </c>
      <c r="E1245" t="s">
        <v>517</v>
      </c>
      <c r="F1245" t="s">
        <v>515</v>
      </c>
      <c r="G1245" t="s">
        <v>516</v>
      </c>
      <c r="H1245" t="s">
        <v>6938</v>
      </c>
      <c r="I1245" t="s">
        <v>2476</v>
      </c>
      <c r="J1245" t="str">
        <f>IF(0 = IFERROR(VLOOKUP(DBL_FullList!I1245, ContactsDbl!B:D, 2, FALSE), ""), "", IFERROR(VLOOKUP(DBL_FullList!I1245, ContactsDbl!B:D, 2, FALSE), ""))</f>
        <v>info@bijbelgenootschap.nl</v>
      </c>
      <c r="K1245" t="str">
        <f>IF(0 = IFERROR(VLOOKUP(DBL_FullList!I1245,ContactsDbl!B:D, 3, FALSE), ""), "", IFERROR(VLOOKUP(DBL_FullList!I1245, ContactsDbl!B:D, 3, FALSE), ""))</f>
        <v>https://www.bijbelgenootschap.nl/</v>
      </c>
      <c r="L1245">
        <f t="shared" si="39"/>
        <v>2</v>
      </c>
    </row>
    <row r="1246" spans="1:12" x14ac:dyDescent="0.25">
      <c r="A1246" t="s">
        <v>6939</v>
      </c>
      <c r="B1246" t="str">
        <f>IF(ISERROR(VLOOKUP(F1246,STEP!A:A, 1, FALSE)), "N", "Y")</f>
        <v>N</v>
      </c>
      <c r="C1246" t="str">
        <f>IF(ISERROR(VLOOKUP(E1246, BibleInEveryLanguageTexts!A:A, 1, FALSE)), "N", "Y")</f>
        <v>N</v>
      </c>
      <c r="D1246" t="str">
        <f t="shared" si="38"/>
        <v>X</v>
      </c>
      <c r="E1246" t="s">
        <v>6940</v>
      </c>
      <c r="F1246" t="s">
        <v>6941</v>
      </c>
      <c r="G1246" t="s">
        <v>4050</v>
      </c>
      <c r="H1246" t="s">
        <v>6942</v>
      </c>
      <c r="I1246" t="s">
        <v>2661</v>
      </c>
      <c r="J1246" t="str">
        <f>IF(0 = IFERROR(VLOOKUP(DBL_FullList!I1246, ContactsDbl!B:D, 2, FALSE), ""), "", IFERROR(VLOOKUP(DBL_FullList!I1246, ContactsDbl!B:D, 2, FALSE), ""))</f>
        <v>dbladmin_intl@sil.org</v>
      </c>
      <c r="K1246" t="str">
        <f>IF(0 = IFERROR(VLOOKUP(DBL_FullList!I1246,ContactsDbl!B:D, 3, FALSE), ""), "", IFERROR(VLOOKUP(DBL_FullList!I1246, ContactsDbl!B:D, 3, FALSE), ""))</f>
        <v>http://www.wycliffe.org</v>
      </c>
      <c r="L1246">
        <f t="shared" si="39"/>
        <v>2</v>
      </c>
    </row>
    <row r="1247" spans="1:12" x14ac:dyDescent="0.25">
      <c r="A1247" t="s">
        <v>6943</v>
      </c>
      <c r="B1247" t="str">
        <f>IF(ISERROR(VLOOKUP(F1247,STEP!A:A, 1, FALSE)), "N", "Y")</f>
        <v>N</v>
      </c>
      <c r="C1247" t="str">
        <f>IF(ISERROR(VLOOKUP(E1247, BibleInEveryLanguageTexts!A:A, 1, FALSE)), "N", "Y")</f>
        <v>N</v>
      </c>
      <c r="D1247" t="str">
        <f t="shared" si="38"/>
        <v>X</v>
      </c>
      <c r="E1247" t="s">
        <v>1667</v>
      </c>
      <c r="F1247" t="s">
        <v>6809</v>
      </c>
      <c r="G1247" t="s">
        <v>5400</v>
      </c>
      <c r="H1247" t="s">
        <v>6944</v>
      </c>
      <c r="I1247" t="s">
        <v>1997</v>
      </c>
      <c r="J1247" t="str">
        <f>IF(0 = IFERROR(VLOOKUP(DBL_FullList!I1247, ContactsDbl!B:D, 2, FALSE), ""), "", IFERROR(VLOOKUP(DBL_FullList!I1247, ContactsDbl!B:D, 2, FALSE), ""))</f>
        <v>Lee.Harris@biblica.com</v>
      </c>
      <c r="K1247" t="str">
        <f>IF(0 = IFERROR(VLOOKUP(DBL_FullList!I1247,ContactsDbl!B:D, 3, FALSE), ""), "", IFERROR(VLOOKUP(DBL_FullList!I1247, ContactsDbl!B:D, 3, FALSE), ""))</f>
        <v>http://www.Biblica.com</v>
      </c>
      <c r="L1247">
        <f t="shared" si="39"/>
        <v>2</v>
      </c>
    </row>
    <row r="1248" spans="1:12" x14ac:dyDescent="0.25">
      <c r="A1248" t="s">
        <v>6945</v>
      </c>
      <c r="B1248" t="str">
        <f>IF(ISERROR(VLOOKUP(F1248,STEP!A:A, 1, FALSE)), "N", "Y")</f>
        <v>N</v>
      </c>
      <c r="C1248" t="str">
        <f>IF(ISERROR(VLOOKUP(E1248, BibleInEveryLanguageTexts!A:A, 1, FALSE)), "N", "Y")</f>
        <v>N</v>
      </c>
      <c r="D1248" t="str">
        <f t="shared" si="38"/>
        <v>X</v>
      </c>
      <c r="E1248" t="s">
        <v>6946</v>
      </c>
      <c r="F1248" t="s">
        <v>6947</v>
      </c>
      <c r="G1248" t="s">
        <v>4050</v>
      </c>
      <c r="H1248" t="s">
        <v>6948</v>
      </c>
      <c r="I1248" t="s">
        <v>2661</v>
      </c>
      <c r="J1248" t="str">
        <f>IF(0 = IFERROR(VLOOKUP(DBL_FullList!I1248, ContactsDbl!B:D, 2, FALSE), ""), "", IFERROR(VLOOKUP(DBL_FullList!I1248, ContactsDbl!B:D, 2, FALSE), ""))</f>
        <v>dbladmin_intl@sil.org</v>
      </c>
      <c r="K1248" t="str">
        <f>IF(0 = IFERROR(VLOOKUP(DBL_FullList!I1248,ContactsDbl!B:D, 3, FALSE), ""), "", IFERROR(VLOOKUP(DBL_FullList!I1248, ContactsDbl!B:D, 3, FALSE), ""))</f>
        <v>http://www.wycliffe.org</v>
      </c>
      <c r="L1248">
        <f t="shared" si="39"/>
        <v>2</v>
      </c>
    </row>
    <row r="1249" spans="1:12" x14ac:dyDescent="0.25">
      <c r="A1249" t="s">
        <v>6949</v>
      </c>
      <c r="B1249" t="str">
        <f>IF(ISERROR(VLOOKUP(F1249,STEP!A:A, 1, FALSE)), "N", "Y")</f>
        <v>N</v>
      </c>
      <c r="C1249" t="str">
        <f>IF(ISERROR(VLOOKUP(E1249, BibleInEveryLanguageTexts!A:A, 1, FALSE)), "N", "Y")</f>
        <v>N</v>
      </c>
      <c r="D1249" t="str">
        <f t="shared" si="38"/>
        <v>X</v>
      </c>
      <c r="E1249" t="s">
        <v>3682</v>
      </c>
      <c r="F1249" t="s">
        <v>175</v>
      </c>
      <c r="G1249" t="s">
        <v>422</v>
      </c>
      <c r="H1249" t="s">
        <v>6950</v>
      </c>
      <c r="I1249" t="s">
        <v>2260</v>
      </c>
      <c r="J1249" t="str">
        <f>IF(0 = IFERROR(VLOOKUP(DBL_FullList!I1249, ContactsDbl!B:D, 2, FALSE), ""), "", IFERROR(VLOOKUP(DBL_FullList!I1249, ContactsDbl!B:D, 2, FALSE), ""))</f>
        <v>info@greekbibles.org</v>
      </c>
      <c r="K1249" t="str">
        <f>IF(0 = IFERROR(VLOOKUP(DBL_FullList!I1249,ContactsDbl!B:D, 3, FALSE), ""), "", IFERROR(VLOOKUP(DBL_FullList!I1249, ContactsDbl!B:D, 3, FALSE), ""))</f>
        <v>http://greek.bible</v>
      </c>
      <c r="L1249">
        <f t="shared" si="39"/>
        <v>2</v>
      </c>
    </row>
    <row r="1250" spans="1:12" x14ac:dyDescent="0.25">
      <c r="A1250" t="s">
        <v>6951</v>
      </c>
      <c r="B1250" t="str">
        <f>IF(ISERROR(VLOOKUP(F1250,STEP!A:A, 1, FALSE)), "N", "Y")</f>
        <v>N</v>
      </c>
      <c r="C1250" t="str">
        <f>IF(ISERROR(VLOOKUP(E1250, BibleInEveryLanguageTexts!A:A, 1, FALSE)), "N", "Y")</f>
        <v>N</v>
      </c>
      <c r="D1250" t="str">
        <f t="shared" si="38"/>
        <v>X</v>
      </c>
      <c r="E1250" t="s">
        <v>6952</v>
      </c>
      <c r="F1250" t="s">
        <v>6953</v>
      </c>
      <c r="G1250" t="s">
        <v>6049</v>
      </c>
      <c r="H1250" t="s">
        <v>6954</v>
      </c>
      <c r="I1250" t="s">
        <v>2041</v>
      </c>
      <c r="J1250" t="str">
        <f>IF(0 = IFERROR(VLOOKUP(DBL_FullList!I1250, ContactsDbl!B:D, 2, FALSE), ""), "", IFERROR(VLOOKUP(DBL_FullList!I1250, ContactsDbl!B:D, 2, FALSE), ""))</f>
        <v>info@biblesociety.am</v>
      </c>
      <c r="K1250" t="str">
        <f>IF(0 = IFERROR(VLOOKUP(DBL_FullList!I1250,ContactsDbl!B:D, 3, FALSE), ""), "", IFERROR(VLOOKUP(DBL_FullList!I1250, ContactsDbl!B:D, 3, FALSE), ""))</f>
        <v>http://www.biblesociety.am/</v>
      </c>
      <c r="L1250">
        <f t="shared" si="39"/>
        <v>2</v>
      </c>
    </row>
    <row r="1251" spans="1:12" x14ac:dyDescent="0.25">
      <c r="A1251" t="s">
        <v>6955</v>
      </c>
      <c r="B1251" t="str">
        <f>IF(ISERROR(VLOOKUP(F1251,STEP!A:A, 1, FALSE)), "N", "Y")</f>
        <v>N</v>
      </c>
      <c r="C1251" t="str">
        <f>IF(ISERROR(VLOOKUP(E1251, BibleInEveryLanguageTexts!A:A, 1, FALSE)), "N", "Y")</f>
        <v>N</v>
      </c>
      <c r="D1251" t="str">
        <f t="shared" si="38"/>
        <v>X</v>
      </c>
      <c r="E1251" t="s">
        <v>6956</v>
      </c>
      <c r="F1251" t="s">
        <v>6957</v>
      </c>
      <c r="G1251" t="s">
        <v>4050</v>
      </c>
      <c r="H1251" t="s">
        <v>6958</v>
      </c>
      <c r="I1251" t="s">
        <v>2661</v>
      </c>
      <c r="J1251" t="str">
        <f>IF(0 = IFERROR(VLOOKUP(DBL_FullList!I1251, ContactsDbl!B:D, 2, FALSE), ""), "", IFERROR(VLOOKUP(DBL_FullList!I1251, ContactsDbl!B:D, 2, FALSE), ""))</f>
        <v>dbladmin_intl@sil.org</v>
      </c>
      <c r="K1251" t="str">
        <f>IF(0 = IFERROR(VLOOKUP(DBL_FullList!I1251,ContactsDbl!B:D, 3, FALSE), ""), "", IFERROR(VLOOKUP(DBL_FullList!I1251, ContactsDbl!B:D, 3, FALSE), ""))</f>
        <v>http://www.wycliffe.org</v>
      </c>
      <c r="L1251">
        <f t="shared" si="39"/>
        <v>2</v>
      </c>
    </row>
    <row r="1252" spans="1:12" x14ac:dyDescent="0.25">
      <c r="A1252" t="s">
        <v>6959</v>
      </c>
      <c r="B1252" t="str">
        <f>IF(ISERROR(VLOOKUP(F1252,STEP!A:A, 1, FALSE)), "N", "Y")</f>
        <v>N</v>
      </c>
      <c r="C1252" t="str">
        <f>IF(ISERROR(VLOOKUP(E1252, BibleInEveryLanguageTexts!A:A, 1, FALSE)), "N", "Y")</f>
        <v>N</v>
      </c>
      <c r="D1252" t="str">
        <f t="shared" si="38"/>
        <v>X</v>
      </c>
      <c r="E1252" t="s">
        <v>6960</v>
      </c>
      <c r="F1252" t="s">
        <v>6961</v>
      </c>
      <c r="G1252" t="s">
        <v>4050</v>
      </c>
      <c r="H1252" t="s">
        <v>6962</v>
      </c>
      <c r="I1252" t="s">
        <v>2661</v>
      </c>
      <c r="J1252" t="str">
        <f>IF(0 = IFERROR(VLOOKUP(DBL_FullList!I1252, ContactsDbl!B:D, 2, FALSE), ""), "", IFERROR(VLOOKUP(DBL_FullList!I1252, ContactsDbl!B:D, 2, FALSE), ""))</f>
        <v>dbladmin_intl@sil.org</v>
      </c>
      <c r="K1252" t="str">
        <f>IF(0 = IFERROR(VLOOKUP(DBL_FullList!I1252,ContactsDbl!B:D, 3, FALSE), ""), "", IFERROR(VLOOKUP(DBL_FullList!I1252, ContactsDbl!B:D, 3, FALSE), ""))</f>
        <v>http://www.wycliffe.org</v>
      </c>
      <c r="L1252">
        <f t="shared" si="39"/>
        <v>2</v>
      </c>
    </row>
    <row r="1253" spans="1:12" x14ac:dyDescent="0.25">
      <c r="A1253" t="s">
        <v>6963</v>
      </c>
      <c r="B1253" t="str">
        <f>IF(ISERROR(VLOOKUP(F1253,STEP!A:A, 1, FALSE)), "N", "Y")</f>
        <v>N</v>
      </c>
      <c r="C1253" t="str">
        <f>IF(ISERROR(VLOOKUP(E1253, BibleInEveryLanguageTexts!A:A, 1, FALSE)), "N", "Y")</f>
        <v>N</v>
      </c>
      <c r="D1253" t="str">
        <f t="shared" si="38"/>
        <v>X</v>
      </c>
      <c r="E1253" t="s">
        <v>5818</v>
      </c>
      <c r="F1253" t="s">
        <v>3846</v>
      </c>
      <c r="G1253" t="s">
        <v>27</v>
      </c>
      <c r="H1253" t="s">
        <v>6964</v>
      </c>
      <c r="I1253" t="s">
        <v>2563</v>
      </c>
      <c r="J1253" t="str">
        <f>IF(0 = IFERROR(VLOOKUP(DBL_FullList!I1253, ContactsDbl!B:D, 2, FALSE), ""), "", IFERROR(VLOOKUP(DBL_FullList!I1253, ContactsDbl!B:D, 2, FALSE), ""))</f>
        <v/>
      </c>
      <c r="K1253" t="str">
        <f>IF(0 = IFERROR(VLOOKUP(DBL_FullList!I1253,ContactsDbl!B:D, 3, FALSE), ""), "", IFERROR(VLOOKUP(DBL_FullList!I1253, ContactsDbl!B:D, 3, FALSE), ""))</f>
        <v>http://www.scottishbiblesociety.org</v>
      </c>
      <c r="L1253">
        <f t="shared" si="39"/>
        <v>1</v>
      </c>
    </row>
    <row r="1254" spans="1:12" x14ac:dyDescent="0.25">
      <c r="A1254" t="s">
        <v>6965</v>
      </c>
      <c r="B1254" t="str">
        <f>IF(ISERROR(VLOOKUP(F1254,STEP!A:A, 1, FALSE)), "N", "Y")</f>
        <v>N</v>
      </c>
      <c r="C1254" t="str">
        <f>IF(ISERROR(VLOOKUP(E1254, BibleInEveryLanguageTexts!A:A, 1, FALSE)), "N", "Y")</f>
        <v>N</v>
      </c>
      <c r="D1254" t="str">
        <f t="shared" si="38"/>
        <v>X</v>
      </c>
      <c r="E1254" t="s">
        <v>6966</v>
      </c>
      <c r="F1254" t="s">
        <v>6967</v>
      </c>
      <c r="G1254" t="s">
        <v>4050</v>
      </c>
      <c r="H1254" t="s">
        <v>6968</v>
      </c>
      <c r="I1254" t="s">
        <v>2661</v>
      </c>
      <c r="J1254" t="str">
        <f>IF(0 = IFERROR(VLOOKUP(DBL_FullList!I1254, ContactsDbl!B:D, 2, FALSE), ""), "", IFERROR(VLOOKUP(DBL_FullList!I1254, ContactsDbl!B:D, 2, FALSE), ""))</f>
        <v>dbladmin_intl@sil.org</v>
      </c>
      <c r="K1254" t="str">
        <f>IF(0 = IFERROR(VLOOKUP(DBL_FullList!I1254,ContactsDbl!B:D, 3, FALSE), ""), "", IFERROR(VLOOKUP(DBL_FullList!I1254, ContactsDbl!B:D, 3, FALSE), ""))</f>
        <v>http://www.wycliffe.org</v>
      </c>
      <c r="L1254">
        <f t="shared" si="39"/>
        <v>2</v>
      </c>
    </row>
    <row r="1255" spans="1:12" x14ac:dyDescent="0.25">
      <c r="A1255" t="s">
        <v>6969</v>
      </c>
      <c r="B1255" t="str">
        <f>IF(ISERROR(VLOOKUP(F1255,STEP!A:A, 1, FALSE)), "N", "Y")</f>
        <v>N</v>
      </c>
      <c r="C1255" t="str">
        <f>IF(ISERROR(VLOOKUP(E1255, BibleInEveryLanguageTexts!A:A, 1, FALSE)), "N", "Y")</f>
        <v>N</v>
      </c>
      <c r="D1255" t="str">
        <f t="shared" si="38"/>
        <v>X</v>
      </c>
      <c r="E1255" t="s">
        <v>6970</v>
      </c>
      <c r="F1255" t="s">
        <v>6971</v>
      </c>
      <c r="G1255" t="s">
        <v>2833</v>
      </c>
      <c r="H1255" t="s">
        <v>6972</v>
      </c>
      <c r="I1255" t="s">
        <v>3104</v>
      </c>
      <c r="J1255" t="str">
        <f>IF(0 = IFERROR(VLOOKUP(DBL_FullList!I1255, ContactsDbl!B:D, 2, FALSE), ""), "", IFERROR(VLOOKUP(DBL_FullList!I1255, ContactsDbl!B:D, 2, FALSE), ""))</f>
        <v/>
      </c>
      <c r="K1255" t="str">
        <f>IF(0 = IFERROR(VLOOKUP(DBL_FullList!I1255,ContactsDbl!B:D, 3, FALSE), ""), "", IFERROR(VLOOKUP(DBL_FullList!I1255, ContactsDbl!B:D, 3, FALSE), ""))</f>
        <v/>
      </c>
      <c r="L1255">
        <f t="shared" si="39"/>
        <v>0</v>
      </c>
    </row>
    <row r="1256" spans="1:12" x14ac:dyDescent="0.25">
      <c r="A1256" t="s">
        <v>6973</v>
      </c>
      <c r="B1256" t="str">
        <f>IF(ISERROR(VLOOKUP(F1256,STEP!A:A, 1, FALSE)), "N", "Y")</f>
        <v>N</v>
      </c>
      <c r="C1256" t="str">
        <f>IF(ISERROR(VLOOKUP(E1256, BibleInEveryLanguageTexts!A:A, 1, FALSE)), "N", "Y")</f>
        <v>N</v>
      </c>
      <c r="D1256" t="str">
        <f t="shared" si="38"/>
        <v>X</v>
      </c>
      <c r="E1256" t="s">
        <v>3578</v>
      </c>
      <c r="F1256" t="s">
        <v>3579</v>
      </c>
      <c r="G1256" t="s">
        <v>2833</v>
      </c>
      <c r="H1256" t="s">
        <v>6974</v>
      </c>
      <c r="I1256" t="s">
        <v>1997</v>
      </c>
      <c r="J1256" t="str">
        <f>IF(0 = IFERROR(VLOOKUP(DBL_FullList!I1256, ContactsDbl!B:D, 2, FALSE), ""), "", IFERROR(VLOOKUP(DBL_FullList!I1256, ContactsDbl!B:D, 2, FALSE), ""))</f>
        <v>Lee.Harris@biblica.com</v>
      </c>
      <c r="K1256" t="str">
        <f>IF(0 = IFERROR(VLOOKUP(DBL_FullList!I1256,ContactsDbl!B:D, 3, FALSE), ""), "", IFERROR(VLOOKUP(DBL_FullList!I1256, ContactsDbl!B:D, 3, FALSE), ""))</f>
        <v>http://www.Biblica.com</v>
      </c>
      <c r="L1256">
        <f t="shared" si="39"/>
        <v>2</v>
      </c>
    </row>
    <row r="1257" spans="1:12" x14ac:dyDescent="0.25">
      <c r="A1257" t="s">
        <v>6975</v>
      </c>
      <c r="B1257" t="str">
        <f>IF(ISERROR(VLOOKUP(F1257,STEP!A:A, 1, FALSE)), "N", "Y")</f>
        <v>N</v>
      </c>
      <c r="C1257" t="str">
        <f>IF(ISERROR(VLOOKUP(E1257, BibleInEveryLanguageTexts!A:A, 1, FALSE)), "N", "Y")</f>
        <v>Y</v>
      </c>
      <c r="D1257" t="str">
        <f t="shared" si="38"/>
        <v/>
      </c>
      <c r="E1257" t="s">
        <v>12</v>
      </c>
      <c r="F1257" t="s">
        <v>10</v>
      </c>
      <c r="G1257" t="s">
        <v>27</v>
      </c>
      <c r="H1257" t="s">
        <v>6976</v>
      </c>
      <c r="I1257" t="s">
        <v>3104</v>
      </c>
      <c r="J1257" t="str">
        <f>IF(0 = IFERROR(VLOOKUP(DBL_FullList!I1257, ContactsDbl!B:D, 2, FALSE), ""), "", IFERROR(VLOOKUP(DBL_FullList!I1257, ContactsDbl!B:D, 2, FALSE), ""))</f>
        <v/>
      </c>
      <c r="K1257" t="str">
        <f>IF(0 = IFERROR(VLOOKUP(DBL_FullList!I1257,ContactsDbl!B:D, 3, FALSE), ""), "", IFERROR(VLOOKUP(DBL_FullList!I1257, ContactsDbl!B:D, 3, FALSE), ""))</f>
        <v/>
      </c>
      <c r="L1257">
        <f t="shared" si="39"/>
        <v>0</v>
      </c>
    </row>
    <row r="1258" spans="1:12" x14ac:dyDescent="0.25">
      <c r="A1258" t="s">
        <v>6977</v>
      </c>
      <c r="B1258" t="str">
        <f>IF(ISERROR(VLOOKUP(F1258,STEP!A:A, 1, FALSE)), "N", "Y")</f>
        <v>N</v>
      </c>
      <c r="C1258" t="str">
        <f>IF(ISERROR(VLOOKUP(E1258, BibleInEveryLanguageTexts!A:A, 1, FALSE)), "N", "Y")</f>
        <v>Y</v>
      </c>
      <c r="D1258" t="str">
        <f t="shared" si="38"/>
        <v/>
      </c>
      <c r="E1258" t="s">
        <v>320</v>
      </c>
      <c r="F1258" t="s">
        <v>319</v>
      </c>
      <c r="G1258" t="s">
        <v>20</v>
      </c>
      <c r="H1258" t="s">
        <v>6978</v>
      </c>
      <c r="I1258" t="s">
        <v>2329</v>
      </c>
      <c r="J1258" t="str">
        <f>IF(0 = IFERROR(VLOOKUP(DBL_FullList!I1258, ContactsDbl!B:D, 2, FALSE), ""), "", IFERROR(VLOOKUP(DBL_FullList!I1258, ContactsDbl!B:D, 2, FALSE), ""))</f>
        <v/>
      </c>
      <c r="K1258" t="str">
        <f>IF(0 = IFERROR(VLOOKUP(DBL_FullList!I1258,ContactsDbl!B:D, 3, FALSE), ""), "", IFERROR(VLOOKUP(DBL_FullList!I1258, ContactsDbl!B:D, 3, FALSE), ""))</f>
        <v>http://www.bsind.org/</v>
      </c>
      <c r="L1258">
        <f t="shared" si="39"/>
        <v>1</v>
      </c>
    </row>
    <row r="1259" spans="1:12" x14ac:dyDescent="0.25">
      <c r="A1259" t="s">
        <v>6979</v>
      </c>
      <c r="B1259" t="str">
        <f>IF(ISERROR(VLOOKUP(F1259,STEP!A:A, 1, FALSE)), "N", "Y")</f>
        <v>N</v>
      </c>
      <c r="C1259" t="str">
        <f>IF(ISERROR(VLOOKUP(E1259, BibleInEveryLanguageTexts!A:A, 1, FALSE)), "N", "Y")</f>
        <v>N</v>
      </c>
      <c r="D1259" t="str">
        <f t="shared" si="38"/>
        <v>X</v>
      </c>
      <c r="E1259" t="s">
        <v>6980</v>
      </c>
      <c r="F1259" t="s">
        <v>6981</v>
      </c>
      <c r="G1259" t="s">
        <v>48</v>
      </c>
      <c r="H1259" t="s">
        <v>6982</v>
      </c>
      <c r="I1259" t="s">
        <v>2661</v>
      </c>
      <c r="J1259" t="str">
        <f>IF(0 = IFERROR(VLOOKUP(DBL_FullList!I1259, ContactsDbl!B:D, 2, FALSE), ""), "", IFERROR(VLOOKUP(DBL_FullList!I1259, ContactsDbl!B:D, 2, FALSE), ""))</f>
        <v>dbladmin_intl@sil.org</v>
      </c>
      <c r="K1259" t="str">
        <f>IF(0 = IFERROR(VLOOKUP(DBL_FullList!I1259,ContactsDbl!B:D, 3, FALSE), ""), "", IFERROR(VLOOKUP(DBL_FullList!I1259, ContactsDbl!B:D, 3, FALSE), ""))</f>
        <v>http://www.wycliffe.org</v>
      </c>
      <c r="L1259">
        <f t="shared" si="39"/>
        <v>2</v>
      </c>
    </row>
    <row r="1260" spans="1:12" x14ac:dyDescent="0.25">
      <c r="A1260" t="s">
        <v>89</v>
      </c>
      <c r="B1260" t="str">
        <f>IF(ISERROR(VLOOKUP(F1260,STEP!A:A, 1, FALSE)), "N", "Y")</f>
        <v>N</v>
      </c>
      <c r="C1260" t="str">
        <f>IF(ISERROR(VLOOKUP(E1260, BibleInEveryLanguageTexts!A:A, 1, FALSE)), "N", "Y")</f>
        <v>N</v>
      </c>
      <c r="D1260" t="str">
        <f t="shared" si="38"/>
        <v>X</v>
      </c>
      <c r="E1260" t="s">
        <v>6983</v>
      </c>
      <c r="F1260" t="s">
        <v>87</v>
      </c>
      <c r="G1260" t="s">
        <v>6984</v>
      </c>
      <c r="H1260" t="s">
        <v>6985</v>
      </c>
      <c r="I1260" t="s">
        <v>24</v>
      </c>
      <c r="J1260" t="str">
        <f>IF(0 = IFERROR(VLOOKUP(DBL_FullList!I1260, ContactsDbl!B:D, 2, FALSE), ""), "", IFERROR(VLOOKUP(DBL_FullList!I1260, ContactsDbl!B:D, 2, FALSE), ""))</f>
        <v>Michael@eBible.org</v>
      </c>
      <c r="K1260" t="str">
        <f>IF(0 = IFERROR(VLOOKUP(DBL_FullList!I1260,ContactsDbl!B:D, 3, FALSE), ""), "", IFERROR(VLOOKUP(DBL_FullList!I1260, ContactsDbl!B:D, 3, FALSE), ""))</f>
        <v>http://eBible.org</v>
      </c>
      <c r="L1260">
        <f t="shared" si="39"/>
        <v>2</v>
      </c>
    </row>
    <row r="1261" spans="1:12" x14ac:dyDescent="0.25">
      <c r="A1261" t="s">
        <v>6986</v>
      </c>
      <c r="B1261" t="str">
        <f>IF(ISERROR(VLOOKUP(F1261,STEP!A:A, 1, FALSE)), "N", "Y")</f>
        <v>N</v>
      </c>
      <c r="C1261" t="str">
        <f>IF(ISERROR(VLOOKUP(E1261, BibleInEveryLanguageTexts!A:A, 1, FALSE)), "N", "Y")</f>
        <v>N</v>
      </c>
      <c r="D1261" t="str">
        <f t="shared" si="38"/>
        <v>X</v>
      </c>
      <c r="E1261" t="s">
        <v>5433</v>
      </c>
      <c r="F1261" t="s">
        <v>5434</v>
      </c>
      <c r="G1261" t="s">
        <v>5239</v>
      </c>
      <c r="H1261" t="s">
        <v>6987</v>
      </c>
      <c r="I1261" t="s">
        <v>2487</v>
      </c>
      <c r="J1261" t="str">
        <f>IF(0 = IFERROR(VLOOKUP(DBL_FullList!I1261, ContactsDbl!B:D, 2, FALSE), ""), "", IFERROR(VLOOKUP(DBL_FullList!I1261, ContactsDbl!B:D, 2, FALSE), ""))</f>
        <v/>
      </c>
      <c r="K1261" t="str">
        <f>IF(0 = IFERROR(VLOOKUP(DBL_FullList!I1261,ContactsDbl!B:D, 3, FALSE), ""), "", IFERROR(VLOOKUP(DBL_FullList!I1261, ContactsDbl!B:D, 3, FALSE), ""))</f>
        <v>http://www.bibelselskapet.no/</v>
      </c>
      <c r="L1261">
        <f t="shared" si="39"/>
        <v>1</v>
      </c>
    </row>
    <row r="1262" spans="1:12" x14ac:dyDescent="0.25">
      <c r="A1262" t="s">
        <v>6988</v>
      </c>
      <c r="B1262" t="str">
        <f>IF(ISERROR(VLOOKUP(F1262,STEP!A:A, 1, FALSE)), "N", "Y")</f>
        <v>N</v>
      </c>
      <c r="C1262" t="str">
        <f>IF(ISERROR(VLOOKUP(E1262, BibleInEveryLanguageTexts!A:A, 1, FALSE)), "N", "Y")</f>
        <v>N</v>
      </c>
      <c r="D1262" t="str">
        <f t="shared" si="38"/>
        <v>X</v>
      </c>
      <c r="E1262" t="s">
        <v>6989</v>
      </c>
      <c r="F1262" t="s">
        <v>6990</v>
      </c>
      <c r="G1262" t="s">
        <v>4050</v>
      </c>
      <c r="H1262" t="s">
        <v>6991</v>
      </c>
      <c r="I1262" t="s">
        <v>183</v>
      </c>
      <c r="J1262" t="str">
        <f>IF(0 = IFERROR(VLOOKUP(DBL_FullList!I1262, ContactsDbl!B:D, 2, FALSE), ""), "", IFERROR(VLOOKUP(DBL_FullList!I1262, ContactsDbl!B:D, 2, FALSE), ""))</f>
        <v>dbl@biblesocieties.org</v>
      </c>
      <c r="K1262" t="str">
        <f>IF(0 = IFERROR(VLOOKUP(DBL_FullList!I1262,ContactsDbl!B:D, 3, FALSE), ""), "", IFERROR(VLOOKUP(DBL_FullList!I1262, ContactsDbl!B:D, 3, FALSE), ""))</f>
        <v>http://www.unitedbiblesocieties.org/</v>
      </c>
      <c r="L1262">
        <f t="shared" si="39"/>
        <v>2</v>
      </c>
    </row>
    <row r="1263" spans="1:12" x14ac:dyDescent="0.25">
      <c r="A1263" t="s">
        <v>6992</v>
      </c>
      <c r="B1263" t="str">
        <f>IF(ISERROR(VLOOKUP(F1263,STEP!A:A, 1, FALSE)), "N", "Y")</f>
        <v>N</v>
      </c>
      <c r="C1263" t="str">
        <f>IF(ISERROR(VLOOKUP(E1263, BibleInEveryLanguageTexts!A:A, 1, FALSE)), "N", "Y")</f>
        <v>N</v>
      </c>
      <c r="D1263" t="str">
        <f t="shared" si="38"/>
        <v>X</v>
      </c>
      <c r="E1263" t="s">
        <v>1745</v>
      </c>
      <c r="F1263" t="s">
        <v>6993</v>
      </c>
      <c r="G1263" t="s">
        <v>5400</v>
      </c>
      <c r="H1263" t="s">
        <v>6994</v>
      </c>
      <c r="I1263" t="s">
        <v>1997</v>
      </c>
      <c r="J1263" t="str">
        <f>IF(0 = IFERROR(VLOOKUP(DBL_FullList!I1263, ContactsDbl!B:D, 2, FALSE), ""), "", IFERROR(VLOOKUP(DBL_FullList!I1263, ContactsDbl!B:D, 2, FALSE), ""))</f>
        <v>Lee.Harris@biblica.com</v>
      </c>
      <c r="K1263" t="str">
        <f>IF(0 = IFERROR(VLOOKUP(DBL_FullList!I1263,ContactsDbl!B:D, 3, FALSE), ""), "", IFERROR(VLOOKUP(DBL_FullList!I1263, ContactsDbl!B:D, 3, FALSE), ""))</f>
        <v>http://www.Biblica.com</v>
      </c>
      <c r="L1263">
        <f t="shared" si="39"/>
        <v>2</v>
      </c>
    </row>
    <row r="1264" spans="1:12" x14ac:dyDescent="0.25">
      <c r="A1264" t="s">
        <v>85</v>
      </c>
      <c r="B1264" t="str">
        <f>IF(ISERROR(VLOOKUP(F1264,STEP!A:A, 1, FALSE)), "N", "Y")</f>
        <v>N</v>
      </c>
      <c r="C1264" t="str">
        <f>IF(ISERROR(VLOOKUP(E1264, BibleInEveryLanguageTexts!A:A, 1, FALSE)), "N", "Y")</f>
        <v>N</v>
      </c>
      <c r="D1264" t="str">
        <f t="shared" si="38"/>
        <v>X</v>
      </c>
      <c r="E1264" t="s">
        <v>84</v>
      </c>
      <c r="F1264" t="s">
        <v>82</v>
      </c>
      <c r="G1264" t="s">
        <v>83</v>
      </c>
      <c r="H1264" t="s">
        <v>80</v>
      </c>
      <c r="I1264" t="s">
        <v>24</v>
      </c>
      <c r="J1264" t="str">
        <f>IF(0 = IFERROR(VLOOKUP(DBL_FullList!I1264, ContactsDbl!B:D, 2, FALSE), ""), "", IFERROR(VLOOKUP(DBL_FullList!I1264, ContactsDbl!B:D, 2, FALSE), ""))</f>
        <v>Michael@eBible.org</v>
      </c>
      <c r="K1264" t="str">
        <f>IF(0 = IFERROR(VLOOKUP(DBL_FullList!I1264,ContactsDbl!B:D, 3, FALSE), ""), "", IFERROR(VLOOKUP(DBL_FullList!I1264, ContactsDbl!B:D, 3, FALSE), ""))</f>
        <v>http://eBible.org</v>
      </c>
      <c r="L1264">
        <f t="shared" si="39"/>
        <v>2</v>
      </c>
    </row>
    <row r="1265" spans="1:12" x14ac:dyDescent="0.25">
      <c r="A1265" t="s">
        <v>6995</v>
      </c>
      <c r="B1265" t="str">
        <f>IF(ISERROR(VLOOKUP(F1265,STEP!A:A, 1, FALSE)), "N", "Y")</f>
        <v>N</v>
      </c>
      <c r="C1265" t="str">
        <f>IF(ISERROR(VLOOKUP(E1265, BibleInEveryLanguageTexts!A:A, 1, FALSE)), "N", "Y")</f>
        <v>N</v>
      </c>
      <c r="D1265" t="str">
        <f t="shared" si="38"/>
        <v>X</v>
      </c>
      <c r="E1265" t="s">
        <v>334</v>
      </c>
      <c r="F1265" t="s">
        <v>332</v>
      </c>
      <c r="G1265" t="s">
        <v>333</v>
      </c>
      <c r="H1265" t="s">
        <v>6996</v>
      </c>
      <c r="I1265" t="s">
        <v>2534</v>
      </c>
      <c r="J1265" t="str">
        <f>IF(0 = IFERROR(VLOOKUP(DBL_FullList!I1265, ContactsDbl!B:D, 2, FALSE), ""), "", IFERROR(VLOOKUP(DBL_FullList!I1265, ContactsDbl!B:D, 2, FALSE), ""))</f>
        <v>elismar@sbb.org.br</v>
      </c>
      <c r="K1265" t="str">
        <f>IF(0 = IFERROR(VLOOKUP(DBL_FullList!I1265,ContactsDbl!B:D, 3, FALSE), ""), "", IFERROR(VLOOKUP(DBL_FullList!I1265, ContactsDbl!B:D, 3, FALSE), ""))</f>
        <v>http://www.sbb.org.br</v>
      </c>
      <c r="L1265">
        <f t="shared" si="39"/>
        <v>2</v>
      </c>
    </row>
    <row r="1266" spans="1:12" x14ac:dyDescent="0.25">
      <c r="A1266" t="s">
        <v>6997</v>
      </c>
      <c r="B1266" t="str">
        <f>IF(ISERROR(VLOOKUP(F1266,STEP!A:A, 1, FALSE)), "N", "Y")</f>
        <v>N</v>
      </c>
      <c r="C1266" t="str">
        <f>IF(ISERROR(VLOOKUP(E1266, BibleInEveryLanguageTexts!A:A, 1, FALSE)), "N", "Y")</f>
        <v>N</v>
      </c>
      <c r="D1266" t="str">
        <f t="shared" si="38"/>
        <v>X</v>
      </c>
      <c r="E1266" t="s">
        <v>3775</v>
      </c>
      <c r="F1266" t="s">
        <v>3776</v>
      </c>
      <c r="G1266" t="s">
        <v>3799</v>
      </c>
      <c r="H1266" t="s">
        <v>6998</v>
      </c>
      <c r="I1266" t="s">
        <v>183</v>
      </c>
      <c r="J1266" t="str">
        <f>IF(0 = IFERROR(VLOOKUP(DBL_FullList!I1266, ContactsDbl!B:D, 2, FALSE), ""), "", IFERROR(VLOOKUP(DBL_FullList!I1266, ContactsDbl!B:D, 2, FALSE), ""))</f>
        <v>dbl@biblesocieties.org</v>
      </c>
      <c r="K1266" t="str">
        <f>IF(0 = IFERROR(VLOOKUP(DBL_FullList!I1266,ContactsDbl!B:D, 3, FALSE), ""), "", IFERROR(VLOOKUP(DBL_FullList!I1266, ContactsDbl!B:D, 3, FALSE), ""))</f>
        <v>http://www.unitedbiblesocieties.org/</v>
      </c>
      <c r="L1266">
        <f t="shared" si="39"/>
        <v>2</v>
      </c>
    </row>
    <row r="1267" spans="1:12" x14ac:dyDescent="0.25">
      <c r="A1267" t="s">
        <v>6999</v>
      </c>
      <c r="B1267" t="str">
        <f>IF(ISERROR(VLOOKUP(F1267,STEP!A:A, 1, FALSE)), "N", "Y")</f>
        <v>N</v>
      </c>
      <c r="C1267" t="str">
        <f>IF(ISERROR(VLOOKUP(E1267, BibleInEveryLanguageTexts!A:A, 1, FALSE)), "N", "Y")</f>
        <v>N</v>
      </c>
      <c r="D1267" t="str">
        <f t="shared" si="38"/>
        <v>X</v>
      </c>
      <c r="E1267" t="s">
        <v>3775</v>
      </c>
      <c r="F1267" t="s">
        <v>3776</v>
      </c>
      <c r="G1267" t="s">
        <v>3799</v>
      </c>
      <c r="H1267" t="s">
        <v>7000</v>
      </c>
      <c r="I1267" t="s">
        <v>183</v>
      </c>
      <c r="J1267" t="str">
        <f>IF(0 = IFERROR(VLOOKUP(DBL_FullList!I1267, ContactsDbl!B:D, 2, FALSE), ""), "", IFERROR(VLOOKUP(DBL_FullList!I1267, ContactsDbl!B:D, 2, FALSE), ""))</f>
        <v>dbl@biblesocieties.org</v>
      </c>
      <c r="K1267" t="str">
        <f>IF(0 = IFERROR(VLOOKUP(DBL_FullList!I1267,ContactsDbl!B:D, 3, FALSE), ""), "", IFERROR(VLOOKUP(DBL_FullList!I1267, ContactsDbl!B:D, 3, FALSE), ""))</f>
        <v>http://www.unitedbiblesocieties.org/</v>
      </c>
      <c r="L1267">
        <f t="shared" si="39"/>
        <v>2</v>
      </c>
    </row>
    <row r="1268" spans="1:12" x14ac:dyDescent="0.25">
      <c r="A1268" t="s">
        <v>7001</v>
      </c>
      <c r="B1268" t="str">
        <f>IF(ISERROR(VLOOKUP(F1268,STEP!A:A, 1, FALSE)), "N", "Y")</f>
        <v>N</v>
      </c>
      <c r="C1268" t="str">
        <f>IF(ISERROR(VLOOKUP(E1268, BibleInEveryLanguageTexts!A:A, 1, FALSE)), "N", "Y")</f>
        <v>N</v>
      </c>
      <c r="D1268" t="str">
        <f t="shared" si="38"/>
        <v>X</v>
      </c>
      <c r="E1268" t="s">
        <v>3775</v>
      </c>
      <c r="F1268" t="s">
        <v>3776</v>
      </c>
      <c r="G1268" t="s">
        <v>4607</v>
      </c>
      <c r="H1268" t="s">
        <v>7002</v>
      </c>
      <c r="I1268" t="s">
        <v>183</v>
      </c>
      <c r="J1268" t="str">
        <f>IF(0 = IFERROR(VLOOKUP(DBL_FullList!I1268, ContactsDbl!B:D, 2, FALSE), ""), "", IFERROR(VLOOKUP(DBL_FullList!I1268, ContactsDbl!B:D, 2, FALSE), ""))</f>
        <v>dbl@biblesocieties.org</v>
      </c>
      <c r="K1268" t="str">
        <f>IF(0 = IFERROR(VLOOKUP(DBL_FullList!I1268,ContactsDbl!B:D, 3, FALSE), ""), "", IFERROR(VLOOKUP(DBL_FullList!I1268, ContactsDbl!B:D, 3, FALSE), ""))</f>
        <v>http://www.unitedbiblesocieties.org/</v>
      </c>
      <c r="L1268">
        <f t="shared" si="39"/>
        <v>2</v>
      </c>
    </row>
    <row r="1269" spans="1:12" x14ac:dyDescent="0.25">
      <c r="A1269" t="s">
        <v>7003</v>
      </c>
      <c r="B1269" t="str">
        <f>IF(ISERROR(VLOOKUP(F1269,STEP!A:A, 1, FALSE)), "N", "Y")</f>
        <v>N</v>
      </c>
      <c r="C1269" t="str">
        <f>IF(ISERROR(VLOOKUP(E1269, BibleInEveryLanguageTexts!A:A, 1, FALSE)), "N", "Y")</f>
        <v>N</v>
      </c>
      <c r="D1269" t="str">
        <f t="shared" si="38"/>
        <v>X</v>
      </c>
      <c r="E1269" t="s">
        <v>5100</v>
      </c>
      <c r="F1269" t="s">
        <v>5101</v>
      </c>
      <c r="G1269" t="s">
        <v>4200</v>
      </c>
      <c r="H1269" t="s">
        <v>7004</v>
      </c>
      <c r="I1269" t="s">
        <v>2452</v>
      </c>
      <c r="J1269" t="str">
        <f>IF(0 = IFERROR(VLOOKUP(DBL_FullList!I1269, ContactsDbl!B:D, 2, FALSE), ""), "", IFERROR(VLOOKUP(DBL_FullList!I1269, ContactsDbl!B:D, 2, FALSE), ""))</f>
        <v>bsmalawi-dbl@biblesocieties.org</v>
      </c>
      <c r="K1269" t="str">
        <f>IF(0 = IFERROR(VLOOKUP(DBL_FullList!I1269,ContactsDbl!B:D, 3, FALSE), ""), "", IFERROR(VLOOKUP(DBL_FullList!I1269, ContactsDbl!B:D, 3, FALSE), ""))</f>
        <v>http://www.biblesociety-malawi.org/</v>
      </c>
      <c r="L1269">
        <f t="shared" si="39"/>
        <v>2</v>
      </c>
    </row>
    <row r="1270" spans="1:12" x14ac:dyDescent="0.25">
      <c r="A1270" t="s">
        <v>7005</v>
      </c>
      <c r="B1270" t="str">
        <f>IF(ISERROR(VLOOKUP(F1270,STEP!A:A, 1, FALSE)), "N", "Y")</f>
        <v>N</v>
      </c>
      <c r="C1270" t="str">
        <f>IF(ISERROR(VLOOKUP(E1270, BibleInEveryLanguageTexts!A:A, 1, FALSE)), "N", "Y")</f>
        <v>N</v>
      </c>
      <c r="D1270" t="str">
        <f t="shared" si="38"/>
        <v>X</v>
      </c>
      <c r="E1270" t="s">
        <v>3775</v>
      </c>
      <c r="F1270" t="s">
        <v>3776</v>
      </c>
      <c r="G1270" t="s">
        <v>4607</v>
      </c>
      <c r="H1270" t="s">
        <v>7006</v>
      </c>
      <c r="I1270" t="s">
        <v>183</v>
      </c>
      <c r="J1270" t="str">
        <f>IF(0 = IFERROR(VLOOKUP(DBL_FullList!I1270, ContactsDbl!B:D, 2, FALSE), ""), "", IFERROR(VLOOKUP(DBL_FullList!I1270, ContactsDbl!B:D, 2, FALSE), ""))</f>
        <v>dbl@biblesocieties.org</v>
      </c>
      <c r="K1270" t="str">
        <f>IF(0 = IFERROR(VLOOKUP(DBL_FullList!I1270,ContactsDbl!B:D, 3, FALSE), ""), "", IFERROR(VLOOKUP(DBL_FullList!I1270, ContactsDbl!B:D, 3, FALSE), ""))</f>
        <v>http://www.unitedbiblesocieties.org/</v>
      </c>
      <c r="L1270">
        <f t="shared" si="39"/>
        <v>2</v>
      </c>
    </row>
    <row r="1271" spans="1:12" x14ac:dyDescent="0.25">
      <c r="A1271" t="s">
        <v>7007</v>
      </c>
      <c r="B1271" t="str">
        <f>IF(ISERROR(VLOOKUP(F1271,STEP!A:A, 1, FALSE)), "N", "Y")</f>
        <v>N</v>
      </c>
      <c r="C1271" t="str">
        <f>IF(ISERROR(VLOOKUP(E1271, BibleInEveryLanguageTexts!A:A, 1, FALSE)), "N", "Y")</f>
        <v>N</v>
      </c>
      <c r="D1271" t="str">
        <f t="shared" si="38"/>
        <v>X</v>
      </c>
      <c r="E1271" t="s">
        <v>7008</v>
      </c>
      <c r="F1271" t="s">
        <v>7009</v>
      </c>
      <c r="G1271" t="s">
        <v>2756</v>
      </c>
      <c r="H1271" t="s">
        <v>7010</v>
      </c>
      <c r="I1271" t="s">
        <v>2126</v>
      </c>
      <c r="J1271" t="str">
        <f>IF(0 = IFERROR(VLOOKUP(DBL_FullList!I1271, ContactsDbl!B:D, 2, FALSE), ""), "", IFERROR(VLOOKUP(DBL_FullList!I1271, ContactsDbl!B:D, 2, FALSE), ""))</f>
        <v>gluke@biblesocieties.org</v>
      </c>
      <c r="K1271" t="str">
        <f>IF(0 = IFERROR(VLOOKUP(DBL_FullList!I1271,ContactsDbl!B:D, 3, FALSE), ""), "", IFERROR(VLOOKUP(DBL_FullList!I1271, ContactsDbl!B:D, 3, FALSE), ""))</f>
        <v>http://www.biblesociety-cameroon.org/</v>
      </c>
      <c r="L1271">
        <f t="shared" si="39"/>
        <v>2</v>
      </c>
    </row>
    <row r="1272" spans="1:12" x14ac:dyDescent="0.25">
      <c r="A1272" s="1" t="s">
        <v>7011</v>
      </c>
      <c r="B1272" t="str">
        <f>IF(ISERROR(VLOOKUP(F1272,STEP!A:A, 1, FALSE)), "N", "Y")</f>
        <v>N</v>
      </c>
      <c r="C1272" t="str">
        <f>IF(ISERROR(VLOOKUP(E1272, BibleInEveryLanguageTexts!A:A, 1, FALSE)), "N", "Y")</f>
        <v>N</v>
      </c>
      <c r="D1272" t="str">
        <f t="shared" si="38"/>
        <v>X</v>
      </c>
      <c r="E1272" t="s">
        <v>5711</v>
      </c>
      <c r="F1272" t="s">
        <v>5712</v>
      </c>
      <c r="G1272" t="s">
        <v>6171</v>
      </c>
      <c r="H1272" t="s">
        <v>7012</v>
      </c>
      <c r="I1272" t="s">
        <v>2061</v>
      </c>
      <c r="J1272" t="str">
        <f>IF(0 = IFERROR(VLOOKUP(DBL_FullList!I1272, ContactsDbl!B:D, 2, FALSE), ""), "", IFERROR(VLOOKUP(DBL_FullList!I1272, ContactsDbl!B:D, 2, FALSE), ""))</f>
        <v>bsl@biblesociety.org.lb</v>
      </c>
      <c r="K1272" t="str">
        <f>IF(0 = IFERROR(VLOOKUP(DBL_FullList!I1272,ContactsDbl!B:D, 3, FALSE), ""), "", IFERROR(VLOOKUP(DBL_FullList!I1272, ContactsDbl!B:D, 3, FALSE), ""))</f>
        <v>http://www.biblesociety.org.lb/</v>
      </c>
      <c r="L1272">
        <f t="shared" si="39"/>
        <v>2</v>
      </c>
    </row>
    <row r="1273" spans="1:12" x14ac:dyDescent="0.25">
      <c r="A1273" t="s">
        <v>7013</v>
      </c>
      <c r="B1273" t="str">
        <f>IF(ISERROR(VLOOKUP(F1273,STEP!A:A, 1, FALSE)), "N", "Y")</f>
        <v>N</v>
      </c>
      <c r="C1273" t="str">
        <f>IF(ISERROR(VLOOKUP(E1273, BibleInEveryLanguageTexts!A:A, 1, FALSE)), "N", "Y")</f>
        <v>N</v>
      </c>
      <c r="D1273" t="str">
        <f t="shared" si="38"/>
        <v>X</v>
      </c>
      <c r="E1273" t="s">
        <v>7014</v>
      </c>
      <c r="F1273" t="s">
        <v>7015</v>
      </c>
      <c r="G1273" t="s">
        <v>4050</v>
      </c>
      <c r="H1273" t="s">
        <v>7016</v>
      </c>
      <c r="I1273" t="s">
        <v>2433</v>
      </c>
      <c r="J1273" t="str">
        <f>IF(0 = IFERROR(VLOOKUP(DBL_FullList!I1273, ContactsDbl!B:D, 2, FALSE), ""), "", IFERROR(VLOOKUP(DBL_FullList!I1273, ContactsDbl!B:D, 2, FALSE), ""))</f>
        <v>igalicia@sbm.mx</v>
      </c>
      <c r="K1273" t="str">
        <f>IF(0 = IFERROR(VLOOKUP(DBL_FullList!I1273,ContactsDbl!B:D, 3, FALSE), ""), "", IFERROR(VLOOKUP(DBL_FullList!I1273, ContactsDbl!B:D, 3, FALSE), ""))</f>
        <v>www.sbm.mx</v>
      </c>
      <c r="L1273">
        <f t="shared" si="39"/>
        <v>2</v>
      </c>
    </row>
    <row r="1274" spans="1:12" x14ac:dyDescent="0.25">
      <c r="A1274" t="s">
        <v>7017</v>
      </c>
      <c r="B1274" t="str">
        <f>IF(ISERROR(VLOOKUP(F1274,STEP!A:A, 1, FALSE)), "N", "Y")</f>
        <v>Y</v>
      </c>
      <c r="C1274" t="str">
        <f>IF(ISERROR(VLOOKUP(E1274, BibleInEveryLanguageTexts!A:A, 1, FALSE)), "N", "Y")</f>
        <v>N</v>
      </c>
      <c r="D1274" t="str">
        <f t="shared" si="38"/>
        <v/>
      </c>
      <c r="E1274" t="s">
        <v>7018</v>
      </c>
      <c r="F1274" t="s">
        <v>7019</v>
      </c>
      <c r="G1274" t="s">
        <v>48</v>
      </c>
      <c r="H1274" t="s">
        <v>7020</v>
      </c>
      <c r="I1274" t="s">
        <v>2661</v>
      </c>
      <c r="J1274" t="str">
        <f>IF(0 = IFERROR(VLOOKUP(DBL_FullList!I1274, ContactsDbl!B:D, 2, FALSE), ""), "", IFERROR(VLOOKUP(DBL_FullList!I1274, ContactsDbl!B:D, 2, FALSE), ""))</f>
        <v>dbladmin_intl@sil.org</v>
      </c>
      <c r="K1274" t="str">
        <f>IF(0 = IFERROR(VLOOKUP(DBL_FullList!I1274,ContactsDbl!B:D, 3, FALSE), ""), "", IFERROR(VLOOKUP(DBL_FullList!I1274, ContactsDbl!B:D, 3, FALSE), ""))</f>
        <v>http://www.wycliffe.org</v>
      </c>
      <c r="L1274">
        <f t="shared" si="39"/>
        <v>2</v>
      </c>
    </row>
    <row r="1275" spans="1:12" x14ac:dyDescent="0.25">
      <c r="A1275" t="s">
        <v>7021</v>
      </c>
      <c r="B1275" t="str">
        <f>IF(ISERROR(VLOOKUP(F1275,STEP!A:A, 1, FALSE)), "N", "Y")</f>
        <v>N</v>
      </c>
      <c r="C1275" t="str">
        <f>IF(ISERROR(VLOOKUP(E1275, BibleInEveryLanguageTexts!A:A, 1, FALSE)), "N", "Y")</f>
        <v>N</v>
      </c>
      <c r="D1275" t="str">
        <f t="shared" si="38"/>
        <v>X</v>
      </c>
      <c r="E1275" t="s">
        <v>7022</v>
      </c>
      <c r="F1275" t="s">
        <v>7023</v>
      </c>
      <c r="G1275" t="s">
        <v>25</v>
      </c>
      <c r="H1275" t="s">
        <v>7024</v>
      </c>
      <c r="I1275" t="s">
        <v>2032</v>
      </c>
      <c r="J1275" t="str">
        <f>IF(0 = IFERROR(VLOOKUP(DBL_FullList!I1275, ContactsDbl!B:D, 2, FALSE), ""), "", IFERROR(VLOOKUP(DBL_FullList!I1275, ContactsDbl!B:D, 2, FALSE), ""))</f>
        <v>paul.eckert@biblesociety.org.au</v>
      </c>
      <c r="K1275" t="str">
        <f>IF(0 = IFERROR(VLOOKUP(DBL_FullList!I1275,ContactsDbl!B:D, 3, FALSE), ""), "", IFERROR(VLOOKUP(DBL_FullList!I1275, ContactsDbl!B:D, 3, FALSE), ""))</f>
        <v>http://www.biblesociety.org.au</v>
      </c>
      <c r="L1275">
        <f t="shared" si="39"/>
        <v>2</v>
      </c>
    </row>
    <row r="1276" spans="1:12" x14ac:dyDescent="0.25">
      <c r="A1276" t="s">
        <v>7025</v>
      </c>
      <c r="B1276" t="str">
        <f>IF(ISERROR(VLOOKUP(F1276,STEP!A:A, 1, FALSE)), "N", "Y")</f>
        <v>N</v>
      </c>
      <c r="C1276" t="str">
        <f>IF(ISERROR(VLOOKUP(E1276, BibleInEveryLanguageTexts!A:A, 1, FALSE)), "N", "Y")</f>
        <v>N</v>
      </c>
      <c r="D1276" t="str">
        <f t="shared" si="38"/>
        <v>X</v>
      </c>
      <c r="E1276" t="s">
        <v>7026</v>
      </c>
      <c r="F1276" t="s">
        <v>7027</v>
      </c>
      <c r="G1276" t="s">
        <v>77</v>
      </c>
      <c r="H1276" t="s">
        <v>7028</v>
      </c>
      <c r="I1276" t="s">
        <v>2657</v>
      </c>
      <c r="J1276" t="str">
        <f>IF(0 = IFERROR(VLOOKUP(DBL_FullList!I1276, ContactsDbl!B:D, 2, FALSE), ""), "", IFERROR(VLOOKUP(DBL_FullList!I1276, ContactsDbl!B:D, 2, FALSE), ""))</f>
        <v>lktam@biblevietnam.org</v>
      </c>
      <c r="K1276" t="str">
        <f>IF(0 = IFERROR(VLOOKUP(DBL_FullList!I1276,ContactsDbl!B:D, 3, FALSE), ""), "", IFERROR(VLOOKUP(DBL_FullList!I1276, ContactsDbl!B:D, 3, FALSE), ""))</f>
        <v>http://www.biblevietnam.org</v>
      </c>
      <c r="L1276">
        <f t="shared" si="39"/>
        <v>2</v>
      </c>
    </row>
    <row r="1277" spans="1:12" x14ac:dyDescent="0.25">
      <c r="A1277" t="s">
        <v>7029</v>
      </c>
      <c r="B1277" t="str">
        <f>IF(ISERROR(VLOOKUP(F1277,STEP!A:A, 1, FALSE)), "N", "Y")</f>
        <v>N</v>
      </c>
      <c r="C1277" t="str">
        <f>IF(ISERROR(VLOOKUP(E1277, BibleInEveryLanguageTexts!A:A, 1, FALSE)), "N", "Y")</f>
        <v>N</v>
      </c>
      <c r="D1277" t="str">
        <f t="shared" si="38"/>
        <v>X</v>
      </c>
      <c r="E1277" t="s">
        <v>7030</v>
      </c>
      <c r="F1277" t="s">
        <v>7031</v>
      </c>
      <c r="G1277" t="s">
        <v>77</v>
      </c>
      <c r="H1277" t="s">
        <v>7032</v>
      </c>
      <c r="I1277" t="s">
        <v>2657</v>
      </c>
      <c r="J1277" t="str">
        <f>IF(0 = IFERROR(VLOOKUP(DBL_FullList!I1277, ContactsDbl!B:D, 2, FALSE), ""), "", IFERROR(VLOOKUP(DBL_FullList!I1277, ContactsDbl!B:D, 2, FALSE), ""))</f>
        <v>lktam@biblevietnam.org</v>
      </c>
      <c r="K1277" t="str">
        <f>IF(0 = IFERROR(VLOOKUP(DBL_FullList!I1277,ContactsDbl!B:D, 3, FALSE), ""), "", IFERROR(VLOOKUP(DBL_FullList!I1277, ContactsDbl!B:D, 3, FALSE), ""))</f>
        <v>http://www.biblevietnam.org</v>
      </c>
      <c r="L1277">
        <f t="shared" si="39"/>
        <v>2</v>
      </c>
    </row>
    <row r="1278" spans="1:12" x14ac:dyDescent="0.25">
      <c r="A1278" t="s">
        <v>7033</v>
      </c>
      <c r="B1278" t="str">
        <f>IF(ISERROR(VLOOKUP(F1278,STEP!A:A, 1, FALSE)), "N", "Y")</f>
        <v>N</v>
      </c>
      <c r="C1278" t="str">
        <f>IF(ISERROR(VLOOKUP(E1278, BibleInEveryLanguageTexts!A:A, 1, FALSE)), "N", "Y")</f>
        <v>N</v>
      </c>
      <c r="D1278" t="str">
        <f t="shared" si="38"/>
        <v>X</v>
      </c>
      <c r="E1278" t="s">
        <v>7034</v>
      </c>
      <c r="F1278" t="s">
        <v>7035</v>
      </c>
      <c r="G1278" t="s">
        <v>7036</v>
      </c>
      <c r="H1278" t="s">
        <v>7037</v>
      </c>
      <c r="I1278" t="s">
        <v>183</v>
      </c>
      <c r="J1278" t="str">
        <f>IF(0 = IFERROR(VLOOKUP(DBL_FullList!I1278, ContactsDbl!B:D, 2, FALSE), ""), "", IFERROR(VLOOKUP(DBL_FullList!I1278, ContactsDbl!B:D, 2, FALSE), ""))</f>
        <v>dbl@biblesocieties.org</v>
      </c>
      <c r="K1278" t="str">
        <f>IF(0 = IFERROR(VLOOKUP(DBL_FullList!I1278,ContactsDbl!B:D, 3, FALSE), ""), "", IFERROR(VLOOKUP(DBL_FullList!I1278, ContactsDbl!B:D, 3, FALSE), ""))</f>
        <v>http://www.unitedbiblesocieties.org/</v>
      </c>
      <c r="L1278">
        <f t="shared" si="39"/>
        <v>2</v>
      </c>
    </row>
    <row r="1279" spans="1:12" x14ac:dyDescent="0.25">
      <c r="A1279" t="s">
        <v>7038</v>
      </c>
      <c r="B1279" t="str">
        <f>IF(ISERROR(VLOOKUP(F1279,STEP!A:A, 1, FALSE)), "N", "Y")</f>
        <v>N</v>
      </c>
      <c r="C1279" t="str">
        <f>IF(ISERROR(VLOOKUP(E1279, BibleInEveryLanguageTexts!A:A, 1, FALSE)), "N", "Y")</f>
        <v>N</v>
      </c>
      <c r="D1279" t="str">
        <f t="shared" si="38"/>
        <v>X</v>
      </c>
      <c r="E1279" t="s">
        <v>6721</v>
      </c>
      <c r="F1279" t="s">
        <v>5004</v>
      </c>
      <c r="G1279" t="s">
        <v>77</v>
      </c>
      <c r="H1279" t="s">
        <v>7039</v>
      </c>
      <c r="I1279" t="s">
        <v>2657</v>
      </c>
      <c r="J1279" t="str">
        <f>IF(0 = IFERROR(VLOOKUP(DBL_FullList!I1279, ContactsDbl!B:D, 2, FALSE), ""), "", IFERROR(VLOOKUP(DBL_FullList!I1279, ContactsDbl!B:D, 2, FALSE), ""))</f>
        <v>lktam@biblevietnam.org</v>
      </c>
      <c r="K1279" t="str">
        <f>IF(0 = IFERROR(VLOOKUP(DBL_FullList!I1279,ContactsDbl!B:D, 3, FALSE), ""), "", IFERROR(VLOOKUP(DBL_FullList!I1279, ContactsDbl!B:D, 3, FALSE), ""))</f>
        <v>http://www.biblevietnam.org</v>
      </c>
      <c r="L1279">
        <f t="shared" si="39"/>
        <v>2</v>
      </c>
    </row>
    <row r="1280" spans="1:12" x14ac:dyDescent="0.25">
      <c r="A1280" t="s">
        <v>7040</v>
      </c>
      <c r="B1280" t="str">
        <f>IF(ISERROR(VLOOKUP(F1280,STEP!A:A, 1, FALSE)), "N", "Y")</f>
        <v>N</v>
      </c>
      <c r="C1280" t="str">
        <f>IF(ISERROR(VLOOKUP(E1280, BibleInEveryLanguageTexts!A:A, 1, FALSE)), "N", "Y")</f>
        <v>N</v>
      </c>
      <c r="D1280" t="str">
        <f t="shared" si="38"/>
        <v>X</v>
      </c>
      <c r="E1280" t="s">
        <v>3088</v>
      </c>
      <c r="F1280" t="s">
        <v>3089</v>
      </c>
      <c r="G1280" t="s">
        <v>3090</v>
      </c>
      <c r="H1280" t="s">
        <v>7041</v>
      </c>
      <c r="I1280" t="s">
        <v>2222</v>
      </c>
      <c r="J1280" t="str">
        <f>IF(0 = IFERROR(VLOOKUP(DBL_FullList!I1280, ContactsDbl!B:D, 2, FALSE), ""), "", IFERROR(VLOOKUP(DBL_FullList!I1280, ContactsDbl!B:D, 2, FALSE), ""))</f>
        <v>info@piplia.fi</v>
      </c>
      <c r="K1280" t="str">
        <f>IF(0 = IFERROR(VLOOKUP(DBL_FullList!I1280,ContactsDbl!B:D, 3, FALSE), ""), "", IFERROR(VLOOKUP(DBL_FullList!I1280, ContactsDbl!B:D, 3, FALSE), ""))</f>
        <v>http://www.bible.fi/</v>
      </c>
      <c r="L1280">
        <f t="shared" si="39"/>
        <v>2</v>
      </c>
    </row>
    <row r="1281" spans="1:12" x14ac:dyDescent="0.25">
      <c r="A1281" t="s">
        <v>7042</v>
      </c>
      <c r="B1281" t="str">
        <f>IF(ISERROR(VLOOKUP(F1281,STEP!A:A, 1, FALSE)), "N", "Y")</f>
        <v>N</v>
      </c>
      <c r="C1281" t="str">
        <f>IF(ISERROR(VLOOKUP(E1281, BibleInEveryLanguageTexts!A:A, 1, FALSE)), "N", "Y")</f>
        <v>N</v>
      </c>
      <c r="D1281" t="str">
        <f t="shared" si="38"/>
        <v>X</v>
      </c>
      <c r="E1281" t="s">
        <v>517</v>
      </c>
      <c r="F1281" t="s">
        <v>515</v>
      </c>
      <c r="G1281" t="s">
        <v>516</v>
      </c>
      <c r="H1281" t="s">
        <v>7043</v>
      </c>
      <c r="I1281" t="s">
        <v>2519</v>
      </c>
      <c r="J1281" t="str">
        <f>IF(0 = IFERROR(VLOOKUP(DBL_FullList!I1281, ContactsDbl!B:D, 2, FALSE), ""), "", IFERROR(VLOOKUP(DBL_FullList!I1281, ContactsDbl!B:D, 2, FALSE), ""))</f>
        <v>gjjkarsten@jongbloed.com</v>
      </c>
      <c r="K1281" t="str">
        <f>IF(0 = IFERROR(VLOOKUP(DBL_FullList!I1281,ContactsDbl!B:D, 3, FALSE), ""), "", IFERROR(VLOOKUP(DBL_FullList!I1281, ContactsDbl!B:D, 3, FALSE), ""))</f>
        <v>http://www.royaljongbloed.com/</v>
      </c>
      <c r="L1281">
        <f t="shared" si="39"/>
        <v>2</v>
      </c>
    </row>
    <row r="1282" spans="1:12" x14ac:dyDescent="0.25">
      <c r="A1282" t="s">
        <v>7044</v>
      </c>
      <c r="B1282" t="str">
        <f>IF(ISERROR(VLOOKUP(F1282,STEP!A:A, 1, FALSE)), "N", "Y")</f>
        <v>N</v>
      </c>
      <c r="C1282" t="str">
        <f>IF(ISERROR(VLOOKUP(E1282, BibleInEveryLanguageTexts!A:A, 1, FALSE)), "N", "Y")</f>
        <v>N</v>
      </c>
      <c r="D1282" t="str">
        <f t="shared" si="38"/>
        <v>X</v>
      </c>
      <c r="E1282" t="s">
        <v>6095</v>
      </c>
      <c r="F1282" t="s">
        <v>6096</v>
      </c>
      <c r="G1282" t="s">
        <v>2984</v>
      </c>
      <c r="H1282" t="s">
        <v>7045</v>
      </c>
      <c r="I1282" t="s">
        <v>2456</v>
      </c>
      <c r="J1282" t="str">
        <f>IF(0 = IFERROR(VLOOKUP(DBL_FullList!I1282, ContactsDbl!B:D, 2, FALSE), ""), "", IFERROR(VLOOKUP(DBL_FullList!I1282, ContactsDbl!B:D, 2, FALSE), ""))</f>
        <v/>
      </c>
      <c r="K1282" t="str">
        <f>IF(0 = IFERROR(VLOOKUP(DBL_FullList!I1282,ContactsDbl!B:D, 3, FALSE), ""), "", IFERROR(VLOOKUP(DBL_FullList!I1282, ContactsDbl!B:D, 3, FALSE), ""))</f>
        <v>http://www.myanmarbible.com/</v>
      </c>
      <c r="L1282">
        <f t="shared" si="39"/>
        <v>1</v>
      </c>
    </row>
    <row r="1283" spans="1:12" x14ac:dyDescent="0.25">
      <c r="A1283" t="s">
        <v>7046</v>
      </c>
      <c r="B1283" t="str">
        <f>IF(ISERROR(VLOOKUP(F1283,STEP!A:A, 1, FALSE)), "N", "Y")</f>
        <v>N</v>
      </c>
      <c r="C1283" t="str">
        <f>IF(ISERROR(VLOOKUP(E1283, BibleInEveryLanguageTexts!A:A, 1, FALSE)), "N", "Y")</f>
        <v>N</v>
      </c>
      <c r="D1283" t="str">
        <f t="shared" ref="D1283:D1346" si="40">IF(AND("N" = B1283, "N" = C1283), "X", "")</f>
        <v>X</v>
      </c>
      <c r="E1283" t="s">
        <v>1758</v>
      </c>
      <c r="F1283" t="s">
        <v>4822</v>
      </c>
      <c r="G1283" t="s">
        <v>3984</v>
      </c>
      <c r="H1283" t="s">
        <v>7047</v>
      </c>
      <c r="I1283" t="s">
        <v>183</v>
      </c>
      <c r="J1283" t="str">
        <f>IF(0 = IFERROR(VLOOKUP(DBL_FullList!I1283, ContactsDbl!B:D, 2, FALSE), ""), "", IFERROR(VLOOKUP(DBL_FullList!I1283, ContactsDbl!B:D, 2, FALSE), ""))</f>
        <v>dbl@biblesocieties.org</v>
      </c>
      <c r="K1283" t="str">
        <f>IF(0 = IFERROR(VLOOKUP(DBL_FullList!I1283,ContactsDbl!B:D, 3, FALSE), ""), "", IFERROR(VLOOKUP(DBL_FullList!I1283, ContactsDbl!B:D, 3, FALSE), ""))</f>
        <v>http://www.unitedbiblesocieties.org/</v>
      </c>
      <c r="L1283">
        <f t="shared" ref="L1283:L1346" si="41">IF("" &lt;&gt; J1283, 2, IF("" &lt;&gt; K1283, 1, 0))</f>
        <v>2</v>
      </c>
    </row>
    <row r="1284" spans="1:12" x14ac:dyDescent="0.25">
      <c r="A1284" t="s">
        <v>7048</v>
      </c>
      <c r="B1284" t="str">
        <f>IF(ISERROR(VLOOKUP(F1284,STEP!A:A, 1, FALSE)), "N", "Y")</f>
        <v>N</v>
      </c>
      <c r="C1284" t="str">
        <f>IF(ISERROR(VLOOKUP(E1284, BibleInEveryLanguageTexts!A:A, 1, FALSE)), "N", "Y")</f>
        <v>N</v>
      </c>
      <c r="D1284" t="str">
        <f t="shared" si="40"/>
        <v>X</v>
      </c>
      <c r="E1284" t="s">
        <v>6047</v>
      </c>
      <c r="F1284" t="s">
        <v>6048</v>
      </c>
      <c r="G1284" t="s">
        <v>6049</v>
      </c>
      <c r="H1284" t="s">
        <v>7049</v>
      </c>
      <c r="I1284" t="s">
        <v>2041</v>
      </c>
      <c r="J1284" t="str">
        <f>IF(0 = IFERROR(VLOOKUP(DBL_FullList!I1284, ContactsDbl!B:D, 2, FALSE), ""), "", IFERROR(VLOOKUP(DBL_FullList!I1284, ContactsDbl!B:D, 2, FALSE), ""))</f>
        <v>info@biblesociety.am</v>
      </c>
      <c r="K1284" t="str">
        <f>IF(0 = IFERROR(VLOOKUP(DBL_FullList!I1284,ContactsDbl!B:D, 3, FALSE), ""), "", IFERROR(VLOOKUP(DBL_FullList!I1284, ContactsDbl!B:D, 3, FALSE), ""))</f>
        <v>http://www.biblesociety.am/</v>
      </c>
      <c r="L1284">
        <f t="shared" si="41"/>
        <v>2</v>
      </c>
    </row>
    <row r="1285" spans="1:12" x14ac:dyDescent="0.25">
      <c r="A1285" t="s">
        <v>7050</v>
      </c>
      <c r="B1285" t="str">
        <f>IF(ISERROR(VLOOKUP(F1285,STEP!A:A, 1, FALSE)), "N", "Y")</f>
        <v>N</v>
      </c>
      <c r="C1285" t="str">
        <f>IF(ISERROR(VLOOKUP(E1285, BibleInEveryLanguageTexts!A:A, 1, FALSE)), "N", "Y")</f>
        <v>N</v>
      </c>
      <c r="D1285" t="str">
        <f t="shared" si="40"/>
        <v>X</v>
      </c>
      <c r="E1285" t="s">
        <v>219</v>
      </c>
      <c r="F1285" t="s">
        <v>217</v>
      </c>
      <c r="G1285" t="s">
        <v>218</v>
      </c>
      <c r="H1285" t="s">
        <v>7051</v>
      </c>
      <c r="I1285" t="s">
        <v>2241</v>
      </c>
      <c r="J1285" t="str">
        <f>IF(0 = IFERROR(VLOOKUP(DBL_FullList!I1285, ContactsDbl!B:D, 2, FALSE), ""), "", IFERROR(VLOOKUP(DBL_FullList!I1285, ContactsDbl!B:D, 2, FALSE), ""))</f>
        <v>dbl@dbg.de</v>
      </c>
      <c r="K1285" t="str">
        <f>IF(0 = IFERROR(VLOOKUP(DBL_FullList!I1285,ContactsDbl!B:D, 3, FALSE), ""), "", IFERROR(VLOOKUP(DBL_FullList!I1285, ContactsDbl!B:D, 3, FALSE), ""))</f>
        <v>http://www.die-bibel.de</v>
      </c>
      <c r="L1285">
        <f t="shared" si="41"/>
        <v>2</v>
      </c>
    </row>
    <row r="1286" spans="1:12" x14ac:dyDescent="0.25">
      <c r="A1286" s="1" t="s">
        <v>239</v>
      </c>
      <c r="B1286" t="str">
        <f>IF(ISERROR(VLOOKUP(F1286,STEP!A:A, 1, FALSE)), "N", "Y")</f>
        <v>N</v>
      </c>
      <c r="C1286" t="str">
        <f>IF(ISERROR(VLOOKUP(E1286, BibleInEveryLanguageTexts!A:A, 1, FALSE)), "N", "Y")</f>
        <v>N</v>
      </c>
      <c r="D1286" t="str">
        <f t="shared" si="40"/>
        <v>X</v>
      </c>
      <c r="E1286" t="s">
        <v>199</v>
      </c>
      <c r="F1286" t="s">
        <v>197</v>
      </c>
      <c r="G1286" t="s">
        <v>2942</v>
      </c>
      <c r="H1286" t="s">
        <v>7052</v>
      </c>
      <c r="I1286" t="s">
        <v>183</v>
      </c>
      <c r="J1286" t="str">
        <f>IF(0 = IFERROR(VLOOKUP(DBL_FullList!I1286, ContactsDbl!B:D, 2, FALSE), ""), "", IFERROR(VLOOKUP(DBL_FullList!I1286, ContactsDbl!B:D, 2, FALSE), ""))</f>
        <v>dbl@biblesocieties.org</v>
      </c>
      <c r="K1286" t="str">
        <f>IF(0 = IFERROR(VLOOKUP(DBL_FullList!I1286,ContactsDbl!B:D, 3, FALSE), ""), "", IFERROR(VLOOKUP(DBL_FullList!I1286, ContactsDbl!B:D, 3, FALSE), ""))</f>
        <v>http://www.unitedbiblesocieties.org/</v>
      </c>
      <c r="L1286">
        <f t="shared" si="41"/>
        <v>2</v>
      </c>
    </row>
    <row r="1287" spans="1:12" x14ac:dyDescent="0.25">
      <c r="A1287" t="s">
        <v>7053</v>
      </c>
      <c r="B1287" t="str">
        <f>IF(ISERROR(VLOOKUP(F1287,STEP!A:A, 1, FALSE)), "N", "Y")</f>
        <v>N</v>
      </c>
      <c r="C1287" t="str">
        <f>IF(ISERROR(VLOOKUP(E1287, BibleInEveryLanguageTexts!A:A, 1, FALSE)), "N", "Y")</f>
        <v>N</v>
      </c>
      <c r="D1287" t="str">
        <f t="shared" si="40"/>
        <v>X</v>
      </c>
      <c r="E1287" t="s">
        <v>7054</v>
      </c>
      <c r="F1287" t="s">
        <v>7055</v>
      </c>
      <c r="G1287" t="s">
        <v>3984</v>
      </c>
      <c r="H1287" t="s">
        <v>7056</v>
      </c>
      <c r="I1287" t="s">
        <v>183</v>
      </c>
      <c r="J1287" t="str">
        <f>IF(0 = IFERROR(VLOOKUP(DBL_FullList!I1287, ContactsDbl!B:D, 2, FALSE), ""), "", IFERROR(VLOOKUP(DBL_FullList!I1287, ContactsDbl!B:D, 2, FALSE), ""))</f>
        <v>dbl@biblesocieties.org</v>
      </c>
      <c r="K1287" t="str">
        <f>IF(0 = IFERROR(VLOOKUP(DBL_FullList!I1287,ContactsDbl!B:D, 3, FALSE), ""), "", IFERROR(VLOOKUP(DBL_FullList!I1287, ContactsDbl!B:D, 3, FALSE), ""))</f>
        <v>http://www.unitedbiblesocieties.org/</v>
      </c>
      <c r="L1287">
        <f t="shared" si="41"/>
        <v>2</v>
      </c>
    </row>
    <row r="1288" spans="1:12" x14ac:dyDescent="0.25">
      <c r="A1288" t="s">
        <v>7057</v>
      </c>
      <c r="B1288" t="str">
        <f>IF(ISERROR(VLOOKUP(F1288,STEP!A:A, 1, FALSE)), "N", "Y")</f>
        <v>N</v>
      </c>
      <c r="C1288" t="str">
        <f>IF(ISERROR(VLOOKUP(E1288, BibleInEveryLanguageTexts!A:A, 1, FALSE)), "N", "Y")</f>
        <v>Y</v>
      </c>
      <c r="D1288" t="str">
        <f t="shared" si="40"/>
        <v/>
      </c>
      <c r="E1288" t="s">
        <v>12</v>
      </c>
      <c r="F1288" t="s">
        <v>10</v>
      </c>
      <c r="G1288" t="s">
        <v>11</v>
      </c>
      <c r="H1288" t="s">
        <v>7058</v>
      </c>
      <c r="I1288" t="s">
        <v>2288</v>
      </c>
      <c r="J1288" t="str">
        <f>IF(0 = IFERROR(VLOOKUP(DBL_FullList!I1288, ContactsDbl!B:D, 2, FALSE), ""), "", IFERROR(VLOOKUP(DBL_FullList!I1288, ContactsDbl!B:D, 2, FALSE), ""))</f>
        <v>tom.gilbert@lifeway.com</v>
      </c>
      <c r="K1288" t="str">
        <f>IF(0 = IFERROR(VLOOKUP(DBL_FullList!I1288,ContactsDbl!B:D, 3, FALSE), ""), "", IFERROR(VLOOKUP(DBL_FullList!I1288, ContactsDbl!B:D, 3, FALSE), ""))</f>
        <v>http://csbible.com</v>
      </c>
      <c r="L1288">
        <f t="shared" si="41"/>
        <v>2</v>
      </c>
    </row>
    <row r="1289" spans="1:12" x14ac:dyDescent="0.25">
      <c r="A1289" t="s">
        <v>7059</v>
      </c>
      <c r="B1289" t="str">
        <f>IF(ISERROR(VLOOKUP(F1289,STEP!A:A, 1, FALSE)), "N", "Y")</f>
        <v>N</v>
      </c>
      <c r="C1289" t="str">
        <f>IF(ISERROR(VLOOKUP(E1289, BibleInEveryLanguageTexts!A:A, 1, FALSE)), "N", "Y")</f>
        <v>N</v>
      </c>
      <c r="D1289" t="str">
        <f t="shared" si="40"/>
        <v>X</v>
      </c>
      <c r="E1289" t="s">
        <v>7060</v>
      </c>
      <c r="F1289" t="s">
        <v>7061</v>
      </c>
      <c r="G1289" t="s">
        <v>115</v>
      </c>
      <c r="H1289" t="s">
        <v>7062</v>
      </c>
      <c r="I1289" t="s">
        <v>1990</v>
      </c>
      <c r="J1289" t="str">
        <f>IF(0 = IFERROR(VLOOKUP(DBL_FullList!I1289, ContactsDbl!B:D, 2, FALSE), ""), "", IFERROR(VLOOKUP(DBL_FullList!I1289, ContactsDbl!B:D, 2, FALSE), ""))</f>
        <v>dbladmin@biblesint.org</v>
      </c>
      <c r="K1289" t="str">
        <f>IF(0 = IFERROR(VLOOKUP(DBL_FullList!I1289,ContactsDbl!B:D, 3, FALSE), ""), "", IFERROR(VLOOKUP(DBL_FullList!I1289, ContactsDbl!B:D, 3, FALSE), ""))</f>
        <v>http://www.biblesint.org/</v>
      </c>
      <c r="L1289">
        <f t="shared" si="41"/>
        <v>2</v>
      </c>
    </row>
    <row r="1290" spans="1:12" x14ac:dyDescent="0.25">
      <c r="A1290" t="s">
        <v>7063</v>
      </c>
      <c r="B1290" t="str">
        <f>IF(ISERROR(VLOOKUP(F1290,STEP!A:A, 1, FALSE)), "N", "Y")</f>
        <v>N</v>
      </c>
      <c r="C1290" t="str">
        <f>IF(ISERROR(VLOOKUP(E1290, BibleInEveryLanguageTexts!A:A, 1, FALSE)), "N", "Y")</f>
        <v>N</v>
      </c>
      <c r="D1290" t="str">
        <f t="shared" si="40"/>
        <v>X</v>
      </c>
      <c r="E1290" t="s">
        <v>6402</v>
      </c>
      <c r="F1290" t="s">
        <v>6403</v>
      </c>
      <c r="G1290" t="s">
        <v>4376</v>
      </c>
      <c r="H1290" t="s">
        <v>7064</v>
      </c>
      <c r="I1290" t="s">
        <v>2636</v>
      </c>
      <c r="J1290" t="str">
        <f>IF(0 = IFERROR(VLOOKUP(DBL_FullList!I1290, ContactsDbl!B:D, 2, FALSE), ""), "", IFERROR(VLOOKUP(DBL_FullList!I1290, ContactsDbl!B:D, 2, FALSE), ""))</f>
        <v>deborab@kitabimukaddes.com</v>
      </c>
      <c r="K1290" t="str">
        <f>IF(0 = IFERROR(VLOOKUP(DBL_FullList!I1290,ContactsDbl!B:D, 3, FALSE), ""), "", IFERROR(VLOOKUP(DBL_FullList!I1290, ContactsDbl!B:D, 3, FALSE), ""))</f>
        <v>http://www.kitabimukaddes.com/</v>
      </c>
      <c r="L1290">
        <f t="shared" si="41"/>
        <v>2</v>
      </c>
    </row>
    <row r="1291" spans="1:12" x14ac:dyDescent="0.25">
      <c r="A1291" t="s">
        <v>7065</v>
      </c>
      <c r="B1291" t="str">
        <f>IF(ISERROR(VLOOKUP(F1291,STEP!A:A, 1, FALSE)), "N", "Y")</f>
        <v>N</v>
      </c>
      <c r="C1291" t="str">
        <f>IF(ISERROR(VLOOKUP(E1291, BibleInEveryLanguageTexts!A:A, 1, FALSE)), "N", "Y")</f>
        <v>N</v>
      </c>
      <c r="D1291" t="str">
        <f t="shared" si="40"/>
        <v>X</v>
      </c>
      <c r="E1291" t="s">
        <v>7066</v>
      </c>
      <c r="F1291" t="s">
        <v>7067</v>
      </c>
      <c r="G1291" t="s">
        <v>2756</v>
      </c>
      <c r="H1291" t="s">
        <v>7068</v>
      </c>
      <c r="I1291" t="s">
        <v>2661</v>
      </c>
      <c r="J1291" t="str">
        <f>IF(0 = IFERROR(VLOOKUP(DBL_FullList!I1291, ContactsDbl!B:D, 2, FALSE), ""), "", IFERROR(VLOOKUP(DBL_FullList!I1291, ContactsDbl!B:D, 2, FALSE), ""))</f>
        <v>dbladmin_intl@sil.org</v>
      </c>
      <c r="K1291" t="str">
        <f>IF(0 = IFERROR(VLOOKUP(DBL_FullList!I1291,ContactsDbl!B:D, 3, FALSE), ""), "", IFERROR(VLOOKUP(DBL_FullList!I1291, ContactsDbl!B:D, 3, FALSE), ""))</f>
        <v>http://www.wycliffe.org</v>
      </c>
      <c r="L1291">
        <f t="shared" si="41"/>
        <v>2</v>
      </c>
    </row>
    <row r="1292" spans="1:12" x14ac:dyDescent="0.25">
      <c r="A1292" t="s">
        <v>7069</v>
      </c>
      <c r="B1292" t="str">
        <f>IF(ISERROR(VLOOKUP(F1292,STEP!A:A, 1, FALSE)), "N", "Y")</f>
        <v>N</v>
      </c>
      <c r="C1292" t="str">
        <f>IF(ISERROR(VLOOKUP(E1292, BibleInEveryLanguageTexts!A:A, 1, FALSE)), "N", "Y")</f>
        <v>N</v>
      </c>
      <c r="D1292" t="str">
        <f t="shared" si="40"/>
        <v>X</v>
      </c>
      <c r="E1292" t="s">
        <v>7070</v>
      </c>
      <c r="F1292" t="s">
        <v>7071</v>
      </c>
      <c r="G1292" t="s">
        <v>110</v>
      </c>
      <c r="H1292" t="s">
        <v>7072</v>
      </c>
      <c r="I1292" t="s">
        <v>2370</v>
      </c>
      <c r="J1292" t="str">
        <f>IF(0 = IFERROR(VLOOKUP(DBL_FullList!I1292, ContactsDbl!B:D, 2, FALSE), ""), "", IFERROR(VLOOKUP(DBL_FullList!I1292, ContactsDbl!B:D, 2, FALSE), ""))</f>
        <v>anwartjen@alkitab.or.id</v>
      </c>
      <c r="K1292" t="str">
        <f>IF(0 = IFERROR(VLOOKUP(DBL_FullList!I1292,ContactsDbl!B:D, 3, FALSE), ""), "", IFERROR(VLOOKUP(DBL_FullList!I1292, ContactsDbl!B:D, 3, FALSE), ""))</f>
        <v>http://www.alkitab.or.id/</v>
      </c>
      <c r="L1292">
        <f t="shared" si="41"/>
        <v>2</v>
      </c>
    </row>
    <row r="1293" spans="1:12" x14ac:dyDescent="0.25">
      <c r="A1293" t="s">
        <v>7073</v>
      </c>
      <c r="B1293" t="str">
        <f>IF(ISERROR(VLOOKUP(F1293,STEP!A:A, 1, FALSE)), "N", "Y")</f>
        <v>N</v>
      </c>
      <c r="C1293" t="str">
        <f>IF(ISERROR(VLOOKUP(E1293, BibleInEveryLanguageTexts!A:A, 1, FALSE)), "N", "Y")</f>
        <v>N</v>
      </c>
      <c r="D1293" t="str">
        <f t="shared" si="40"/>
        <v>X</v>
      </c>
      <c r="E1293" t="s">
        <v>7074</v>
      </c>
      <c r="F1293" t="s">
        <v>7075</v>
      </c>
      <c r="G1293" t="s">
        <v>25</v>
      </c>
      <c r="H1293" t="s">
        <v>7076</v>
      </c>
      <c r="I1293" t="s">
        <v>2032</v>
      </c>
      <c r="J1293" t="str">
        <f>IF(0 = IFERROR(VLOOKUP(DBL_FullList!I1293, ContactsDbl!B:D, 2, FALSE), ""), "", IFERROR(VLOOKUP(DBL_FullList!I1293, ContactsDbl!B:D, 2, FALSE), ""))</f>
        <v>paul.eckert@biblesociety.org.au</v>
      </c>
      <c r="K1293" t="str">
        <f>IF(0 = IFERROR(VLOOKUP(DBL_FullList!I1293,ContactsDbl!B:D, 3, FALSE), ""), "", IFERROR(VLOOKUP(DBL_FullList!I1293, ContactsDbl!B:D, 3, FALSE), ""))</f>
        <v>http://www.biblesociety.org.au</v>
      </c>
      <c r="L1293">
        <f t="shared" si="41"/>
        <v>2</v>
      </c>
    </row>
    <row r="1294" spans="1:12" x14ac:dyDescent="0.25">
      <c r="A1294" t="s">
        <v>7077</v>
      </c>
      <c r="B1294" t="str">
        <f>IF(ISERROR(VLOOKUP(F1294,STEP!A:A, 1, FALSE)), "N", "Y")</f>
        <v>Y</v>
      </c>
      <c r="C1294" t="str">
        <f>IF(ISERROR(VLOOKUP(E1294, BibleInEveryLanguageTexts!A:A, 1, FALSE)), "N", "Y")</f>
        <v>N</v>
      </c>
      <c r="D1294" t="str">
        <f t="shared" si="40"/>
        <v/>
      </c>
      <c r="E1294" t="s">
        <v>7078</v>
      </c>
      <c r="F1294" t="s">
        <v>7079</v>
      </c>
      <c r="G1294" t="s">
        <v>48</v>
      </c>
      <c r="H1294" t="s">
        <v>7080</v>
      </c>
      <c r="I1294" t="s">
        <v>2661</v>
      </c>
      <c r="J1294" t="str">
        <f>IF(0 = IFERROR(VLOOKUP(DBL_FullList!I1294, ContactsDbl!B:D, 2, FALSE), ""), "", IFERROR(VLOOKUP(DBL_FullList!I1294, ContactsDbl!B:D, 2, FALSE), ""))</f>
        <v>dbladmin_intl@sil.org</v>
      </c>
      <c r="K1294" t="str">
        <f>IF(0 = IFERROR(VLOOKUP(DBL_FullList!I1294,ContactsDbl!B:D, 3, FALSE), ""), "", IFERROR(VLOOKUP(DBL_FullList!I1294, ContactsDbl!B:D, 3, FALSE), ""))</f>
        <v>http://www.wycliffe.org</v>
      </c>
      <c r="L1294">
        <f t="shared" si="41"/>
        <v>2</v>
      </c>
    </row>
    <row r="1295" spans="1:12" x14ac:dyDescent="0.25">
      <c r="A1295" t="s">
        <v>7081</v>
      </c>
      <c r="B1295" t="str">
        <f>IF(ISERROR(VLOOKUP(F1295,STEP!A:A, 1, FALSE)), "N", "Y")</f>
        <v>N</v>
      </c>
      <c r="C1295" t="str">
        <f>IF(ISERROR(VLOOKUP(E1295, BibleInEveryLanguageTexts!A:A, 1, FALSE)), "N", "Y")</f>
        <v>N</v>
      </c>
      <c r="D1295" t="str">
        <f t="shared" si="40"/>
        <v>X</v>
      </c>
      <c r="E1295" t="s">
        <v>7082</v>
      </c>
      <c r="F1295" t="s">
        <v>7083</v>
      </c>
      <c r="G1295" t="s">
        <v>2793</v>
      </c>
      <c r="H1295" t="s">
        <v>7084</v>
      </c>
      <c r="I1295" t="s">
        <v>2661</v>
      </c>
      <c r="J1295" t="str">
        <f>IF(0 = IFERROR(VLOOKUP(DBL_FullList!I1295, ContactsDbl!B:D, 2, FALSE), ""), "", IFERROR(VLOOKUP(DBL_FullList!I1295, ContactsDbl!B:D, 2, FALSE), ""))</f>
        <v>dbladmin_intl@sil.org</v>
      </c>
      <c r="K1295" t="str">
        <f>IF(0 = IFERROR(VLOOKUP(DBL_FullList!I1295,ContactsDbl!B:D, 3, FALSE), ""), "", IFERROR(VLOOKUP(DBL_FullList!I1295, ContactsDbl!B:D, 3, FALSE), ""))</f>
        <v>http://www.wycliffe.org</v>
      </c>
      <c r="L1295">
        <f t="shared" si="41"/>
        <v>2</v>
      </c>
    </row>
    <row r="1296" spans="1:12" x14ac:dyDescent="0.25">
      <c r="A1296" s="1" t="s">
        <v>7085</v>
      </c>
      <c r="B1296" t="str">
        <f>IF(ISERROR(VLOOKUP(F1296,STEP!A:A, 1, FALSE)), "N", "Y")</f>
        <v>Y</v>
      </c>
      <c r="C1296" t="str">
        <f>IF(ISERROR(VLOOKUP(E1296, BibleInEveryLanguageTexts!A:A, 1, FALSE)), "N", "Y")</f>
        <v>N</v>
      </c>
      <c r="D1296" t="str">
        <f t="shared" si="40"/>
        <v/>
      </c>
      <c r="E1296" t="s">
        <v>7086</v>
      </c>
      <c r="F1296" t="s">
        <v>7087</v>
      </c>
      <c r="G1296" t="s">
        <v>3407</v>
      </c>
      <c r="H1296" t="s">
        <v>7088</v>
      </c>
      <c r="I1296" t="s">
        <v>2017</v>
      </c>
      <c r="J1296" t="str">
        <f>IF(0 = IFERROR(VLOOKUP(DBL_FullList!I1296, ContactsDbl!B:D, 2, FALSE), ""), "", IFERROR(VLOOKUP(DBL_FullList!I1296, ContactsDbl!B:D, 2, FALSE), ""))</f>
        <v>stgabriel@biblesocieties.org</v>
      </c>
      <c r="K1296" t="str">
        <f>IF(0 = IFERROR(VLOOKUP(DBL_FullList!I1296,ContactsDbl!B:D, 3, FALSE), ""), "", IFERROR(VLOOKUP(DBL_FullList!I1296, ContactsDbl!B:D, 3, FALSE), ""))</f>
        <v>http://www.unitedbiblesocieties.org/society/bible-society-in-botswana/</v>
      </c>
      <c r="L1296">
        <f t="shared" si="41"/>
        <v>2</v>
      </c>
    </row>
    <row r="1297" spans="1:12" x14ac:dyDescent="0.25">
      <c r="A1297" t="s">
        <v>7089</v>
      </c>
      <c r="B1297" t="str">
        <f>IF(ISERROR(VLOOKUP(F1297,STEP!A:A, 1, FALSE)), "N", "Y")</f>
        <v>N</v>
      </c>
      <c r="C1297" t="str">
        <f>IF(ISERROR(VLOOKUP(E1297, BibleInEveryLanguageTexts!A:A, 1, FALSE)), "N", "Y")</f>
        <v>N</v>
      </c>
      <c r="D1297" t="str">
        <f t="shared" si="40"/>
        <v>X</v>
      </c>
      <c r="E1297" t="s">
        <v>7090</v>
      </c>
      <c r="F1297" t="s">
        <v>7091</v>
      </c>
      <c r="G1297" t="s">
        <v>110</v>
      </c>
      <c r="H1297" t="s">
        <v>7092</v>
      </c>
      <c r="I1297" t="s">
        <v>2370</v>
      </c>
      <c r="J1297" t="str">
        <f>IF(0 = IFERROR(VLOOKUP(DBL_FullList!I1297, ContactsDbl!B:D, 2, FALSE), ""), "", IFERROR(VLOOKUP(DBL_FullList!I1297, ContactsDbl!B:D, 2, FALSE), ""))</f>
        <v>anwartjen@alkitab.or.id</v>
      </c>
      <c r="K1297" t="str">
        <f>IF(0 = IFERROR(VLOOKUP(DBL_FullList!I1297,ContactsDbl!B:D, 3, FALSE), ""), "", IFERROR(VLOOKUP(DBL_FullList!I1297, ContactsDbl!B:D, 3, FALSE), ""))</f>
        <v>http://www.alkitab.or.id/</v>
      </c>
      <c r="L1297">
        <f t="shared" si="41"/>
        <v>2</v>
      </c>
    </row>
    <row r="1298" spans="1:12" x14ac:dyDescent="0.25">
      <c r="A1298" t="s">
        <v>7093</v>
      </c>
      <c r="B1298" t="str">
        <f>IF(ISERROR(VLOOKUP(F1298,STEP!A:A, 1, FALSE)), "N", "Y")</f>
        <v>N</v>
      </c>
      <c r="C1298" t="str">
        <f>IF(ISERROR(VLOOKUP(E1298, BibleInEveryLanguageTexts!A:A, 1, FALSE)), "N", "Y")</f>
        <v>N</v>
      </c>
      <c r="D1298" t="str">
        <f t="shared" si="40"/>
        <v>X</v>
      </c>
      <c r="E1298" t="s">
        <v>7094</v>
      </c>
      <c r="F1298" t="s">
        <v>3535</v>
      </c>
      <c r="G1298" t="s">
        <v>2733</v>
      </c>
      <c r="H1298" t="s">
        <v>7095</v>
      </c>
      <c r="I1298" t="s">
        <v>2661</v>
      </c>
      <c r="J1298" t="str">
        <f>IF(0 = IFERROR(VLOOKUP(DBL_FullList!I1298, ContactsDbl!B:D, 2, FALSE), ""), "", IFERROR(VLOOKUP(DBL_FullList!I1298, ContactsDbl!B:D, 2, FALSE), ""))</f>
        <v>dbladmin_intl@sil.org</v>
      </c>
      <c r="K1298" t="str">
        <f>IF(0 = IFERROR(VLOOKUP(DBL_FullList!I1298,ContactsDbl!B:D, 3, FALSE), ""), "", IFERROR(VLOOKUP(DBL_FullList!I1298, ContactsDbl!B:D, 3, FALSE), ""))</f>
        <v>http://www.wycliffe.org</v>
      </c>
      <c r="L1298">
        <f t="shared" si="41"/>
        <v>2</v>
      </c>
    </row>
    <row r="1299" spans="1:12" x14ac:dyDescent="0.25">
      <c r="A1299" t="s">
        <v>7096</v>
      </c>
      <c r="B1299" t="str">
        <f>IF(ISERROR(VLOOKUP(F1299,STEP!A:A, 1, FALSE)), "N", "Y")</f>
        <v>N</v>
      </c>
      <c r="C1299" t="str">
        <f>IF(ISERROR(VLOOKUP(E1299, BibleInEveryLanguageTexts!A:A, 1, FALSE)), "N", "Y")</f>
        <v>N</v>
      </c>
      <c r="D1299" t="str">
        <f t="shared" si="40"/>
        <v>X</v>
      </c>
      <c r="E1299" t="s">
        <v>7097</v>
      </c>
      <c r="F1299" t="s">
        <v>7098</v>
      </c>
      <c r="G1299" t="s">
        <v>48</v>
      </c>
      <c r="H1299" t="s">
        <v>7099</v>
      </c>
      <c r="I1299" t="s">
        <v>2661</v>
      </c>
      <c r="J1299" t="str">
        <f>IF(0 = IFERROR(VLOOKUP(DBL_FullList!I1299, ContactsDbl!B:D, 2, FALSE), ""), "", IFERROR(VLOOKUP(DBL_FullList!I1299, ContactsDbl!B:D, 2, FALSE), ""))</f>
        <v>dbladmin_intl@sil.org</v>
      </c>
      <c r="K1299" t="str">
        <f>IF(0 = IFERROR(VLOOKUP(DBL_FullList!I1299,ContactsDbl!B:D, 3, FALSE), ""), "", IFERROR(VLOOKUP(DBL_FullList!I1299, ContactsDbl!B:D, 3, FALSE), ""))</f>
        <v>http://www.wycliffe.org</v>
      </c>
      <c r="L1299">
        <f t="shared" si="41"/>
        <v>2</v>
      </c>
    </row>
    <row r="1300" spans="1:12" x14ac:dyDescent="0.25">
      <c r="A1300" t="s">
        <v>7100</v>
      </c>
      <c r="B1300" t="str">
        <f>IF(ISERROR(VLOOKUP(F1300,STEP!A:A, 1, FALSE)), "N", "Y")</f>
        <v>N</v>
      </c>
      <c r="C1300" t="str">
        <f>IF(ISERROR(VLOOKUP(E1300, BibleInEveryLanguageTexts!A:A, 1, FALSE)), "N", "Y")</f>
        <v>N</v>
      </c>
      <c r="D1300" t="str">
        <f t="shared" si="40"/>
        <v>X</v>
      </c>
      <c r="E1300" t="s">
        <v>7101</v>
      </c>
      <c r="F1300" t="s">
        <v>7102</v>
      </c>
      <c r="G1300" t="s">
        <v>2756</v>
      </c>
      <c r="H1300" t="s">
        <v>7103</v>
      </c>
      <c r="I1300" t="s">
        <v>2126</v>
      </c>
      <c r="J1300" t="str">
        <f>IF(0 = IFERROR(VLOOKUP(DBL_FullList!I1300, ContactsDbl!B:D, 2, FALSE), ""), "", IFERROR(VLOOKUP(DBL_FullList!I1300, ContactsDbl!B:D, 2, FALSE), ""))</f>
        <v>gluke@biblesocieties.org</v>
      </c>
      <c r="K1300" t="str">
        <f>IF(0 = IFERROR(VLOOKUP(DBL_FullList!I1300,ContactsDbl!B:D, 3, FALSE), ""), "", IFERROR(VLOOKUP(DBL_FullList!I1300, ContactsDbl!B:D, 3, FALSE), ""))</f>
        <v>http://www.biblesociety-cameroon.org/</v>
      </c>
      <c r="L1300">
        <f t="shared" si="41"/>
        <v>2</v>
      </c>
    </row>
    <row r="1301" spans="1:12" x14ac:dyDescent="0.25">
      <c r="A1301" s="1" t="s">
        <v>7104</v>
      </c>
      <c r="B1301" t="str">
        <f>IF(ISERROR(VLOOKUP(F1301,STEP!A:A, 1, FALSE)), "N", "Y")</f>
        <v>Y</v>
      </c>
      <c r="C1301" t="str">
        <f>IF(ISERROR(VLOOKUP(E1301, BibleInEveryLanguageTexts!A:A, 1, FALSE)), "N", "Y")</f>
        <v>N</v>
      </c>
      <c r="D1301" t="str">
        <f t="shared" si="40"/>
        <v/>
      </c>
      <c r="E1301" t="s">
        <v>7105</v>
      </c>
      <c r="F1301" t="s">
        <v>7106</v>
      </c>
      <c r="G1301" t="s">
        <v>48</v>
      </c>
      <c r="H1301" t="s">
        <v>7107</v>
      </c>
      <c r="I1301" t="s">
        <v>2661</v>
      </c>
      <c r="J1301" t="str">
        <f>IF(0 = IFERROR(VLOOKUP(DBL_FullList!I1301, ContactsDbl!B:D, 2, FALSE), ""), "", IFERROR(VLOOKUP(DBL_FullList!I1301, ContactsDbl!B:D, 2, FALSE), ""))</f>
        <v>dbladmin_intl@sil.org</v>
      </c>
      <c r="K1301" t="str">
        <f>IF(0 = IFERROR(VLOOKUP(DBL_FullList!I1301,ContactsDbl!B:D, 3, FALSE), ""), "", IFERROR(VLOOKUP(DBL_FullList!I1301, ContactsDbl!B:D, 3, FALSE), ""))</f>
        <v>http://www.wycliffe.org</v>
      </c>
      <c r="L1301">
        <f t="shared" si="41"/>
        <v>2</v>
      </c>
    </row>
    <row r="1302" spans="1:12" x14ac:dyDescent="0.25">
      <c r="A1302" t="s">
        <v>7108</v>
      </c>
      <c r="B1302" t="str">
        <f>IF(ISERROR(VLOOKUP(F1302,STEP!A:A, 1, FALSE)), "N", "Y")</f>
        <v>N</v>
      </c>
      <c r="C1302" t="str">
        <f>IF(ISERROR(VLOOKUP(E1302, BibleInEveryLanguageTexts!A:A, 1, FALSE)), "N", "Y")</f>
        <v>N</v>
      </c>
      <c r="D1302" t="str">
        <f t="shared" si="40"/>
        <v>X</v>
      </c>
      <c r="E1302" t="s">
        <v>7109</v>
      </c>
      <c r="F1302" t="s">
        <v>7110</v>
      </c>
      <c r="G1302" t="s">
        <v>48</v>
      </c>
      <c r="H1302" t="s">
        <v>7111</v>
      </c>
      <c r="I1302" t="s">
        <v>2661</v>
      </c>
      <c r="J1302" t="str">
        <f>IF(0 = IFERROR(VLOOKUP(DBL_FullList!I1302, ContactsDbl!B:D, 2, FALSE), ""), "", IFERROR(VLOOKUP(DBL_FullList!I1302, ContactsDbl!B:D, 2, FALSE), ""))</f>
        <v>dbladmin_intl@sil.org</v>
      </c>
      <c r="K1302" t="str">
        <f>IF(0 = IFERROR(VLOOKUP(DBL_FullList!I1302,ContactsDbl!B:D, 3, FALSE), ""), "", IFERROR(VLOOKUP(DBL_FullList!I1302, ContactsDbl!B:D, 3, FALSE), ""))</f>
        <v>http://www.wycliffe.org</v>
      </c>
      <c r="L1302">
        <f t="shared" si="41"/>
        <v>2</v>
      </c>
    </row>
    <row r="1303" spans="1:12" x14ac:dyDescent="0.25">
      <c r="A1303" t="s">
        <v>7112</v>
      </c>
      <c r="B1303" t="str">
        <f>IF(ISERROR(VLOOKUP(F1303,STEP!A:A, 1, FALSE)), "N", "Y")</f>
        <v>N</v>
      </c>
      <c r="C1303" t="str">
        <f>IF(ISERROR(VLOOKUP(E1303, BibleInEveryLanguageTexts!A:A, 1, FALSE)), "N", "Y")</f>
        <v>N</v>
      </c>
      <c r="D1303" t="str">
        <f t="shared" si="40"/>
        <v>X</v>
      </c>
      <c r="E1303" t="s">
        <v>3951</v>
      </c>
      <c r="F1303" t="s">
        <v>3952</v>
      </c>
      <c r="G1303" t="s">
        <v>2733</v>
      </c>
      <c r="H1303" t="s">
        <v>7113</v>
      </c>
      <c r="I1303" t="s">
        <v>2661</v>
      </c>
      <c r="J1303" t="str">
        <f>IF(0 = IFERROR(VLOOKUP(DBL_FullList!I1303, ContactsDbl!B:D, 2, FALSE), ""), "", IFERROR(VLOOKUP(DBL_FullList!I1303, ContactsDbl!B:D, 2, FALSE), ""))</f>
        <v>dbladmin_intl@sil.org</v>
      </c>
      <c r="K1303" t="str">
        <f>IF(0 = IFERROR(VLOOKUP(DBL_FullList!I1303,ContactsDbl!B:D, 3, FALSE), ""), "", IFERROR(VLOOKUP(DBL_FullList!I1303, ContactsDbl!B:D, 3, FALSE), ""))</f>
        <v>http://www.wycliffe.org</v>
      </c>
      <c r="L1303">
        <f t="shared" si="41"/>
        <v>2</v>
      </c>
    </row>
    <row r="1304" spans="1:12" x14ac:dyDescent="0.25">
      <c r="A1304" t="s">
        <v>7114</v>
      </c>
      <c r="B1304" t="str">
        <f>IF(ISERROR(VLOOKUP(F1304,STEP!A:A, 1, FALSE)), "N", "Y")</f>
        <v>Y</v>
      </c>
      <c r="C1304" t="str">
        <f>IF(ISERROR(VLOOKUP(E1304, BibleInEveryLanguageTexts!A:A, 1, FALSE)), "N", "Y")</f>
        <v>N</v>
      </c>
      <c r="D1304" t="str">
        <f t="shared" si="40"/>
        <v/>
      </c>
      <c r="E1304" t="s">
        <v>7115</v>
      </c>
      <c r="F1304" t="s">
        <v>7116</v>
      </c>
      <c r="G1304" t="s">
        <v>48</v>
      </c>
      <c r="H1304" t="s">
        <v>7117</v>
      </c>
      <c r="I1304" t="s">
        <v>2661</v>
      </c>
      <c r="J1304" t="str">
        <f>IF(0 = IFERROR(VLOOKUP(DBL_FullList!I1304, ContactsDbl!B:D, 2, FALSE), ""), "", IFERROR(VLOOKUP(DBL_FullList!I1304, ContactsDbl!B:D, 2, FALSE), ""))</f>
        <v>dbladmin_intl@sil.org</v>
      </c>
      <c r="K1304" t="str">
        <f>IF(0 = IFERROR(VLOOKUP(DBL_FullList!I1304,ContactsDbl!B:D, 3, FALSE), ""), "", IFERROR(VLOOKUP(DBL_FullList!I1304, ContactsDbl!B:D, 3, FALSE), ""))</f>
        <v>http://www.wycliffe.org</v>
      </c>
      <c r="L1304">
        <f t="shared" si="41"/>
        <v>2</v>
      </c>
    </row>
    <row r="1305" spans="1:12" x14ac:dyDescent="0.25">
      <c r="A1305" t="s">
        <v>7118</v>
      </c>
      <c r="B1305" t="str">
        <f>IF(ISERROR(VLOOKUP(F1305,STEP!A:A, 1, FALSE)), "N", "Y")</f>
        <v>Y</v>
      </c>
      <c r="C1305" t="str">
        <f>IF(ISERROR(VLOOKUP(E1305, BibleInEveryLanguageTexts!A:A, 1, FALSE)), "N", "Y")</f>
        <v>N</v>
      </c>
      <c r="D1305" t="str">
        <f t="shared" si="40"/>
        <v/>
      </c>
      <c r="E1305" t="s">
        <v>7119</v>
      </c>
      <c r="F1305" t="s">
        <v>7120</v>
      </c>
      <c r="G1305" t="s">
        <v>48</v>
      </c>
      <c r="H1305" t="s">
        <v>7121</v>
      </c>
      <c r="I1305" t="s">
        <v>2661</v>
      </c>
      <c r="J1305" t="str">
        <f>IF(0 = IFERROR(VLOOKUP(DBL_FullList!I1305, ContactsDbl!B:D, 2, FALSE), ""), "", IFERROR(VLOOKUP(DBL_FullList!I1305, ContactsDbl!B:D, 2, FALSE), ""))</f>
        <v>dbladmin_intl@sil.org</v>
      </c>
      <c r="K1305" t="str">
        <f>IF(0 = IFERROR(VLOOKUP(DBL_FullList!I1305,ContactsDbl!B:D, 3, FALSE), ""), "", IFERROR(VLOOKUP(DBL_FullList!I1305, ContactsDbl!B:D, 3, FALSE), ""))</f>
        <v>http://www.wycliffe.org</v>
      </c>
      <c r="L1305">
        <f t="shared" si="41"/>
        <v>2</v>
      </c>
    </row>
    <row r="1306" spans="1:12" x14ac:dyDescent="0.25">
      <c r="A1306" t="s">
        <v>7122</v>
      </c>
      <c r="B1306" t="str">
        <f>IF(ISERROR(VLOOKUP(F1306,STEP!A:A, 1, FALSE)), "N", "Y")</f>
        <v>N</v>
      </c>
      <c r="C1306" t="str">
        <f>IF(ISERROR(VLOOKUP(E1306, BibleInEveryLanguageTexts!A:A, 1, FALSE)), "N", "Y")</f>
        <v>N</v>
      </c>
      <c r="D1306" t="str">
        <f t="shared" si="40"/>
        <v>X</v>
      </c>
      <c r="E1306" t="s">
        <v>7123</v>
      </c>
      <c r="F1306" t="s">
        <v>7124</v>
      </c>
      <c r="G1306" t="s">
        <v>2848</v>
      </c>
      <c r="H1306" t="s">
        <v>7125</v>
      </c>
      <c r="I1306" t="s">
        <v>2661</v>
      </c>
      <c r="J1306" t="str">
        <f>IF(0 = IFERROR(VLOOKUP(DBL_FullList!I1306, ContactsDbl!B:D, 2, FALSE), ""), "", IFERROR(VLOOKUP(DBL_FullList!I1306, ContactsDbl!B:D, 2, FALSE), ""))</f>
        <v>dbladmin_intl@sil.org</v>
      </c>
      <c r="K1306" t="str">
        <f>IF(0 = IFERROR(VLOOKUP(DBL_FullList!I1306,ContactsDbl!B:D, 3, FALSE), ""), "", IFERROR(VLOOKUP(DBL_FullList!I1306, ContactsDbl!B:D, 3, FALSE), ""))</f>
        <v>http://www.wycliffe.org</v>
      </c>
      <c r="L1306">
        <f t="shared" si="41"/>
        <v>2</v>
      </c>
    </row>
    <row r="1307" spans="1:12" x14ac:dyDescent="0.25">
      <c r="A1307" t="s">
        <v>7126</v>
      </c>
      <c r="B1307" t="str">
        <f>IF(ISERROR(VLOOKUP(F1307,STEP!A:A, 1, FALSE)), "N", "Y")</f>
        <v>N</v>
      </c>
      <c r="C1307" t="str">
        <f>IF(ISERROR(VLOOKUP(E1307, BibleInEveryLanguageTexts!A:A, 1, FALSE)), "N", "Y")</f>
        <v>N</v>
      </c>
      <c r="D1307" t="str">
        <f t="shared" si="40"/>
        <v>X</v>
      </c>
      <c r="E1307" t="s">
        <v>3131</v>
      </c>
      <c r="F1307" t="s">
        <v>3132</v>
      </c>
      <c r="G1307" t="s">
        <v>3133</v>
      </c>
      <c r="H1307" t="s">
        <v>7127</v>
      </c>
      <c r="I1307" t="s">
        <v>2661</v>
      </c>
      <c r="J1307" t="str">
        <f>IF(0 = IFERROR(VLOOKUP(DBL_FullList!I1307, ContactsDbl!B:D, 2, FALSE), ""), "", IFERROR(VLOOKUP(DBL_FullList!I1307, ContactsDbl!B:D, 2, FALSE), ""))</f>
        <v>dbladmin_intl@sil.org</v>
      </c>
      <c r="K1307" t="str">
        <f>IF(0 = IFERROR(VLOOKUP(DBL_FullList!I1307,ContactsDbl!B:D, 3, FALSE), ""), "", IFERROR(VLOOKUP(DBL_FullList!I1307, ContactsDbl!B:D, 3, FALSE), ""))</f>
        <v>http://www.wycliffe.org</v>
      </c>
      <c r="L1307">
        <f t="shared" si="41"/>
        <v>2</v>
      </c>
    </row>
    <row r="1308" spans="1:12" x14ac:dyDescent="0.25">
      <c r="A1308" t="s">
        <v>7128</v>
      </c>
      <c r="B1308" t="str">
        <f>IF(ISERROR(VLOOKUP(F1308,STEP!A:A, 1, FALSE)), "N", "Y")</f>
        <v>N</v>
      </c>
      <c r="C1308" t="str">
        <f>IF(ISERROR(VLOOKUP(E1308, BibleInEveryLanguageTexts!A:A, 1, FALSE)), "N", "Y")</f>
        <v>N</v>
      </c>
      <c r="D1308" t="str">
        <f t="shared" si="40"/>
        <v>X</v>
      </c>
      <c r="E1308" t="s">
        <v>3749</v>
      </c>
      <c r="F1308" t="s">
        <v>3750</v>
      </c>
      <c r="G1308" t="s">
        <v>3751</v>
      </c>
      <c r="H1308" t="s">
        <v>7129</v>
      </c>
      <c r="I1308" t="s">
        <v>2661</v>
      </c>
      <c r="J1308" t="str">
        <f>IF(0 = IFERROR(VLOOKUP(DBL_FullList!I1308, ContactsDbl!B:D, 2, FALSE), ""), "", IFERROR(VLOOKUP(DBL_FullList!I1308, ContactsDbl!B:D, 2, FALSE), ""))</f>
        <v>dbladmin_intl@sil.org</v>
      </c>
      <c r="K1308" t="str">
        <f>IF(0 = IFERROR(VLOOKUP(DBL_FullList!I1308,ContactsDbl!B:D, 3, FALSE), ""), "", IFERROR(VLOOKUP(DBL_FullList!I1308, ContactsDbl!B:D, 3, FALSE), ""))</f>
        <v>http://www.wycliffe.org</v>
      </c>
      <c r="L1308">
        <f t="shared" si="41"/>
        <v>2</v>
      </c>
    </row>
    <row r="1309" spans="1:12" x14ac:dyDescent="0.25">
      <c r="A1309" t="s">
        <v>7130</v>
      </c>
      <c r="B1309" t="str">
        <f>IF(ISERROR(VLOOKUP(F1309,STEP!A:A, 1, FALSE)), "N", "Y")</f>
        <v>Y</v>
      </c>
      <c r="C1309" t="str">
        <f>IF(ISERROR(VLOOKUP(E1309, BibleInEveryLanguageTexts!A:A, 1, FALSE)), "N", "Y")</f>
        <v>N</v>
      </c>
      <c r="D1309" t="str">
        <f t="shared" si="40"/>
        <v/>
      </c>
      <c r="E1309" t="s">
        <v>7131</v>
      </c>
      <c r="F1309" t="s">
        <v>7132</v>
      </c>
      <c r="G1309" t="s">
        <v>48</v>
      </c>
      <c r="H1309" t="s">
        <v>7133</v>
      </c>
      <c r="I1309" t="s">
        <v>2661</v>
      </c>
      <c r="J1309" t="str">
        <f>IF(0 = IFERROR(VLOOKUP(DBL_FullList!I1309, ContactsDbl!B:D, 2, FALSE), ""), "", IFERROR(VLOOKUP(DBL_FullList!I1309, ContactsDbl!B:D, 2, FALSE), ""))</f>
        <v>dbladmin_intl@sil.org</v>
      </c>
      <c r="K1309" t="str">
        <f>IF(0 = IFERROR(VLOOKUP(DBL_FullList!I1309,ContactsDbl!B:D, 3, FALSE), ""), "", IFERROR(VLOOKUP(DBL_FullList!I1309, ContactsDbl!B:D, 3, FALSE), ""))</f>
        <v>http://www.wycliffe.org</v>
      </c>
      <c r="L1309">
        <f t="shared" si="41"/>
        <v>2</v>
      </c>
    </row>
    <row r="1310" spans="1:12" x14ac:dyDescent="0.25">
      <c r="A1310" t="s">
        <v>7134</v>
      </c>
      <c r="B1310" t="str">
        <f>IF(ISERROR(VLOOKUP(F1310,STEP!A:A, 1, FALSE)), "N", "Y")</f>
        <v>N</v>
      </c>
      <c r="C1310" t="str">
        <f>IF(ISERROR(VLOOKUP(E1310, BibleInEveryLanguageTexts!A:A, 1, FALSE)), "N", "Y")</f>
        <v>N</v>
      </c>
      <c r="D1310" t="str">
        <f t="shared" si="40"/>
        <v>X</v>
      </c>
      <c r="E1310" t="s">
        <v>7135</v>
      </c>
      <c r="F1310" t="s">
        <v>7136</v>
      </c>
      <c r="G1310" t="s">
        <v>333</v>
      </c>
      <c r="H1310" t="s">
        <v>7137</v>
      </c>
      <c r="I1310" t="s">
        <v>2661</v>
      </c>
      <c r="J1310" t="str">
        <f>IF(0 = IFERROR(VLOOKUP(DBL_FullList!I1310, ContactsDbl!B:D, 2, FALSE), ""), "", IFERROR(VLOOKUP(DBL_FullList!I1310, ContactsDbl!B:D, 2, FALSE), ""))</f>
        <v>dbladmin_intl@sil.org</v>
      </c>
      <c r="K1310" t="str">
        <f>IF(0 = IFERROR(VLOOKUP(DBL_FullList!I1310,ContactsDbl!B:D, 3, FALSE), ""), "", IFERROR(VLOOKUP(DBL_FullList!I1310, ContactsDbl!B:D, 3, FALSE), ""))</f>
        <v>http://www.wycliffe.org</v>
      </c>
      <c r="L1310">
        <f t="shared" si="41"/>
        <v>2</v>
      </c>
    </row>
    <row r="1311" spans="1:12" x14ac:dyDescent="0.25">
      <c r="A1311" t="s">
        <v>7138</v>
      </c>
      <c r="B1311" t="str">
        <f>IF(ISERROR(VLOOKUP(F1311,STEP!A:A, 1, FALSE)), "N", "Y")</f>
        <v>N</v>
      </c>
      <c r="C1311" t="str">
        <f>IF(ISERROR(VLOOKUP(E1311, BibleInEveryLanguageTexts!A:A, 1, FALSE)), "N", "Y")</f>
        <v>N</v>
      </c>
      <c r="D1311" t="str">
        <f t="shared" si="40"/>
        <v>X</v>
      </c>
      <c r="E1311" t="s">
        <v>7139</v>
      </c>
      <c r="F1311" t="s">
        <v>7140</v>
      </c>
      <c r="G1311" t="s">
        <v>7141</v>
      </c>
      <c r="H1311" t="s">
        <v>7142</v>
      </c>
      <c r="I1311" t="s">
        <v>2611</v>
      </c>
      <c r="J1311" t="str">
        <f>IF(0 = IFERROR(VLOOKUP(DBL_FullList!I1311, ContactsDbl!B:D, 2, FALSE), ""), "", IFERROR(VLOOKUP(DBL_FullList!I1311, ContactsDbl!B:D, 2, FALSE), ""))</f>
        <v>biblesoc@seychelles.net</v>
      </c>
      <c r="K1311" t="str">
        <f>IF(0 = IFERROR(VLOOKUP(DBL_FullList!I1311,ContactsDbl!B:D, 3, FALSE), ""), "", IFERROR(VLOOKUP(DBL_FullList!I1311, ContactsDbl!B:D, 3, FALSE), ""))</f>
        <v/>
      </c>
      <c r="L1311">
        <f t="shared" si="41"/>
        <v>2</v>
      </c>
    </row>
    <row r="1312" spans="1:12" x14ac:dyDescent="0.25">
      <c r="A1312" t="s">
        <v>7143</v>
      </c>
      <c r="B1312" t="str">
        <f>IF(ISERROR(VLOOKUP(F1312,STEP!A:A, 1, FALSE)), "N", "Y")</f>
        <v>N</v>
      </c>
      <c r="C1312" t="str">
        <f>IF(ISERROR(VLOOKUP(E1312, BibleInEveryLanguageTexts!A:A, 1, FALSE)), "N", "Y")</f>
        <v>N</v>
      </c>
      <c r="D1312" t="str">
        <f t="shared" si="40"/>
        <v>X</v>
      </c>
      <c r="E1312" t="s">
        <v>7144</v>
      </c>
      <c r="F1312" t="s">
        <v>7145</v>
      </c>
      <c r="G1312" t="s">
        <v>3083</v>
      </c>
      <c r="H1312" t="s">
        <v>7146</v>
      </c>
      <c r="I1312" t="s">
        <v>183</v>
      </c>
      <c r="J1312" t="str">
        <f>IF(0 = IFERROR(VLOOKUP(DBL_FullList!I1312, ContactsDbl!B:D, 2, FALSE), ""), "", IFERROR(VLOOKUP(DBL_FullList!I1312, ContactsDbl!B:D, 2, FALSE), ""))</f>
        <v>dbl@biblesocieties.org</v>
      </c>
      <c r="K1312" t="str">
        <f>IF(0 = IFERROR(VLOOKUP(DBL_FullList!I1312,ContactsDbl!B:D, 3, FALSE), ""), "", IFERROR(VLOOKUP(DBL_FullList!I1312, ContactsDbl!B:D, 3, FALSE), ""))</f>
        <v>http://www.unitedbiblesocieties.org/</v>
      </c>
      <c r="L1312">
        <f t="shared" si="41"/>
        <v>2</v>
      </c>
    </row>
    <row r="1313" spans="1:12" x14ac:dyDescent="0.25">
      <c r="A1313" t="s">
        <v>7147</v>
      </c>
      <c r="B1313" t="str">
        <f>IF(ISERROR(VLOOKUP(F1313,STEP!A:A, 1, FALSE)), "N", "Y")</f>
        <v>N</v>
      </c>
      <c r="C1313" t="str">
        <f>IF(ISERROR(VLOOKUP(E1313, BibleInEveryLanguageTexts!A:A, 1, FALSE)), "N", "Y")</f>
        <v>N</v>
      </c>
      <c r="D1313" t="str">
        <f t="shared" si="40"/>
        <v>X</v>
      </c>
      <c r="E1313" t="s">
        <v>7148</v>
      </c>
      <c r="F1313" t="s">
        <v>7149</v>
      </c>
      <c r="G1313" t="s">
        <v>2756</v>
      </c>
      <c r="H1313" t="s">
        <v>7150</v>
      </c>
      <c r="I1313" t="s">
        <v>2661</v>
      </c>
      <c r="J1313" t="str">
        <f>IF(0 = IFERROR(VLOOKUP(DBL_FullList!I1313, ContactsDbl!B:D, 2, FALSE), ""), "", IFERROR(VLOOKUP(DBL_FullList!I1313, ContactsDbl!B:D, 2, FALSE), ""))</f>
        <v>dbladmin_intl@sil.org</v>
      </c>
      <c r="K1313" t="str">
        <f>IF(0 = IFERROR(VLOOKUP(DBL_FullList!I1313,ContactsDbl!B:D, 3, FALSE), ""), "", IFERROR(VLOOKUP(DBL_FullList!I1313, ContactsDbl!B:D, 3, FALSE), ""))</f>
        <v>http://www.wycliffe.org</v>
      </c>
      <c r="L1313">
        <f t="shared" si="41"/>
        <v>2</v>
      </c>
    </row>
    <row r="1314" spans="1:12" x14ac:dyDescent="0.25">
      <c r="A1314" t="s">
        <v>7151</v>
      </c>
      <c r="B1314" t="str">
        <f>IF(ISERROR(VLOOKUP(F1314,STEP!A:A, 1, FALSE)), "N", "Y")</f>
        <v>N</v>
      </c>
      <c r="C1314" t="str">
        <f>IF(ISERROR(VLOOKUP(E1314, BibleInEveryLanguageTexts!A:A, 1, FALSE)), "N", "Y")</f>
        <v>N</v>
      </c>
      <c r="D1314" t="str">
        <f t="shared" si="40"/>
        <v>X</v>
      </c>
      <c r="E1314" t="s">
        <v>116</v>
      </c>
      <c r="F1314" t="s">
        <v>114</v>
      </c>
      <c r="G1314" t="s">
        <v>115</v>
      </c>
      <c r="H1314" t="s">
        <v>7152</v>
      </c>
      <c r="I1314" t="s">
        <v>2623</v>
      </c>
      <c r="J1314" t="str">
        <f>IF(0 = IFERROR(VLOOKUP(DBL_FullList!I1314, ContactsDbl!B:D, 2, FALSE), ""), "", IFERROR(VLOOKUP(DBL_FullList!I1314, ContactsDbl!B:D, 2, FALSE), ""))</f>
        <v>seree@thaibible.or.th</v>
      </c>
      <c r="K1314" t="str">
        <f>IF(0 = IFERROR(VLOOKUP(DBL_FullList!I1314,ContactsDbl!B:D, 3, FALSE), ""), "", IFERROR(VLOOKUP(DBL_FullList!I1314, ContactsDbl!B:D, 3, FALSE), ""))</f>
        <v>http://www.thaibible.or.th/</v>
      </c>
      <c r="L1314">
        <f t="shared" si="41"/>
        <v>2</v>
      </c>
    </row>
    <row r="1315" spans="1:12" x14ac:dyDescent="0.25">
      <c r="A1315" t="s">
        <v>7153</v>
      </c>
      <c r="B1315" t="str">
        <f>IF(ISERROR(VLOOKUP(F1315,STEP!A:A, 1, FALSE)), "N", "Y")</f>
        <v>N</v>
      </c>
      <c r="C1315" t="str">
        <f>IF(ISERROR(VLOOKUP(E1315, BibleInEveryLanguageTexts!A:A, 1, FALSE)), "N", "Y")</f>
        <v>N</v>
      </c>
      <c r="D1315" t="str">
        <f t="shared" si="40"/>
        <v>X</v>
      </c>
      <c r="E1315" t="s">
        <v>116</v>
      </c>
      <c r="F1315" t="s">
        <v>114</v>
      </c>
      <c r="G1315" t="s">
        <v>115</v>
      </c>
      <c r="H1315" t="s">
        <v>7154</v>
      </c>
      <c r="I1315" t="s">
        <v>2623</v>
      </c>
      <c r="J1315" t="str">
        <f>IF(0 = IFERROR(VLOOKUP(DBL_FullList!I1315, ContactsDbl!B:D, 2, FALSE), ""), "", IFERROR(VLOOKUP(DBL_FullList!I1315, ContactsDbl!B:D, 2, FALSE), ""))</f>
        <v>seree@thaibible.or.th</v>
      </c>
      <c r="K1315" t="str">
        <f>IF(0 = IFERROR(VLOOKUP(DBL_FullList!I1315,ContactsDbl!B:D, 3, FALSE), ""), "", IFERROR(VLOOKUP(DBL_FullList!I1315, ContactsDbl!B:D, 3, FALSE), ""))</f>
        <v>http://www.thaibible.or.th/</v>
      </c>
      <c r="L1315">
        <f t="shared" si="41"/>
        <v>2</v>
      </c>
    </row>
    <row r="1316" spans="1:12" x14ac:dyDescent="0.25">
      <c r="A1316" t="s">
        <v>7155</v>
      </c>
      <c r="B1316" t="str">
        <f>IF(ISERROR(VLOOKUP(F1316,STEP!A:A, 1, FALSE)), "N", "Y")</f>
        <v>N</v>
      </c>
      <c r="C1316" t="str">
        <f>IF(ISERROR(VLOOKUP(E1316, BibleInEveryLanguageTexts!A:A, 1, FALSE)), "N", "Y")</f>
        <v>N</v>
      </c>
      <c r="D1316" t="str">
        <f t="shared" si="40"/>
        <v>X</v>
      </c>
      <c r="E1316" t="s">
        <v>7156</v>
      </c>
      <c r="F1316" t="s">
        <v>7157</v>
      </c>
      <c r="G1316" t="s">
        <v>4050</v>
      </c>
      <c r="H1316" t="s">
        <v>7158</v>
      </c>
      <c r="I1316" t="s">
        <v>2661</v>
      </c>
      <c r="J1316" t="str">
        <f>IF(0 = IFERROR(VLOOKUP(DBL_FullList!I1316, ContactsDbl!B:D, 2, FALSE), ""), "", IFERROR(VLOOKUP(DBL_FullList!I1316, ContactsDbl!B:D, 2, FALSE), ""))</f>
        <v>dbladmin_intl@sil.org</v>
      </c>
      <c r="K1316" t="str">
        <f>IF(0 = IFERROR(VLOOKUP(DBL_FullList!I1316,ContactsDbl!B:D, 3, FALSE), ""), "", IFERROR(VLOOKUP(DBL_FullList!I1316, ContactsDbl!B:D, 3, FALSE), ""))</f>
        <v>http://www.wycliffe.org</v>
      </c>
      <c r="L1316">
        <f t="shared" si="41"/>
        <v>2</v>
      </c>
    </row>
    <row r="1317" spans="1:12" x14ac:dyDescent="0.25">
      <c r="A1317" t="s">
        <v>7159</v>
      </c>
      <c r="B1317" t="str">
        <f>IF(ISERROR(VLOOKUP(F1317,STEP!A:A, 1, FALSE)), "N", "Y")</f>
        <v>N</v>
      </c>
      <c r="C1317" t="str">
        <f>IF(ISERROR(VLOOKUP(E1317, BibleInEveryLanguageTexts!A:A, 1, FALSE)), "N", "Y")</f>
        <v>N</v>
      </c>
      <c r="D1317" t="str">
        <f t="shared" si="40"/>
        <v>X</v>
      </c>
      <c r="E1317" t="s">
        <v>7160</v>
      </c>
      <c r="F1317" t="s">
        <v>7161</v>
      </c>
      <c r="G1317" t="s">
        <v>2743</v>
      </c>
      <c r="H1317" t="s">
        <v>7162</v>
      </c>
      <c r="I1317" t="s">
        <v>2661</v>
      </c>
      <c r="J1317" t="str">
        <f>IF(0 = IFERROR(VLOOKUP(DBL_FullList!I1317, ContactsDbl!B:D, 2, FALSE), ""), "", IFERROR(VLOOKUP(DBL_FullList!I1317, ContactsDbl!B:D, 2, FALSE), ""))</f>
        <v>dbladmin_intl@sil.org</v>
      </c>
      <c r="K1317" t="str">
        <f>IF(0 = IFERROR(VLOOKUP(DBL_FullList!I1317,ContactsDbl!B:D, 3, FALSE), ""), "", IFERROR(VLOOKUP(DBL_FullList!I1317, ContactsDbl!B:D, 3, FALSE), ""))</f>
        <v>http://www.wycliffe.org</v>
      </c>
      <c r="L1317">
        <f t="shared" si="41"/>
        <v>2</v>
      </c>
    </row>
    <row r="1318" spans="1:12" x14ac:dyDescent="0.25">
      <c r="A1318" t="s">
        <v>7163</v>
      </c>
      <c r="B1318" t="str">
        <f>IF(ISERROR(VLOOKUP(F1318,STEP!A:A, 1, FALSE)), "N", "Y")</f>
        <v>N</v>
      </c>
      <c r="C1318" t="str">
        <f>IF(ISERROR(VLOOKUP(E1318, BibleInEveryLanguageTexts!A:A, 1, FALSE)), "N", "Y")</f>
        <v>N</v>
      </c>
      <c r="D1318" t="str">
        <f t="shared" si="40"/>
        <v>X</v>
      </c>
      <c r="E1318" t="s">
        <v>7164</v>
      </c>
      <c r="F1318" t="s">
        <v>6372</v>
      </c>
      <c r="G1318" t="s">
        <v>6373</v>
      </c>
      <c r="H1318" t="s">
        <v>7165</v>
      </c>
      <c r="I1318" t="s">
        <v>2527</v>
      </c>
      <c r="J1318" t="str">
        <f>IF(0 = IFERROR(VLOOKUP(DBL_FullList!I1318, ContactsDbl!B:D, 2, FALSE), ""), "", IFERROR(VLOOKUP(DBL_FullList!I1318, ContactsDbl!B:D, 2, FALSE), ""))</f>
        <v>neil.rees@biblesociety.org.uk</v>
      </c>
      <c r="K1318" t="str">
        <f>IF(0 = IFERROR(VLOOKUP(DBL_FullList!I1318,ContactsDbl!B:D, 3, FALSE), ""), "", IFERROR(VLOOKUP(DBL_FullList!I1318, ContactsDbl!B:D, 3, FALSE), ""))</f>
        <v>www.ansagart.ie/teagmhail</v>
      </c>
      <c r="L1318">
        <f t="shared" si="41"/>
        <v>2</v>
      </c>
    </row>
    <row r="1319" spans="1:12" x14ac:dyDescent="0.25">
      <c r="A1319" t="s">
        <v>7166</v>
      </c>
      <c r="B1319" t="str">
        <f>IF(ISERROR(VLOOKUP(F1319,STEP!A:A, 1, FALSE)), "N", "Y")</f>
        <v>N</v>
      </c>
      <c r="C1319" t="str">
        <f>IF(ISERROR(VLOOKUP(E1319, BibleInEveryLanguageTexts!A:A, 1, FALSE)), "N", "Y")</f>
        <v>N</v>
      </c>
      <c r="D1319" t="str">
        <f t="shared" si="40"/>
        <v>X</v>
      </c>
      <c r="E1319" t="s">
        <v>334</v>
      </c>
      <c r="F1319" t="s">
        <v>332</v>
      </c>
      <c r="G1319" t="s">
        <v>333</v>
      </c>
      <c r="H1319" t="s">
        <v>7167</v>
      </c>
      <c r="I1319" t="s">
        <v>2534</v>
      </c>
      <c r="J1319" t="str">
        <f>IF(0 = IFERROR(VLOOKUP(DBL_FullList!I1319, ContactsDbl!B:D, 2, FALSE), ""), "", IFERROR(VLOOKUP(DBL_FullList!I1319, ContactsDbl!B:D, 2, FALSE), ""))</f>
        <v>elismar@sbb.org.br</v>
      </c>
      <c r="K1319" t="str">
        <f>IF(0 = IFERROR(VLOOKUP(DBL_FullList!I1319,ContactsDbl!B:D, 3, FALSE), ""), "", IFERROR(VLOOKUP(DBL_FullList!I1319, ContactsDbl!B:D, 3, FALSE), ""))</f>
        <v>http://www.sbb.org.br</v>
      </c>
      <c r="L1319">
        <f t="shared" si="41"/>
        <v>2</v>
      </c>
    </row>
    <row r="1320" spans="1:12" x14ac:dyDescent="0.25">
      <c r="A1320" t="s">
        <v>7168</v>
      </c>
      <c r="B1320" t="str">
        <f>IF(ISERROR(VLOOKUP(F1320,STEP!A:A, 1, FALSE)), "N", "Y")</f>
        <v>N</v>
      </c>
      <c r="C1320" t="str">
        <f>IF(ISERROR(VLOOKUP(E1320, BibleInEveryLanguageTexts!A:A, 1, FALSE)), "N", "Y")</f>
        <v>N</v>
      </c>
      <c r="D1320" t="str">
        <f t="shared" si="40"/>
        <v>X</v>
      </c>
      <c r="E1320" t="s">
        <v>5100</v>
      </c>
      <c r="F1320" t="s">
        <v>5101</v>
      </c>
      <c r="G1320" t="s">
        <v>4200</v>
      </c>
      <c r="H1320" t="s">
        <v>7169</v>
      </c>
      <c r="I1320" t="s">
        <v>2452</v>
      </c>
      <c r="J1320" t="str">
        <f>IF(0 = IFERROR(VLOOKUP(DBL_FullList!I1320, ContactsDbl!B:D, 2, FALSE), ""), "", IFERROR(VLOOKUP(DBL_FullList!I1320, ContactsDbl!B:D, 2, FALSE), ""))</f>
        <v>bsmalawi-dbl@biblesocieties.org</v>
      </c>
      <c r="K1320" t="str">
        <f>IF(0 = IFERROR(VLOOKUP(DBL_FullList!I1320,ContactsDbl!B:D, 3, FALSE), ""), "", IFERROR(VLOOKUP(DBL_FullList!I1320, ContactsDbl!B:D, 3, FALSE), ""))</f>
        <v>http://www.biblesociety-malawi.org/</v>
      </c>
      <c r="L1320">
        <f t="shared" si="41"/>
        <v>2</v>
      </c>
    </row>
    <row r="1321" spans="1:12" x14ac:dyDescent="0.25">
      <c r="A1321" t="s">
        <v>7170</v>
      </c>
      <c r="B1321" t="str">
        <f>IF(ISERROR(VLOOKUP(F1321,STEP!A:A, 1, FALSE)), "N", "Y")</f>
        <v>N</v>
      </c>
      <c r="C1321" t="str">
        <f>IF(ISERROR(VLOOKUP(E1321, BibleInEveryLanguageTexts!A:A, 1, FALSE)), "N", "Y")</f>
        <v>N</v>
      </c>
      <c r="D1321" t="str">
        <f t="shared" si="40"/>
        <v>X</v>
      </c>
      <c r="E1321" t="s">
        <v>7171</v>
      </c>
      <c r="F1321" t="s">
        <v>7172</v>
      </c>
      <c r="G1321" t="s">
        <v>3181</v>
      </c>
      <c r="H1321" t="s">
        <v>7173</v>
      </c>
      <c r="I1321" t="s">
        <v>2661</v>
      </c>
      <c r="J1321" t="str">
        <f>IF(0 = IFERROR(VLOOKUP(DBL_FullList!I1321, ContactsDbl!B:D, 2, FALSE), ""), "", IFERROR(VLOOKUP(DBL_FullList!I1321, ContactsDbl!B:D, 2, FALSE), ""))</f>
        <v>dbladmin_intl@sil.org</v>
      </c>
      <c r="K1321" t="str">
        <f>IF(0 = IFERROR(VLOOKUP(DBL_FullList!I1321,ContactsDbl!B:D, 3, FALSE), ""), "", IFERROR(VLOOKUP(DBL_FullList!I1321, ContactsDbl!B:D, 3, FALSE), ""))</f>
        <v>http://www.wycliffe.org</v>
      </c>
      <c r="L1321">
        <f t="shared" si="41"/>
        <v>2</v>
      </c>
    </row>
    <row r="1322" spans="1:12" x14ac:dyDescent="0.25">
      <c r="A1322" t="s">
        <v>7174</v>
      </c>
      <c r="B1322" t="str">
        <f>IF(ISERROR(VLOOKUP(F1322,STEP!A:A, 1, FALSE)), "N", "Y")</f>
        <v>N</v>
      </c>
      <c r="C1322" t="str">
        <f>IF(ISERROR(VLOOKUP(E1322, BibleInEveryLanguageTexts!A:A, 1, FALSE)), "N", "Y")</f>
        <v>N</v>
      </c>
      <c r="D1322" t="str">
        <f t="shared" si="40"/>
        <v>X</v>
      </c>
      <c r="E1322" t="s">
        <v>7175</v>
      </c>
      <c r="F1322" t="s">
        <v>7176</v>
      </c>
      <c r="G1322" t="s">
        <v>3074</v>
      </c>
      <c r="H1322" t="s">
        <v>7177</v>
      </c>
      <c r="I1322" t="s">
        <v>2673</v>
      </c>
      <c r="J1322" t="str">
        <f>IF(0 = IFERROR(VLOOKUP(DBL_FullList!I1322, ContactsDbl!B:D, 2, FALSE), ""), "", IFERROR(VLOOKUP(DBL_FullList!I1322, ContactsDbl!B:D, 2, FALSE), ""))</f>
        <v>gnyirenda@biblesociety-zambia.org</v>
      </c>
      <c r="K1322" t="str">
        <f>IF(0 = IFERROR(VLOOKUP(DBL_FullList!I1322,ContactsDbl!B:D, 3, FALSE), ""), "", IFERROR(VLOOKUP(DBL_FullList!I1322, ContactsDbl!B:D, 3, FALSE), ""))</f>
        <v>www.biblesociety-zambia.org</v>
      </c>
      <c r="L1322">
        <f t="shared" si="41"/>
        <v>2</v>
      </c>
    </row>
    <row r="1323" spans="1:12" x14ac:dyDescent="0.25">
      <c r="A1323" t="s">
        <v>7178</v>
      </c>
      <c r="B1323" t="str">
        <f>IF(ISERROR(VLOOKUP(F1323,STEP!A:A, 1, FALSE)), "N", "Y")</f>
        <v>N</v>
      </c>
      <c r="C1323" t="str">
        <f>IF(ISERROR(VLOOKUP(E1323, BibleInEveryLanguageTexts!A:A, 1, FALSE)), "N", "Y")</f>
        <v>N</v>
      </c>
      <c r="D1323" t="str">
        <f t="shared" si="40"/>
        <v>X</v>
      </c>
      <c r="E1323" t="s">
        <v>7179</v>
      </c>
      <c r="F1323" t="s">
        <v>7180</v>
      </c>
      <c r="G1323" t="s">
        <v>7181</v>
      </c>
      <c r="H1323" t="s">
        <v>7182</v>
      </c>
      <c r="I1323" t="s">
        <v>2480</v>
      </c>
      <c r="J1323" t="str">
        <f>IF(0 = IFERROR(VLOOKUP(DBL_FullList!I1323, ContactsDbl!B:D, 2, FALSE), ""), "", IFERROR(VLOOKUP(DBL_FullList!I1323, ContactsDbl!B:D, 2, FALSE), ""))</f>
        <v/>
      </c>
      <c r="K1323" t="str">
        <f>IF(0 = IFERROR(VLOOKUP(DBL_FullList!I1323,ContactsDbl!B:D, 3, FALSE), ""), "", IFERROR(VLOOKUP(DBL_FullList!I1323, ContactsDbl!B:D, 3, FALSE), ""))</f>
        <v>http://www.biblesocietynet.org/</v>
      </c>
      <c r="L1323">
        <f t="shared" si="41"/>
        <v>1</v>
      </c>
    </row>
    <row r="1324" spans="1:12" x14ac:dyDescent="0.25">
      <c r="A1324" t="s">
        <v>7183</v>
      </c>
      <c r="B1324" t="str">
        <f>IF(ISERROR(VLOOKUP(F1324,STEP!A:A, 1, FALSE)), "N", "Y")</f>
        <v>Y</v>
      </c>
      <c r="C1324" t="str">
        <f>IF(ISERROR(VLOOKUP(E1324, BibleInEveryLanguageTexts!A:A, 1, FALSE)), "N", "Y")</f>
        <v>N</v>
      </c>
      <c r="D1324" t="str">
        <f t="shared" si="40"/>
        <v/>
      </c>
      <c r="E1324" t="s">
        <v>7184</v>
      </c>
      <c r="F1324" t="s">
        <v>7185</v>
      </c>
      <c r="G1324" t="s">
        <v>48</v>
      </c>
      <c r="H1324" t="s">
        <v>7186</v>
      </c>
      <c r="I1324" t="s">
        <v>2661</v>
      </c>
      <c r="J1324" t="str">
        <f>IF(0 = IFERROR(VLOOKUP(DBL_FullList!I1324, ContactsDbl!B:D, 2, FALSE), ""), "", IFERROR(VLOOKUP(DBL_FullList!I1324, ContactsDbl!B:D, 2, FALSE), ""))</f>
        <v>dbladmin_intl@sil.org</v>
      </c>
      <c r="K1324" t="str">
        <f>IF(0 = IFERROR(VLOOKUP(DBL_FullList!I1324,ContactsDbl!B:D, 3, FALSE), ""), "", IFERROR(VLOOKUP(DBL_FullList!I1324, ContactsDbl!B:D, 3, FALSE), ""))</f>
        <v>http://www.wycliffe.org</v>
      </c>
      <c r="L1324">
        <f t="shared" si="41"/>
        <v>2</v>
      </c>
    </row>
    <row r="1325" spans="1:12" x14ac:dyDescent="0.25">
      <c r="A1325" t="s">
        <v>37</v>
      </c>
      <c r="B1325" t="str">
        <f>IF(ISERROR(VLOOKUP(F1325,STEP!A:A, 1, FALSE)), "N", "Y")</f>
        <v>N</v>
      </c>
      <c r="C1325" t="str">
        <f>IF(ISERROR(VLOOKUP(E1325, BibleInEveryLanguageTexts!A:A, 1, FALSE)), "N", "Y")</f>
        <v>Y</v>
      </c>
      <c r="D1325" t="str">
        <f t="shared" si="40"/>
        <v/>
      </c>
      <c r="E1325" t="s">
        <v>36</v>
      </c>
      <c r="F1325" t="s">
        <v>34</v>
      </c>
      <c r="G1325" t="s">
        <v>35</v>
      </c>
      <c r="H1325" t="s">
        <v>32</v>
      </c>
      <c r="I1325" t="s">
        <v>24</v>
      </c>
      <c r="J1325" t="str">
        <f>IF(0 = IFERROR(VLOOKUP(DBL_FullList!I1325, ContactsDbl!B:D, 2, FALSE), ""), "", IFERROR(VLOOKUP(DBL_FullList!I1325, ContactsDbl!B:D, 2, FALSE), ""))</f>
        <v>Michael@eBible.org</v>
      </c>
      <c r="K1325" t="str">
        <f>IF(0 = IFERROR(VLOOKUP(DBL_FullList!I1325,ContactsDbl!B:D, 3, FALSE), ""), "", IFERROR(VLOOKUP(DBL_FullList!I1325, ContactsDbl!B:D, 3, FALSE), ""))</f>
        <v>http://eBible.org</v>
      </c>
      <c r="L1325">
        <f t="shared" si="41"/>
        <v>2</v>
      </c>
    </row>
    <row r="1326" spans="1:12" x14ac:dyDescent="0.25">
      <c r="A1326" t="s">
        <v>439</v>
      </c>
      <c r="B1326" t="str">
        <f>IF(ISERROR(VLOOKUP(F1326,STEP!A:A, 1, FALSE)), "N", "Y")</f>
        <v>N</v>
      </c>
      <c r="C1326" t="str">
        <f>IF(ISERROR(VLOOKUP(E1326, BibleInEveryLanguageTexts!A:A, 1, FALSE)), "N", "Y")</f>
        <v>Y</v>
      </c>
      <c r="D1326" t="str">
        <f t="shared" si="40"/>
        <v/>
      </c>
      <c r="E1326" t="s">
        <v>12</v>
      </c>
      <c r="F1326" t="s">
        <v>10</v>
      </c>
      <c r="G1326" t="s">
        <v>27</v>
      </c>
      <c r="H1326" t="s">
        <v>437</v>
      </c>
      <c r="I1326" t="s">
        <v>24</v>
      </c>
      <c r="J1326" t="str">
        <f>IF(0 = IFERROR(VLOOKUP(DBL_FullList!I1326, ContactsDbl!B:D, 2, FALSE), ""), "", IFERROR(VLOOKUP(DBL_FullList!I1326, ContactsDbl!B:D, 2, FALSE), ""))</f>
        <v>Michael@eBible.org</v>
      </c>
      <c r="K1326" t="str">
        <f>IF(0 = IFERROR(VLOOKUP(DBL_FullList!I1326,ContactsDbl!B:D, 3, FALSE), ""), "", IFERROR(VLOOKUP(DBL_FullList!I1326, ContactsDbl!B:D, 3, FALSE), ""))</f>
        <v>http://eBible.org</v>
      </c>
      <c r="L1326">
        <f t="shared" si="41"/>
        <v>2</v>
      </c>
    </row>
    <row r="1327" spans="1:12" x14ac:dyDescent="0.25">
      <c r="A1327" t="s">
        <v>7187</v>
      </c>
      <c r="B1327" t="str">
        <f>IF(ISERROR(VLOOKUP(F1327,STEP!A:A, 1, FALSE)), "N", "Y")</f>
        <v>N</v>
      </c>
      <c r="C1327" t="str">
        <f>IF(ISERROR(VLOOKUP(E1327, BibleInEveryLanguageTexts!A:A, 1, FALSE)), "N", "Y")</f>
        <v>N</v>
      </c>
      <c r="D1327" t="str">
        <f t="shared" si="40"/>
        <v>X</v>
      </c>
      <c r="E1327" t="s">
        <v>4850</v>
      </c>
      <c r="F1327" t="s">
        <v>4851</v>
      </c>
      <c r="G1327" t="s">
        <v>422</v>
      </c>
      <c r="H1327" t="s">
        <v>7188</v>
      </c>
      <c r="I1327" t="s">
        <v>2260</v>
      </c>
      <c r="J1327" t="str">
        <f>IF(0 = IFERROR(VLOOKUP(DBL_FullList!I1327, ContactsDbl!B:D, 2, FALSE), ""), "", IFERROR(VLOOKUP(DBL_FullList!I1327, ContactsDbl!B:D, 2, FALSE), ""))</f>
        <v>info@greekbibles.org</v>
      </c>
      <c r="K1327" t="str">
        <f>IF(0 = IFERROR(VLOOKUP(DBL_FullList!I1327,ContactsDbl!B:D, 3, FALSE), ""), "", IFERROR(VLOOKUP(DBL_FullList!I1327, ContactsDbl!B:D, 3, FALSE), ""))</f>
        <v>http://greek.bible</v>
      </c>
      <c r="L1327">
        <f t="shared" si="41"/>
        <v>2</v>
      </c>
    </row>
    <row r="1328" spans="1:12" x14ac:dyDescent="0.25">
      <c r="A1328" t="s">
        <v>7189</v>
      </c>
      <c r="B1328" t="str">
        <f>IF(ISERROR(VLOOKUP(F1328,STEP!A:A, 1, FALSE)), "N", "Y")</f>
        <v>N</v>
      </c>
      <c r="C1328" t="str">
        <f>IF(ISERROR(VLOOKUP(E1328, BibleInEveryLanguageTexts!A:A, 1, FALSE)), "N", "Y")</f>
        <v>N</v>
      </c>
      <c r="D1328" t="str">
        <f t="shared" si="40"/>
        <v>X</v>
      </c>
      <c r="E1328" t="s">
        <v>7190</v>
      </c>
      <c r="F1328" t="s">
        <v>7191</v>
      </c>
      <c r="G1328" t="s">
        <v>3065</v>
      </c>
      <c r="H1328" t="s">
        <v>7192</v>
      </c>
      <c r="I1328" t="s">
        <v>2618</v>
      </c>
      <c r="J1328" t="str">
        <f>IF(0 = IFERROR(VLOOKUP(DBL_FullList!I1328, ContactsDbl!B:D, 2, FALSE), ""), "", IFERROR(VLOOKUP(DBL_FullList!I1328, ContactsDbl!B:D, 2, FALSE), ""))</f>
        <v/>
      </c>
      <c r="K1328" t="str">
        <f>IF(0 = IFERROR(VLOOKUP(DBL_FullList!I1328,ContactsDbl!B:D, 3, FALSE), ""), "", IFERROR(VLOOKUP(DBL_FullList!I1328, ContactsDbl!B:D, 3, FALSE), ""))</f>
        <v/>
      </c>
      <c r="L1328">
        <f t="shared" si="41"/>
        <v>0</v>
      </c>
    </row>
    <row r="1329" spans="1:12" x14ac:dyDescent="0.25">
      <c r="A1329" t="s">
        <v>7193</v>
      </c>
      <c r="B1329" t="str">
        <f>IF(ISERROR(VLOOKUP(F1329,STEP!A:A, 1, FALSE)), "N", "Y")</f>
        <v>N</v>
      </c>
      <c r="C1329" t="str">
        <f>IF(ISERROR(VLOOKUP(E1329, BibleInEveryLanguageTexts!A:A, 1, FALSE)), "N", "Y")</f>
        <v>N</v>
      </c>
      <c r="D1329" t="str">
        <f t="shared" si="40"/>
        <v>X</v>
      </c>
      <c r="E1329" t="s">
        <v>7194</v>
      </c>
      <c r="F1329" t="s">
        <v>7195</v>
      </c>
      <c r="G1329" t="s">
        <v>3065</v>
      </c>
      <c r="H1329" t="s">
        <v>7196</v>
      </c>
      <c r="I1329" t="s">
        <v>2618</v>
      </c>
      <c r="J1329" t="str">
        <f>IF(0 = IFERROR(VLOOKUP(DBL_FullList!I1329, ContactsDbl!B:D, 2, FALSE), ""), "", IFERROR(VLOOKUP(DBL_FullList!I1329, ContactsDbl!B:D, 2, FALSE), ""))</f>
        <v/>
      </c>
      <c r="K1329" t="str">
        <f>IF(0 = IFERROR(VLOOKUP(DBL_FullList!I1329,ContactsDbl!B:D, 3, FALSE), ""), "", IFERROR(VLOOKUP(DBL_FullList!I1329, ContactsDbl!B:D, 3, FALSE), ""))</f>
        <v/>
      </c>
      <c r="L1329">
        <f t="shared" si="41"/>
        <v>0</v>
      </c>
    </row>
    <row r="1330" spans="1:12" x14ac:dyDescent="0.25">
      <c r="A1330" t="s">
        <v>7197</v>
      </c>
      <c r="B1330" t="str">
        <f>IF(ISERROR(VLOOKUP(F1330,STEP!A:A, 1, FALSE)), "N", "Y")</f>
        <v>N</v>
      </c>
      <c r="C1330" t="str">
        <f>IF(ISERROR(VLOOKUP(E1330, BibleInEveryLanguageTexts!A:A, 1, FALSE)), "N", "Y")</f>
        <v>N</v>
      </c>
      <c r="D1330" t="str">
        <f t="shared" si="40"/>
        <v>X</v>
      </c>
      <c r="E1330" t="s">
        <v>7190</v>
      </c>
      <c r="F1330" t="s">
        <v>7191</v>
      </c>
      <c r="G1330" t="s">
        <v>3065</v>
      </c>
      <c r="H1330" t="s">
        <v>7198</v>
      </c>
      <c r="I1330" t="s">
        <v>2618</v>
      </c>
      <c r="J1330" t="str">
        <f>IF(0 = IFERROR(VLOOKUP(DBL_FullList!I1330, ContactsDbl!B:D, 2, FALSE), ""), "", IFERROR(VLOOKUP(DBL_FullList!I1330, ContactsDbl!B:D, 2, FALSE), ""))</f>
        <v/>
      </c>
      <c r="K1330" t="str">
        <f>IF(0 = IFERROR(VLOOKUP(DBL_FullList!I1330,ContactsDbl!B:D, 3, FALSE), ""), "", IFERROR(VLOOKUP(DBL_FullList!I1330, ContactsDbl!B:D, 3, FALSE), ""))</f>
        <v/>
      </c>
      <c r="L1330">
        <f t="shared" si="41"/>
        <v>0</v>
      </c>
    </row>
    <row r="1331" spans="1:12" x14ac:dyDescent="0.25">
      <c r="A1331" t="s">
        <v>7199</v>
      </c>
      <c r="B1331" t="str">
        <f>IF(ISERROR(VLOOKUP(F1331,STEP!A:A, 1, FALSE)), "N", "Y")</f>
        <v>N</v>
      </c>
      <c r="C1331" t="str">
        <f>IF(ISERROR(VLOOKUP(E1331, BibleInEveryLanguageTexts!A:A, 1, FALSE)), "N", "Y")</f>
        <v>N</v>
      </c>
      <c r="D1331" t="str">
        <f t="shared" si="40"/>
        <v>X</v>
      </c>
      <c r="E1331" t="s">
        <v>7200</v>
      </c>
      <c r="F1331" t="s">
        <v>7201</v>
      </c>
      <c r="G1331" t="s">
        <v>3065</v>
      </c>
      <c r="H1331" t="s">
        <v>7202</v>
      </c>
      <c r="I1331" t="s">
        <v>2618</v>
      </c>
      <c r="J1331" t="str">
        <f>IF(0 = IFERROR(VLOOKUP(DBL_FullList!I1331, ContactsDbl!B:D, 2, FALSE), ""), "", IFERROR(VLOOKUP(DBL_FullList!I1331, ContactsDbl!B:D, 2, FALSE), ""))</f>
        <v/>
      </c>
      <c r="K1331" t="str">
        <f>IF(0 = IFERROR(VLOOKUP(DBL_FullList!I1331,ContactsDbl!B:D, 3, FALSE), ""), "", IFERROR(VLOOKUP(DBL_FullList!I1331, ContactsDbl!B:D, 3, FALSE), ""))</f>
        <v/>
      </c>
      <c r="L1331">
        <f t="shared" si="41"/>
        <v>0</v>
      </c>
    </row>
    <row r="1332" spans="1:12" x14ac:dyDescent="0.25">
      <c r="A1332" t="s">
        <v>7203</v>
      </c>
      <c r="B1332" t="str">
        <f>IF(ISERROR(VLOOKUP(F1332,STEP!A:A, 1, FALSE)), "N", "Y")</f>
        <v>N</v>
      </c>
      <c r="C1332" t="str">
        <f>IF(ISERROR(VLOOKUP(E1332, BibleInEveryLanguageTexts!A:A, 1, FALSE)), "N", "Y")</f>
        <v>N</v>
      </c>
      <c r="D1332" t="str">
        <f t="shared" si="40"/>
        <v>X</v>
      </c>
      <c r="E1332" t="s">
        <v>7204</v>
      </c>
      <c r="F1332" t="s">
        <v>7205</v>
      </c>
      <c r="G1332" t="s">
        <v>3065</v>
      </c>
      <c r="H1332" t="s">
        <v>7206</v>
      </c>
      <c r="I1332" t="s">
        <v>2618</v>
      </c>
      <c r="J1332" t="str">
        <f>IF(0 = IFERROR(VLOOKUP(DBL_FullList!I1332, ContactsDbl!B:D, 2, FALSE), ""), "", IFERROR(VLOOKUP(DBL_FullList!I1332, ContactsDbl!B:D, 2, FALSE), ""))</f>
        <v/>
      </c>
      <c r="K1332" t="str">
        <f>IF(0 = IFERROR(VLOOKUP(DBL_FullList!I1332,ContactsDbl!B:D, 3, FALSE), ""), "", IFERROR(VLOOKUP(DBL_FullList!I1332, ContactsDbl!B:D, 3, FALSE), ""))</f>
        <v/>
      </c>
      <c r="L1332">
        <f t="shared" si="41"/>
        <v>0</v>
      </c>
    </row>
    <row r="1333" spans="1:12" x14ac:dyDescent="0.25">
      <c r="A1333" t="s">
        <v>7207</v>
      </c>
      <c r="B1333" t="str">
        <f>IF(ISERROR(VLOOKUP(F1333,STEP!A:A, 1, FALSE)), "N", "Y")</f>
        <v>N</v>
      </c>
      <c r="C1333" t="str">
        <f>IF(ISERROR(VLOOKUP(E1333, BibleInEveryLanguageTexts!A:A, 1, FALSE)), "N", "Y")</f>
        <v>N</v>
      </c>
      <c r="D1333" t="str">
        <f t="shared" si="40"/>
        <v>X</v>
      </c>
      <c r="E1333" t="s">
        <v>7208</v>
      </c>
      <c r="F1333" t="s">
        <v>7209</v>
      </c>
      <c r="G1333" t="s">
        <v>3065</v>
      </c>
      <c r="H1333" t="s">
        <v>7210</v>
      </c>
      <c r="I1333" t="s">
        <v>2618</v>
      </c>
      <c r="J1333" t="str">
        <f>IF(0 = IFERROR(VLOOKUP(DBL_FullList!I1333, ContactsDbl!B:D, 2, FALSE), ""), "", IFERROR(VLOOKUP(DBL_FullList!I1333, ContactsDbl!B:D, 2, FALSE), ""))</f>
        <v/>
      </c>
      <c r="K1333" t="str">
        <f>IF(0 = IFERROR(VLOOKUP(DBL_FullList!I1333,ContactsDbl!B:D, 3, FALSE), ""), "", IFERROR(VLOOKUP(DBL_FullList!I1333, ContactsDbl!B:D, 3, FALSE), ""))</f>
        <v/>
      </c>
      <c r="L1333">
        <f t="shared" si="41"/>
        <v>0</v>
      </c>
    </row>
    <row r="1334" spans="1:12" x14ac:dyDescent="0.25">
      <c r="A1334" t="s">
        <v>7211</v>
      </c>
      <c r="B1334" t="str">
        <f>IF(ISERROR(VLOOKUP(F1334,STEP!A:A, 1, FALSE)), "N", "Y")</f>
        <v>N</v>
      </c>
      <c r="C1334" t="str">
        <f>IF(ISERROR(VLOOKUP(E1334, BibleInEveryLanguageTexts!A:A, 1, FALSE)), "N", "Y")</f>
        <v>N</v>
      </c>
      <c r="D1334" t="str">
        <f t="shared" si="40"/>
        <v>X</v>
      </c>
      <c r="E1334" t="s">
        <v>7212</v>
      </c>
      <c r="F1334" t="s">
        <v>7213</v>
      </c>
      <c r="G1334" t="s">
        <v>383</v>
      </c>
      <c r="H1334" t="s">
        <v>7214</v>
      </c>
      <c r="I1334" t="s">
        <v>3104</v>
      </c>
      <c r="J1334" t="str">
        <f>IF(0 = IFERROR(VLOOKUP(DBL_FullList!I1334, ContactsDbl!B:D, 2, FALSE), ""), "", IFERROR(VLOOKUP(DBL_FullList!I1334, ContactsDbl!B:D, 2, FALSE), ""))</f>
        <v/>
      </c>
      <c r="K1334" t="str">
        <f>IF(0 = IFERROR(VLOOKUP(DBL_FullList!I1334,ContactsDbl!B:D, 3, FALSE), ""), "", IFERROR(VLOOKUP(DBL_FullList!I1334, ContactsDbl!B:D, 3, FALSE), ""))</f>
        <v/>
      </c>
      <c r="L1334">
        <f t="shared" si="41"/>
        <v>0</v>
      </c>
    </row>
    <row r="1335" spans="1:12" x14ac:dyDescent="0.25">
      <c r="A1335" t="s">
        <v>7215</v>
      </c>
      <c r="B1335" t="str">
        <f>IF(ISERROR(VLOOKUP(F1335,STEP!A:A, 1, FALSE)), "N", "Y")</f>
        <v>N</v>
      </c>
      <c r="C1335" t="str">
        <f>IF(ISERROR(VLOOKUP(E1335, BibleInEveryLanguageTexts!A:A, 1, FALSE)), "N", "Y")</f>
        <v>N</v>
      </c>
      <c r="D1335" t="str">
        <f t="shared" si="40"/>
        <v>X</v>
      </c>
      <c r="E1335" t="s">
        <v>7212</v>
      </c>
      <c r="F1335" t="s">
        <v>7213</v>
      </c>
      <c r="G1335" t="s">
        <v>383</v>
      </c>
      <c r="H1335" t="s">
        <v>7216</v>
      </c>
      <c r="I1335" t="s">
        <v>3104</v>
      </c>
      <c r="J1335" t="str">
        <f>IF(0 = IFERROR(VLOOKUP(DBL_FullList!I1335, ContactsDbl!B:D, 2, FALSE), ""), "", IFERROR(VLOOKUP(DBL_FullList!I1335, ContactsDbl!B:D, 2, FALSE), ""))</f>
        <v/>
      </c>
      <c r="K1335" t="str">
        <f>IF(0 = IFERROR(VLOOKUP(DBL_FullList!I1335,ContactsDbl!B:D, 3, FALSE), ""), "", IFERROR(VLOOKUP(DBL_FullList!I1335, ContactsDbl!B:D, 3, FALSE), ""))</f>
        <v/>
      </c>
      <c r="L1335">
        <f t="shared" si="41"/>
        <v>0</v>
      </c>
    </row>
    <row r="1336" spans="1:12" x14ac:dyDescent="0.25">
      <c r="A1336" t="s">
        <v>7217</v>
      </c>
      <c r="B1336" t="str">
        <f>IF(ISERROR(VLOOKUP(F1336,STEP!A:A, 1, FALSE)), "N", "Y")</f>
        <v>N</v>
      </c>
      <c r="C1336" t="str">
        <f>IF(ISERROR(VLOOKUP(E1336, BibleInEveryLanguageTexts!A:A, 1, FALSE)), "N", "Y")</f>
        <v>N</v>
      </c>
      <c r="D1336" t="str">
        <f t="shared" si="40"/>
        <v>X</v>
      </c>
      <c r="E1336" t="s">
        <v>7218</v>
      </c>
      <c r="F1336" t="s">
        <v>7219</v>
      </c>
      <c r="G1336" t="s">
        <v>7220</v>
      </c>
      <c r="H1336" t="s">
        <v>7221</v>
      </c>
      <c r="I1336" t="s">
        <v>2314</v>
      </c>
      <c r="J1336" t="str">
        <f>IF(0 = IFERROR(VLOOKUP(DBL_FullList!I1336, ContactsDbl!B:D, 2, FALSE), ""), "", IFERROR(VLOOKUP(DBL_FullList!I1336, ContactsDbl!B:D, 2, FALSE), ""))</f>
        <v>info@ibt.org.ru</v>
      </c>
      <c r="K1336" t="str">
        <f>IF(0 = IFERROR(VLOOKUP(DBL_FullList!I1336,ContactsDbl!B:D, 3, FALSE), ""), "", IFERROR(VLOOKUP(DBL_FullList!I1336, ContactsDbl!B:D, 3, FALSE), ""))</f>
        <v>https://ibtrussia.org</v>
      </c>
      <c r="L1336">
        <f t="shared" si="41"/>
        <v>2</v>
      </c>
    </row>
    <row r="1337" spans="1:12" x14ac:dyDescent="0.25">
      <c r="A1337" t="s">
        <v>7222</v>
      </c>
      <c r="B1337" t="str">
        <f>IF(ISERROR(VLOOKUP(F1337,STEP!A:A, 1, FALSE)), "N", "Y")</f>
        <v>N</v>
      </c>
      <c r="C1337" t="str">
        <f>IF(ISERROR(VLOOKUP(E1337, BibleInEveryLanguageTexts!A:A, 1, FALSE)), "N", "Y")</f>
        <v>N</v>
      </c>
      <c r="D1337" t="str">
        <f t="shared" si="40"/>
        <v>X</v>
      </c>
      <c r="E1337" t="s">
        <v>7223</v>
      </c>
      <c r="F1337" t="s">
        <v>7224</v>
      </c>
      <c r="G1337" t="s">
        <v>3194</v>
      </c>
      <c r="H1337" t="s">
        <v>7225</v>
      </c>
      <c r="I1337" t="s">
        <v>2314</v>
      </c>
      <c r="J1337" t="str">
        <f>IF(0 = IFERROR(VLOOKUP(DBL_FullList!I1337, ContactsDbl!B:D, 2, FALSE), ""), "", IFERROR(VLOOKUP(DBL_FullList!I1337, ContactsDbl!B:D, 2, FALSE), ""))</f>
        <v>info@ibt.org.ru</v>
      </c>
      <c r="K1337" t="str">
        <f>IF(0 = IFERROR(VLOOKUP(DBL_FullList!I1337,ContactsDbl!B:D, 3, FALSE), ""), "", IFERROR(VLOOKUP(DBL_FullList!I1337, ContactsDbl!B:D, 3, FALSE), ""))</f>
        <v>https://ibtrussia.org</v>
      </c>
      <c r="L1337">
        <f t="shared" si="41"/>
        <v>2</v>
      </c>
    </row>
    <row r="1338" spans="1:12" x14ac:dyDescent="0.25">
      <c r="A1338" t="s">
        <v>7226</v>
      </c>
      <c r="B1338" t="str">
        <f>IF(ISERROR(VLOOKUP(F1338,STEP!A:A, 1, FALSE)), "N", "Y")</f>
        <v>N</v>
      </c>
      <c r="C1338" t="str">
        <f>IF(ISERROR(VLOOKUP(E1338, BibleInEveryLanguageTexts!A:A, 1, FALSE)), "N", "Y")</f>
        <v>N</v>
      </c>
      <c r="D1338" t="str">
        <f t="shared" si="40"/>
        <v>X</v>
      </c>
      <c r="E1338" t="s">
        <v>7227</v>
      </c>
      <c r="F1338" t="s">
        <v>7228</v>
      </c>
      <c r="G1338" t="s">
        <v>3194</v>
      </c>
      <c r="H1338" t="s">
        <v>7229</v>
      </c>
      <c r="I1338" t="s">
        <v>2314</v>
      </c>
      <c r="J1338" t="str">
        <f>IF(0 = IFERROR(VLOOKUP(DBL_FullList!I1338, ContactsDbl!B:D, 2, FALSE), ""), "", IFERROR(VLOOKUP(DBL_FullList!I1338, ContactsDbl!B:D, 2, FALSE), ""))</f>
        <v>info@ibt.org.ru</v>
      </c>
      <c r="K1338" t="str">
        <f>IF(0 = IFERROR(VLOOKUP(DBL_FullList!I1338,ContactsDbl!B:D, 3, FALSE), ""), "", IFERROR(VLOOKUP(DBL_FullList!I1338, ContactsDbl!B:D, 3, FALSE), ""))</f>
        <v>https://ibtrussia.org</v>
      </c>
      <c r="L1338">
        <f t="shared" si="41"/>
        <v>2</v>
      </c>
    </row>
    <row r="1339" spans="1:12" x14ac:dyDescent="0.25">
      <c r="A1339" t="s">
        <v>7230</v>
      </c>
      <c r="B1339" t="str">
        <f>IF(ISERROR(VLOOKUP(F1339,STEP!A:A, 1, FALSE)), "N", "Y")</f>
        <v>N</v>
      </c>
      <c r="C1339" t="str">
        <f>IF(ISERROR(VLOOKUP(E1339, BibleInEveryLanguageTexts!A:A, 1, FALSE)), "N", "Y")</f>
        <v>N</v>
      </c>
      <c r="D1339" t="str">
        <f t="shared" si="40"/>
        <v>X</v>
      </c>
      <c r="E1339" t="s">
        <v>7231</v>
      </c>
      <c r="F1339" t="s">
        <v>7232</v>
      </c>
      <c r="G1339" t="s">
        <v>20</v>
      </c>
      <c r="H1339" t="s">
        <v>7233</v>
      </c>
      <c r="I1339" t="s">
        <v>45</v>
      </c>
      <c r="J1339" t="str">
        <f>IF(0 = IFERROR(VLOOKUP(DBL_FullList!I1339, ContactsDbl!B:D, 2, FALSE), ""), "", IFERROR(VLOOKUP(DBL_FullList!I1339, ContactsDbl!B:D, 2, FALSE), ""))</f>
        <v>pbt@pbti.org</v>
      </c>
      <c r="K1339" t="str">
        <f>IF(0 = IFERROR(VLOOKUP(DBL_FullList!I1339,ContactsDbl!B:D, 3, FALSE), ""), "", IFERROR(VLOOKUP(DBL_FullList!I1339, ContactsDbl!B:D, 3, FALSE), ""))</f>
        <v>www.pioneerbible.org</v>
      </c>
      <c r="L1339">
        <f t="shared" si="41"/>
        <v>2</v>
      </c>
    </row>
    <row r="1340" spans="1:12" x14ac:dyDescent="0.25">
      <c r="A1340" t="s">
        <v>445</v>
      </c>
      <c r="B1340" t="str">
        <f>IF(ISERROR(VLOOKUP(F1340,STEP!A:A, 1, FALSE)), "N", "Y")</f>
        <v>N</v>
      </c>
      <c r="C1340" t="str">
        <f>IF(ISERROR(VLOOKUP(E1340, BibleInEveryLanguageTexts!A:A, 1, FALSE)), "N", "Y")</f>
        <v>N</v>
      </c>
      <c r="D1340" t="str">
        <f t="shared" si="40"/>
        <v>X</v>
      </c>
      <c r="E1340" t="s">
        <v>444</v>
      </c>
      <c r="F1340" t="s">
        <v>442</v>
      </c>
      <c r="G1340" t="s">
        <v>443</v>
      </c>
      <c r="H1340" t="s">
        <v>440</v>
      </c>
      <c r="I1340" t="s">
        <v>24</v>
      </c>
      <c r="J1340" t="str">
        <f>IF(0 = IFERROR(VLOOKUP(DBL_FullList!I1340, ContactsDbl!B:D, 2, FALSE), ""), "", IFERROR(VLOOKUP(DBL_FullList!I1340, ContactsDbl!B:D, 2, FALSE), ""))</f>
        <v>Michael@eBible.org</v>
      </c>
      <c r="K1340" t="str">
        <f>IF(0 = IFERROR(VLOOKUP(DBL_FullList!I1340,ContactsDbl!B:D, 3, FALSE), ""), "", IFERROR(VLOOKUP(DBL_FullList!I1340, ContactsDbl!B:D, 3, FALSE), ""))</f>
        <v>http://eBible.org</v>
      </c>
      <c r="L1340">
        <f t="shared" si="41"/>
        <v>2</v>
      </c>
    </row>
    <row r="1341" spans="1:12" x14ac:dyDescent="0.25">
      <c r="A1341" t="s">
        <v>7234</v>
      </c>
      <c r="B1341" t="str">
        <f>IF(ISERROR(VLOOKUP(F1341,STEP!A:A, 1, FALSE)), "N", "Y")</f>
        <v>N</v>
      </c>
      <c r="C1341" t="str">
        <f>IF(ISERROR(VLOOKUP(E1341, BibleInEveryLanguageTexts!A:A, 1, FALSE)), "N", "Y")</f>
        <v>Y</v>
      </c>
      <c r="D1341" t="str">
        <f t="shared" si="40"/>
        <v/>
      </c>
      <c r="E1341" t="s">
        <v>12</v>
      </c>
      <c r="F1341" t="s">
        <v>10</v>
      </c>
      <c r="G1341" t="s">
        <v>27</v>
      </c>
      <c r="H1341" t="s">
        <v>7235</v>
      </c>
      <c r="I1341" t="s">
        <v>3104</v>
      </c>
      <c r="J1341" t="str">
        <f>IF(0 = IFERROR(VLOOKUP(DBL_FullList!I1341, ContactsDbl!B:D, 2, FALSE), ""), "", IFERROR(VLOOKUP(DBL_FullList!I1341, ContactsDbl!B:D, 2, FALSE), ""))</f>
        <v/>
      </c>
      <c r="K1341" t="str">
        <f>IF(0 = IFERROR(VLOOKUP(DBL_FullList!I1341,ContactsDbl!B:D, 3, FALSE), ""), "", IFERROR(VLOOKUP(DBL_FullList!I1341, ContactsDbl!B:D, 3, FALSE), ""))</f>
        <v/>
      </c>
      <c r="L1341">
        <f t="shared" si="41"/>
        <v>0</v>
      </c>
    </row>
    <row r="1342" spans="1:12" x14ac:dyDescent="0.25">
      <c r="A1342" t="s">
        <v>7236</v>
      </c>
      <c r="B1342" t="str">
        <f>IF(ISERROR(VLOOKUP(F1342,STEP!A:A, 1, FALSE)), "N", "Y")</f>
        <v>N</v>
      </c>
      <c r="C1342" t="str">
        <f>IF(ISERROR(VLOOKUP(E1342, BibleInEveryLanguageTexts!A:A, 1, FALSE)), "N", "Y")</f>
        <v>N</v>
      </c>
      <c r="D1342" t="str">
        <f t="shared" si="40"/>
        <v>X</v>
      </c>
      <c r="E1342" t="s">
        <v>7237</v>
      </c>
      <c r="F1342" t="s">
        <v>7238</v>
      </c>
      <c r="G1342" t="s">
        <v>2997</v>
      </c>
      <c r="H1342" t="s">
        <v>7239</v>
      </c>
      <c r="I1342" t="s">
        <v>2248</v>
      </c>
      <c r="J1342" t="str">
        <f>IF(0 = IFERROR(VLOOKUP(DBL_FullList!I1342, ContactsDbl!B:D, 2, FALSE), ""), "", IFERROR(VLOOKUP(DBL_FullList!I1342, ContactsDbl!B:D, 2, FALSE), ""))</f>
        <v>dokurugu@biblesociety-ghana.org</v>
      </c>
      <c r="K1342" t="str">
        <f>IF(0 = IFERROR(VLOOKUP(DBL_FullList!I1342,ContactsDbl!B:D, 3, FALSE), ""), "", IFERROR(VLOOKUP(DBL_FullList!I1342, ContactsDbl!B:D, 3, FALSE), ""))</f>
        <v>http://www.biblesociety-ghana.org/</v>
      </c>
      <c r="L1342">
        <f t="shared" si="41"/>
        <v>2</v>
      </c>
    </row>
    <row r="1343" spans="1:12" x14ac:dyDescent="0.25">
      <c r="A1343" t="s">
        <v>7240</v>
      </c>
      <c r="B1343" t="str">
        <f>IF(ISERROR(VLOOKUP(F1343,STEP!A:A, 1, FALSE)), "N", "Y")</f>
        <v>N</v>
      </c>
      <c r="C1343" t="str">
        <f>IF(ISERROR(VLOOKUP(E1343, BibleInEveryLanguageTexts!A:A, 1, FALSE)), "N", "Y")</f>
        <v>N</v>
      </c>
      <c r="D1343" t="str">
        <f t="shared" si="40"/>
        <v>X</v>
      </c>
      <c r="E1343" t="s">
        <v>7241</v>
      </c>
      <c r="F1343" t="s">
        <v>7242</v>
      </c>
      <c r="G1343" t="s">
        <v>2997</v>
      </c>
      <c r="H1343" t="s">
        <v>7243</v>
      </c>
      <c r="I1343" t="s">
        <v>2661</v>
      </c>
      <c r="J1343" t="str">
        <f>IF(0 = IFERROR(VLOOKUP(DBL_FullList!I1343, ContactsDbl!B:D, 2, FALSE), ""), "", IFERROR(VLOOKUP(DBL_FullList!I1343, ContactsDbl!B:D, 2, FALSE), ""))</f>
        <v>dbladmin_intl@sil.org</v>
      </c>
      <c r="K1343" t="str">
        <f>IF(0 = IFERROR(VLOOKUP(DBL_FullList!I1343,ContactsDbl!B:D, 3, FALSE), ""), "", IFERROR(VLOOKUP(DBL_FullList!I1343, ContactsDbl!B:D, 3, FALSE), ""))</f>
        <v>http://www.wycliffe.org</v>
      </c>
      <c r="L1343">
        <f t="shared" si="41"/>
        <v>2</v>
      </c>
    </row>
    <row r="1344" spans="1:12" x14ac:dyDescent="0.25">
      <c r="A1344" t="s">
        <v>342</v>
      </c>
      <c r="B1344" t="str">
        <f>IF(ISERROR(VLOOKUP(F1344,STEP!A:A, 1, FALSE)), "N", "Y")</f>
        <v>N</v>
      </c>
      <c r="C1344" t="str">
        <f>IF(ISERROR(VLOOKUP(E1344, BibleInEveryLanguageTexts!A:A, 1, FALSE)), "N", "Y")</f>
        <v>N</v>
      </c>
      <c r="D1344" t="str">
        <f t="shared" si="40"/>
        <v>X</v>
      </c>
      <c r="E1344" t="s">
        <v>219</v>
      </c>
      <c r="F1344" t="s">
        <v>217</v>
      </c>
      <c r="G1344" t="s">
        <v>218</v>
      </c>
      <c r="H1344" t="s">
        <v>339</v>
      </c>
      <c r="I1344" t="s">
        <v>24</v>
      </c>
      <c r="J1344" t="str">
        <f>IF(0 = IFERROR(VLOOKUP(DBL_FullList!I1344, ContactsDbl!B:D, 2, FALSE), ""), "", IFERROR(VLOOKUP(DBL_FullList!I1344, ContactsDbl!B:D, 2, FALSE), ""))</f>
        <v>Michael@eBible.org</v>
      </c>
      <c r="K1344" t="str">
        <f>IF(0 = IFERROR(VLOOKUP(DBL_FullList!I1344,ContactsDbl!B:D, 3, FALSE), ""), "", IFERROR(VLOOKUP(DBL_FullList!I1344, ContactsDbl!B:D, 3, FALSE), ""))</f>
        <v>http://eBible.org</v>
      </c>
      <c r="L1344">
        <f t="shared" si="41"/>
        <v>2</v>
      </c>
    </row>
    <row r="1345" spans="1:12" x14ac:dyDescent="0.25">
      <c r="A1345" t="s">
        <v>7244</v>
      </c>
      <c r="B1345" t="str">
        <f>IF(ISERROR(VLOOKUP(F1345,STEP!A:A, 1, FALSE)), "N", "Y")</f>
        <v>Y</v>
      </c>
      <c r="C1345" t="str">
        <f>IF(ISERROR(VLOOKUP(E1345, BibleInEveryLanguageTexts!A:A, 1, FALSE)), "N", "Y")</f>
        <v>N</v>
      </c>
      <c r="D1345" t="str">
        <f t="shared" si="40"/>
        <v/>
      </c>
      <c r="E1345" t="s">
        <v>4258</v>
      </c>
      <c r="F1345" t="s">
        <v>4259</v>
      </c>
      <c r="G1345" t="s">
        <v>27</v>
      </c>
      <c r="H1345" t="s">
        <v>7245</v>
      </c>
      <c r="I1345" t="s">
        <v>3104</v>
      </c>
      <c r="J1345" t="str">
        <f>IF(0 = IFERROR(VLOOKUP(DBL_FullList!I1345, ContactsDbl!B:D, 2, FALSE), ""), "", IFERROR(VLOOKUP(DBL_FullList!I1345, ContactsDbl!B:D, 2, FALSE), ""))</f>
        <v/>
      </c>
      <c r="K1345" t="str">
        <f>IF(0 = IFERROR(VLOOKUP(DBL_FullList!I1345,ContactsDbl!B:D, 3, FALSE), ""), "", IFERROR(VLOOKUP(DBL_FullList!I1345, ContactsDbl!B:D, 3, FALSE), ""))</f>
        <v/>
      </c>
      <c r="L1345">
        <f t="shared" si="41"/>
        <v>0</v>
      </c>
    </row>
    <row r="1346" spans="1:12" x14ac:dyDescent="0.25">
      <c r="A1346" t="s">
        <v>7246</v>
      </c>
      <c r="B1346" t="str">
        <f>IF(ISERROR(VLOOKUP(F1346,STEP!A:A, 1, FALSE)), "N", "Y")</f>
        <v>N</v>
      </c>
      <c r="C1346" t="str">
        <f>IF(ISERROR(VLOOKUP(E1346, BibleInEveryLanguageTexts!A:A, 1, FALSE)), "N", "Y")</f>
        <v>Y</v>
      </c>
      <c r="D1346" t="str">
        <f t="shared" si="40"/>
        <v/>
      </c>
      <c r="E1346" t="s">
        <v>12</v>
      </c>
      <c r="F1346" t="s">
        <v>10</v>
      </c>
      <c r="G1346" t="s">
        <v>27</v>
      </c>
      <c r="H1346" t="s">
        <v>7247</v>
      </c>
      <c r="I1346" t="s">
        <v>3104</v>
      </c>
      <c r="J1346" t="str">
        <f>IF(0 = IFERROR(VLOOKUP(DBL_FullList!I1346, ContactsDbl!B:D, 2, FALSE), ""), "", IFERROR(VLOOKUP(DBL_FullList!I1346, ContactsDbl!B:D, 2, FALSE), ""))</f>
        <v/>
      </c>
      <c r="K1346" t="str">
        <f>IF(0 = IFERROR(VLOOKUP(DBL_FullList!I1346,ContactsDbl!B:D, 3, FALSE), ""), "", IFERROR(VLOOKUP(DBL_FullList!I1346, ContactsDbl!B:D, 3, FALSE), ""))</f>
        <v/>
      </c>
      <c r="L1346">
        <f t="shared" si="41"/>
        <v>0</v>
      </c>
    </row>
    <row r="1347" spans="1:12" x14ac:dyDescent="0.25">
      <c r="A1347" t="s">
        <v>7248</v>
      </c>
      <c r="B1347" t="str">
        <f>IF(ISERROR(VLOOKUP(F1347,STEP!A:A, 1, FALSE)), "N", "Y")</f>
        <v>N</v>
      </c>
      <c r="C1347" t="str">
        <f>IF(ISERROR(VLOOKUP(E1347, BibleInEveryLanguageTexts!A:A, 1, FALSE)), "N", "Y")</f>
        <v>N</v>
      </c>
      <c r="D1347" t="str">
        <f t="shared" ref="D1347:D1410" si="42">IF(AND("N" = B1347, "N" = C1347), "X", "")</f>
        <v>X</v>
      </c>
      <c r="E1347" t="s">
        <v>5083</v>
      </c>
      <c r="F1347" t="s">
        <v>5084</v>
      </c>
      <c r="G1347" t="s">
        <v>2984</v>
      </c>
      <c r="H1347" t="s">
        <v>7249</v>
      </c>
      <c r="I1347" t="s">
        <v>3104</v>
      </c>
      <c r="J1347" t="str">
        <f>IF(0 = IFERROR(VLOOKUP(DBL_FullList!I1347, ContactsDbl!B:D, 2, FALSE), ""), "", IFERROR(VLOOKUP(DBL_FullList!I1347, ContactsDbl!B:D, 2, FALSE), ""))</f>
        <v/>
      </c>
      <c r="K1347" t="str">
        <f>IF(0 = IFERROR(VLOOKUP(DBL_FullList!I1347,ContactsDbl!B:D, 3, FALSE), ""), "", IFERROR(VLOOKUP(DBL_FullList!I1347, ContactsDbl!B:D, 3, FALSE), ""))</f>
        <v/>
      </c>
      <c r="L1347">
        <f t="shared" ref="L1347:L1410" si="43">IF("" &lt;&gt; J1347, 2, IF("" &lt;&gt; K1347, 1, 0))</f>
        <v>0</v>
      </c>
    </row>
    <row r="1348" spans="1:12" x14ac:dyDescent="0.25">
      <c r="A1348" t="s">
        <v>7250</v>
      </c>
      <c r="B1348" t="str">
        <f>IF(ISERROR(VLOOKUP(F1348,STEP!A:A, 1, FALSE)), "N", "Y")</f>
        <v>N</v>
      </c>
      <c r="C1348" t="str">
        <f>IF(ISERROR(VLOOKUP(E1348, BibleInEveryLanguageTexts!A:A, 1, FALSE)), "N", "Y")</f>
        <v>Y</v>
      </c>
      <c r="D1348" t="str">
        <f t="shared" si="42"/>
        <v/>
      </c>
      <c r="E1348" t="s">
        <v>12</v>
      </c>
      <c r="F1348" t="s">
        <v>10</v>
      </c>
      <c r="G1348" t="s">
        <v>27</v>
      </c>
      <c r="H1348" t="s">
        <v>7251</v>
      </c>
      <c r="I1348" t="s">
        <v>3104</v>
      </c>
      <c r="J1348" t="str">
        <f>IF(0 = IFERROR(VLOOKUP(DBL_FullList!I1348, ContactsDbl!B:D, 2, FALSE), ""), "", IFERROR(VLOOKUP(DBL_FullList!I1348, ContactsDbl!B:D, 2, FALSE), ""))</f>
        <v/>
      </c>
      <c r="K1348" t="str">
        <f>IF(0 = IFERROR(VLOOKUP(DBL_FullList!I1348,ContactsDbl!B:D, 3, FALSE), ""), "", IFERROR(VLOOKUP(DBL_FullList!I1348, ContactsDbl!B:D, 3, FALSE), ""))</f>
        <v/>
      </c>
      <c r="L1348">
        <f t="shared" si="43"/>
        <v>0</v>
      </c>
    </row>
    <row r="1349" spans="1:12" x14ac:dyDescent="0.25">
      <c r="A1349" t="s">
        <v>7252</v>
      </c>
      <c r="B1349" t="str">
        <f>IF(ISERROR(VLOOKUP(F1349,STEP!A:A, 1, FALSE)), "N", "Y")</f>
        <v>N</v>
      </c>
      <c r="C1349" t="str">
        <f>IF(ISERROR(VLOOKUP(E1349, BibleInEveryLanguageTexts!A:A, 1, FALSE)), "N", "Y")</f>
        <v>N</v>
      </c>
      <c r="D1349" t="str">
        <f t="shared" si="42"/>
        <v>X</v>
      </c>
      <c r="E1349" t="s">
        <v>7253</v>
      </c>
      <c r="F1349" t="s">
        <v>7254</v>
      </c>
      <c r="G1349" t="s">
        <v>2997</v>
      </c>
      <c r="H1349" t="s">
        <v>7255</v>
      </c>
      <c r="I1349" t="s">
        <v>2661</v>
      </c>
      <c r="J1349" t="str">
        <f>IF(0 = IFERROR(VLOOKUP(DBL_FullList!I1349, ContactsDbl!B:D, 2, FALSE), ""), "", IFERROR(VLOOKUP(DBL_FullList!I1349, ContactsDbl!B:D, 2, FALSE), ""))</f>
        <v>dbladmin_intl@sil.org</v>
      </c>
      <c r="K1349" t="str">
        <f>IF(0 = IFERROR(VLOOKUP(DBL_FullList!I1349,ContactsDbl!B:D, 3, FALSE), ""), "", IFERROR(VLOOKUP(DBL_FullList!I1349, ContactsDbl!B:D, 3, FALSE), ""))</f>
        <v>http://www.wycliffe.org</v>
      </c>
      <c r="L1349">
        <f t="shared" si="43"/>
        <v>2</v>
      </c>
    </row>
    <row r="1350" spans="1:12" x14ac:dyDescent="0.25">
      <c r="A1350" t="s">
        <v>7256</v>
      </c>
      <c r="B1350" t="str">
        <f>IF(ISERROR(VLOOKUP(F1350,STEP!A:A, 1, FALSE)), "N", "Y")</f>
        <v>N</v>
      </c>
      <c r="C1350" t="str">
        <f>IF(ISERROR(VLOOKUP(E1350, BibleInEveryLanguageTexts!A:A, 1, FALSE)), "N", "Y")</f>
        <v>N</v>
      </c>
      <c r="D1350" t="str">
        <f t="shared" si="42"/>
        <v>X</v>
      </c>
      <c r="E1350" t="s">
        <v>6402</v>
      </c>
      <c r="F1350" t="s">
        <v>6403</v>
      </c>
      <c r="G1350" t="s">
        <v>4376</v>
      </c>
      <c r="H1350" t="s">
        <v>7257</v>
      </c>
      <c r="I1350" t="s">
        <v>2636</v>
      </c>
      <c r="J1350" t="str">
        <f>IF(0 = IFERROR(VLOOKUP(DBL_FullList!I1350, ContactsDbl!B:D, 2, FALSE), ""), "", IFERROR(VLOOKUP(DBL_FullList!I1350, ContactsDbl!B:D, 2, FALSE), ""))</f>
        <v>deborab@kitabimukaddes.com</v>
      </c>
      <c r="K1350" t="str">
        <f>IF(0 = IFERROR(VLOOKUP(DBL_FullList!I1350,ContactsDbl!B:D, 3, FALSE), ""), "", IFERROR(VLOOKUP(DBL_FullList!I1350, ContactsDbl!B:D, 3, FALSE), ""))</f>
        <v>http://www.kitabimukaddes.com/</v>
      </c>
      <c r="L1350">
        <f t="shared" si="43"/>
        <v>2</v>
      </c>
    </row>
    <row r="1351" spans="1:12" x14ac:dyDescent="0.25">
      <c r="A1351" t="s">
        <v>7258</v>
      </c>
      <c r="B1351" t="str">
        <f>IF(ISERROR(VLOOKUP(F1351,STEP!A:A, 1, FALSE)), "N", "Y")</f>
        <v>N</v>
      </c>
      <c r="C1351" t="str">
        <f>IF(ISERROR(VLOOKUP(E1351, BibleInEveryLanguageTexts!A:A, 1, FALSE)), "N", "Y")</f>
        <v>N</v>
      </c>
      <c r="D1351" t="str">
        <f t="shared" si="42"/>
        <v>X</v>
      </c>
      <c r="E1351" t="s">
        <v>5818</v>
      </c>
      <c r="F1351" t="s">
        <v>3846</v>
      </c>
      <c r="G1351" t="s">
        <v>3847</v>
      </c>
      <c r="H1351" t="s">
        <v>7259</v>
      </c>
      <c r="I1351" t="s">
        <v>2563</v>
      </c>
      <c r="J1351" t="str">
        <f>IF(0 = IFERROR(VLOOKUP(DBL_FullList!I1351, ContactsDbl!B:D, 2, FALSE), ""), "", IFERROR(VLOOKUP(DBL_FullList!I1351, ContactsDbl!B:D, 2, FALSE), ""))</f>
        <v/>
      </c>
      <c r="K1351" t="str">
        <f>IF(0 = IFERROR(VLOOKUP(DBL_FullList!I1351,ContactsDbl!B:D, 3, FALSE), ""), "", IFERROR(VLOOKUP(DBL_FullList!I1351, ContactsDbl!B:D, 3, FALSE), ""))</f>
        <v>http://www.scottishbiblesociety.org</v>
      </c>
      <c r="L1351">
        <f t="shared" si="43"/>
        <v>1</v>
      </c>
    </row>
    <row r="1352" spans="1:12" x14ac:dyDescent="0.25">
      <c r="A1352" t="s">
        <v>7260</v>
      </c>
      <c r="B1352" t="str">
        <f>IF(ISERROR(VLOOKUP(F1352,STEP!A:A, 1, FALSE)), "N", "Y")</f>
        <v>N</v>
      </c>
      <c r="C1352" t="str">
        <f>IF(ISERROR(VLOOKUP(E1352, BibleInEveryLanguageTexts!A:A, 1, FALSE)), "N", "Y")</f>
        <v>N</v>
      </c>
      <c r="D1352" t="str">
        <f t="shared" si="42"/>
        <v>X</v>
      </c>
      <c r="E1352" t="s">
        <v>5818</v>
      </c>
      <c r="F1352" t="s">
        <v>3846</v>
      </c>
      <c r="G1352" t="s">
        <v>3847</v>
      </c>
      <c r="H1352" t="s">
        <v>7261</v>
      </c>
      <c r="I1352" t="s">
        <v>2563</v>
      </c>
      <c r="J1352" t="str">
        <f>IF(0 = IFERROR(VLOOKUP(DBL_FullList!I1352, ContactsDbl!B:D, 2, FALSE), ""), "", IFERROR(VLOOKUP(DBL_FullList!I1352, ContactsDbl!B:D, 2, FALSE), ""))</f>
        <v/>
      </c>
      <c r="K1352" t="str">
        <f>IF(0 = IFERROR(VLOOKUP(DBL_FullList!I1352,ContactsDbl!B:D, 3, FALSE), ""), "", IFERROR(VLOOKUP(DBL_FullList!I1352, ContactsDbl!B:D, 3, FALSE), ""))</f>
        <v>http://www.scottishbiblesociety.org</v>
      </c>
      <c r="L1352">
        <f t="shared" si="43"/>
        <v>1</v>
      </c>
    </row>
    <row r="1353" spans="1:12" x14ac:dyDescent="0.25">
      <c r="A1353" t="s">
        <v>7262</v>
      </c>
      <c r="B1353" t="str">
        <f>IF(ISERROR(VLOOKUP(F1353,STEP!A:A, 1, FALSE)), "N", "Y")</f>
        <v>N</v>
      </c>
      <c r="C1353" t="str">
        <f>IF(ISERROR(VLOOKUP(E1353, BibleInEveryLanguageTexts!A:A, 1, FALSE)), "N", "Y")</f>
        <v>N</v>
      </c>
      <c r="D1353" t="str">
        <f t="shared" si="42"/>
        <v>X</v>
      </c>
      <c r="E1353" t="s">
        <v>7263</v>
      </c>
      <c r="F1353" t="s">
        <v>7264</v>
      </c>
      <c r="G1353" t="s">
        <v>7265</v>
      </c>
      <c r="H1353" t="s">
        <v>7266</v>
      </c>
      <c r="I1353" t="s">
        <v>2102</v>
      </c>
      <c r="J1353" t="str">
        <f>IF(0 = IFERROR(VLOOKUP(DBL_FullList!I1353, ContactsDbl!B:D, 2, FALSE), ""), "", IFERROR(VLOOKUP(DBL_FullList!I1353, ContactsDbl!B:D, 2, FALSE), ""))</f>
        <v>mkatonivere@bible.org.fj</v>
      </c>
      <c r="K1353" t="str">
        <f>IF(0 = IFERROR(VLOOKUP(DBL_FullList!I1353,ContactsDbl!B:D, 3, FALSE), ""), "", IFERROR(VLOOKUP(DBL_FullList!I1353, ContactsDbl!B:D, 3, FALSE), ""))</f>
        <v>http://www.bible.org.fj/</v>
      </c>
      <c r="L1353">
        <f t="shared" si="43"/>
        <v>2</v>
      </c>
    </row>
    <row r="1354" spans="1:12" x14ac:dyDescent="0.25">
      <c r="A1354" t="s">
        <v>7267</v>
      </c>
      <c r="B1354" t="str">
        <f>IF(ISERROR(VLOOKUP(F1354,STEP!A:A, 1, FALSE)), "N", "Y")</f>
        <v>N</v>
      </c>
      <c r="C1354" t="str">
        <f>IF(ISERROR(VLOOKUP(E1354, BibleInEveryLanguageTexts!A:A, 1, FALSE)), "N", "Y")</f>
        <v>N</v>
      </c>
      <c r="D1354" t="str">
        <f t="shared" si="42"/>
        <v>X</v>
      </c>
      <c r="E1354" t="s">
        <v>7268</v>
      </c>
      <c r="F1354" t="s">
        <v>6347</v>
      </c>
      <c r="G1354" t="s">
        <v>2738</v>
      </c>
      <c r="H1354" t="s">
        <v>7269</v>
      </c>
      <c r="I1354" t="s">
        <v>2102</v>
      </c>
      <c r="J1354" t="str">
        <f>IF(0 = IFERROR(VLOOKUP(DBL_FullList!I1354, ContactsDbl!B:D, 2, FALSE), ""), "", IFERROR(VLOOKUP(DBL_FullList!I1354, ContactsDbl!B:D, 2, FALSE), ""))</f>
        <v>mkatonivere@bible.org.fj</v>
      </c>
      <c r="K1354" t="str">
        <f>IF(0 = IFERROR(VLOOKUP(DBL_FullList!I1354,ContactsDbl!B:D, 3, FALSE), ""), "", IFERROR(VLOOKUP(DBL_FullList!I1354, ContactsDbl!B:D, 3, FALSE), ""))</f>
        <v>http://www.bible.org.fj/</v>
      </c>
      <c r="L1354">
        <f t="shared" si="43"/>
        <v>2</v>
      </c>
    </row>
    <row r="1355" spans="1:12" x14ac:dyDescent="0.25">
      <c r="A1355" t="s">
        <v>7270</v>
      </c>
      <c r="B1355" t="str">
        <f>IF(ISERROR(VLOOKUP(F1355,STEP!A:A, 1, FALSE)), "N", "Y")</f>
        <v>N</v>
      </c>
      <c r="C1355" t="str">
        <f>IF(ISERROR(VLOOKUP(E1355, BibleInEveryLanguageTexts!A:A, 1, FALSE)), "N", "Y")</f>
        <v>N</v>
      </c>
      <c r="D1355" t="str">
        <f t="shared" si="42"/>
        <v>X</v>
      </c>
      <c r="E1355" t="s">
        <v>5818</v>
      </c>
      <c r="F1355" t="s">
        <v>3846</v>
      </c>
      <c r="G1355" t="s">
        <v>3847</v>
      </c>
      <c r="H1355" t="s">
        <v>7271</v>
      </c>
      <c r="I1355" t="s">
        <v>2563</v>
      </c>
      <c r="J1355" t="str">
        <f>IF(0 = IFERROR(VLOOKUP(DBL_FullList!I1355, ContactsDbl!B:D, 2, FALSE), ""), "", IFERROR(VLOOKUP(DBL_FullList!I1355, ContactsDbl!B:D, 2, FALSE), ""))</f>
        <v/>
      </c>
      <c r="K1355" t="str">
        <f>IF(0 = IFERROR(VLOOKUP(DBL_FullList!I1355,ContactsDbl!B:D, 3, FALSE), ""), "", IFERROR(VLOOKUP(DBL_FullList!I1355, ContactsDbl!B:D, 3, FALSE), ""))</f>
        <v>http://www.scottishbiblesociety.org</v>
      </c>
      <c r="L1355">
        <f t="shared" si="43"/>
        <v>1</v>
      </c>
    </row>
    <row r="1356" spans="1:12" x14ac:dyDescent="0.25">
      <c r="A1356" s="1" t="s">
        <v>7272</v>
      </c>
      <c r="B1356" t="str">
        <f>IF(ISERROR(VLOOKUP(F1356,STEP!A:A, 1, FALSE)), "N", "Y")</f>
        <v>N</v>
      </c>
      <c r="C1356" t="str">
        <f>IF(ISERROR(VLOOKUP(E1356, BibleInEveryLanguageTexts!A:A, 1, FALSE)), "N", "Y")</f>
        <v>N</v>
      </c>
      <c r="D1356" t="str">
        <f t="shared" si="42"/>
        <v>X</v>
      </c>
      <c r="E1356" t="s">
        <v>7273</v>
      </c>
      <c r="F1356" t="s">
        <v>7274</v>
      </c>
      <c r="G1356" t="s">
        <v>2738</v>
      </c>
      <c r="H1356" t="s">
        <v>7275</v>
      </c>
      <c r="I1356" t="s">
        <v>2102</v>
      </c>
      <c r="J1356" t="str">
        <f>IF(0 = IFERROR(VLOOKUP(DBL_FullList!I1356, ContactsDbl!B:D, 2, FALSE), ""), "", IFERROR(VLOOKUP(DBL_FullList!I1356, ContactsDbl!B:D, 2, FALSE), ""))</f>
        <v>mkatonivere@bible.org.fj</v>
      </c>
      <c r="K1356" t="str">
        <f>IF(0 = IFERROR(VLOOKUP(DBL_FullList!I1356,ContactsDbl!B:D, 3, FALSE), ""), "", IFERROR(VLOOKUP(DBL_FullList!I1356, ContactsDbl!B:D, 3, FALSE), ""))</f>
        <v>http://www.bible.org.fj/</v>
      </c>
      <c r="L1356">
        <f t="shared" si="43"/>
        <v>2</v>
      </c>
    </row>
    <row r="1357" spans="1:12" x14ac:dyDescent="0.25">
      <c r="A1357" t="s">
        <v>7276</v>
      </c>
      <c r="B1357" t="str">
        <f>IF(ISERROR(VLOOKUP(F1357,STEP!A:A, 1, FALSE)), "N", "Y")</f>
        <v>N</v>
      </c>
      <c r="C1357" t="str">
        <f>IF(ISERROR(VLOOKUP(E1357, BibleInEveryLanguageTexts!A:A, 1, FALSE)), "N", "Y")</f>
        <v>N</v>
      </c>
      <c r="D1357" t="str">
        <f t="shared" si="42"/>
        <v>X</v>
      </c>
      <c r="E1357" t="s">
        <v>7263</v>
      </c>
      <c r="F1357" t="s">
        <v>7264</v>
      </c>
      <c r="G1357" t="s">
        <v>7277</v>
      </c>
      <c r="H1357" t="s">
        <v>7278</v>
      </c>
      <c r="I1357" t="s">
        <v>2102</v>
      </c>
      <c r="J1357" t="str">
        <f>IF(0 = IFERROR(VLOOKUP(DBL_FullList!I1357, ContactsDbl!B:D, 2, FALSE), ""), "", IFERROR(VLOOKUP(DBL_FullList!I1357, ContactsDbl!B:D, 2, FALSE), ""))</f>
        <v>mkatonivere@bible.org.fj</v>
      </c>
      <c r="K1357" t="str">
        <f>IF(0 = IFERROR(VLOOKUP(DBL_FullList!I1357,ContactsDbl!B:D, 3, FALSE), ""), "", IFERROR(VLOOKUP(DBL_FullList!I1357, ContactsDbl!B:D, 3, FALSE), ""))</f>
        <v>http://www.bible.org.fj/</v>
      </c>
      <c r="L1357">
        <f t="shared" si="43"/>
        <v>2</v>
      </c>
    </row>
    <row r="1358" spans="1:12" x14ac:dyDescent="0.25">
      <c r="A1358" t="s">
        <v>7279</v>
      </c>
      <c r="B1358" t="str">
        <f>IF(ISERROR(VLOOKUP(F1358,STEP!A:A, 1, FALSE)), "N", "Y")</f>
        <v>N</v>
      </c>
      <c r="C1358" t="str">
        <f>IF(ISERROR(VLOOKUP(E1358, BibleInEveryLanguageTexts!A:A, 1, FALSE)), "N", "Y")</f>
        <v>N</v>
      </c>
      <c r="D1358" t="str">
        <f t="shared" si="42"/>
        <v>X</v>
      </c>
      <c r="E1358" t="s">
        <v>5818</v>
      </c>
      <c r="F1358" t="s">
        <v>3846</v>
      </c>
      <c r="G1358" t="s">
        <v>3847</v>
      </c>
      <c r="H1358" t="s">
        <v>7280</v>
      </c>
      <c r="I1358" t="s">
        <v>2563</v>
      </c>
      <c r="J1358" t="str">
        <f>IF(0 = IFERROR(VLOOKUP(DBL_FullList!I1358, ContactsDbl!B:D, 2, FALSE), ""), "", IFERROR(VLOOKUP(DBL_FullList!I1358, ContactsDbl!B:D, 2, FALSE), ""))</f>
        <v/>
      </c>
      <c r="K1358" t="str">
        <f>IF(0 = IFERROR(VLOOKUP(DBL_FullList!I1358,ContactsDbl!B:D, 3, FALSE), ""), "", IFERROR(VLOOKUP(DBL_FullList!I1358, ContactsDbl!B:D, 3, FALSE), ""))</f>
        <v>http://www.scottishbiblesociety.org</v>
      </c>
      <c r="L1358">
        <f t="shared" si="43"/>
        <v>1</v>
      </c>
    </row>
    <row r="1359" spans="1:12" x14ac:dyDescent="0.25">
      <c r="A1359" t="s">
        <v>7281</v>
      </c>
      <c r="B1359" t="str">
        <f>IF(ISERROR(VLOOKUP(F1359,STEP!A:A, 1, FALSE)), "N", "Y")</f>
        <v>Y</v>
      </c>
      <c r="C1359" t="str">
        <f>IF(ISERROR(VLOOKUP(E1359, BibleInEveryLanguageTexts!A:A, 1, FALSE)), "N", "Y")</f>
        <v>N</v>
      </c>
      <c r="D1359" t="str">
        <f t="shared" si="42"/>
        <v/>
      </c>
      <c r="E1359" t="s">
        <v>7282</v>
      </c>
      <c r="F1359" t="s">
        <v>7283</v>
      </c>
      <c r="G1359" t="s">
        <v>48</v>
      </c>
      <c r="H1359" t="s">
        <v>7284</v>
      </c>
      <c r="I1359" t="s">
        <v>2661</v>
      </c>
      <c r="J1359" t="str">
        <f>IF(0 = IFERROR(VLOOKUP(DBL_FullList!I1359, ContactsDbl!B:D, 2, FALSE), ""), "", IFERROR(VLOOKUP(DBL_FullList!I1359, ContactsDbl!B:D, 2, FALSE), ""))</f>
        <v>dbladmin_intl@sil.org</v>
      </c>
      <c r="K1359" t="str">
        <f>IF(0 = IFERROR(VLOOKUP(DBL_FullList!I1359,ContactsDbl!B:D, 3, FALSE), ""), "", IFERROR(VLOOKUP(DBL_FullList!I1359, ContactsDbl!B:D, 3, FALSE), ""))</f>
        <v>http://www.wycliffe.org</v>
      </c>
      <c r="L1359">
        <f t="shared" si="43"/>
        <v>2</v>
      </c>
    </row>
    <row r="1360" spans="1:12" x14ac:dyDescent="0.25">
      <c r="A1360" t="s">
        <v>7285</v>
      </c>
      <c r="B1360" t="str">
        <f>IF(ISERROR(VLOOKUP(F1360,STEP!A:A, 1, FALSE)), "N", "Y")</f>
        <v>N</v>
      </c>
      <c r="C1360" t="str">
        <f>IF(ISERROR(VLOOKUP(E1360, BibleInEveryLanguageTexts!A:A, 1, FALSE)), "N", "Y")</f>
        <v>N</v>
      </c>
      <c r="D1360" t="str">
        <f t="shared" si="42"/>
        <v>X</v>
      </c>
      <c r="E1360" t="s">
        <v>7060</v>
      </c>
      <c r="F1360" t="s">
        <v>7061</v>
      </c>
      <c r="G1360" t="s">
        <v>115</v>
      </c>
      <c r="H1360" t="s">
        <v>7286</v>
      </c>
      <c r="I1360" t="s">
        <v>2623</v>
      </c>
      <c r="J1360" t="str">
        <f>IF(0 = IFERROR(VLOOKUP(DBL_FullList!I1360, ContactsDbl!B:D, 2, FALSE), ""), "", IFERROR(VLOOKUP(DBL_FullList!I1360, ContactsDbl!B:D, 2, FALSE), ""))</f>
        <v>seree@thaibible.or.th</v>
      </c>
      <c r="K1360" t="str">
        <f>IF(0 = IFERROR(VLOOKUP(DBL_FullList!I1360,ContactsDbl!B:D, 3, FALSE), ""), "", IFERROR(VLOOKUP(DBL_FullList!I1360, ContactsDbl!B:D, 3, FALSE), ""))</f>
        <v>http://www.thaibible.or.th/</v>
      </c>
      <c r="L1360">
        <f t="shared" si="43"/>
        <v>2</v>
      </c>
    </row>
    <row r="1361" spans="1:12" x14ac:dyDescent="0.25">
      <c r="A1361" t="s">
        <v>7287</v>
      </c>
      <c r="B1361" t="str">
        <f>IF(ISERROR(VLOOKUP(F1361,STEP!A:A, 1, FALSE)), "N", "Y")</f>
        <v>N</v>
      </c>
      <c r="C1361" t="str">
        <f>IF(ISERROR(VLOOKUP(E1361, BibleInEveryLanguageTexts!A:A, 1, FALSE)), "N", "Y")</f>
        <v>N</v>
      </c>
      <c r="D1361" t="str">
        <f t="shared" si="42"/>
        <v>X</v>
      </c>
      <c r="E1361" t="s">
        <v>7288</v>
      </c>
      <c r="F1361" t="s">
        <v>7289</v>
      </c>
      <c r="G1361" t="s">
        <v>4588</v>
      </c>
      <c r="H1361" t="s">
        <v>7290</v>
      </c>
      <c r="I1361" t="s">
        <v>2459</v>
      </c>
      <c r="J1361" t="str">
        <f>IF(0 = IFERROR(VLOOKUP(DBL_FullList!I1361, ContactsDbl!B:D, 2, FALSE), ""), "", IFERROR(VLOOKUP(DBL_FullList!I1361, ContactsDbl!B:D, 2, FALSE), ""))</f>
        <v>gensec@nambible.org.na</v>
      </c>
      <c r="K1361" t="str">
        <f>IF(0 = IFERROR(VLOOKUP(DBL_FullList!I1361,ContactsDbl!B:D, 3, FALSE), ""), "", IFERROR(VLOOKUP(DBL_FullList!I1361, ContactsDbl!B:D, 3, FALSE), ""))</f>
        <v>http://www.nambible.org.na</v>
      </c>
      <c r="L1361">
        <f t="shared" si="43"/>
        <v>2</v>
      </c>
    </row>
    <row r="1362" spans="1:12" x14ac:dyDescent="0.25">
      <c r="A1362" t="s">
        <v>7291</v>
      </c>
      <c r="B1362" t="str">
        <f>IF(ISERROR(VLOOKUP(F1362,STEP!A:A, 1, FALSE)), "N", "Y")</f>
        <v>Y</v>
      </c>
      <c r="C1362" t="str">
        <f>IF(ISERROR(VLOOKUP(E1362, BibleInEveryLanguageTexts!A:A, 1, FALSE)), "N", "Y")</f>
        <v>N</v>
      </c>
      <c r="D1362" t="str">
        <f t="shared" si="42"/>
        <v/>
      </c>
      <c r="E1362" t="s">
        <v>7292</v>
      </c>
      <c r="F1362" t="s">
        <v>7293</v>
      </c>
      <c r="G1362" t="s">
        <v>48</v>
      </c>
      <c r="H1362" t="s">
        <v>7294</v>
      </c>
      <c r="I1362" t="s">
        <v>2661</v>
      </c>
      <c r="J1362" t="str">
        <f>IF(0 = IFERROR(VLOOKUP(DBL_FullList!I1362, ContactsDbl!B:D, 2, FALSE), ""), "", IFERROR(VLOOKUP(DBL_FullList!I1362, ContactsDbl!B:D, 2, FALSE), ""))</f>
        <v>dbladmin_intl@sil.org</v>
      </c>
      <c r="K1362" t="str">
        <f>IF(0 = IFERROR(VLOOKUP(DBL_FullList!I1362,ContactsDbl!B:D, 3, FALSE), ""), "", IFERROR(VLOOKUP(DBL_FullList!I1362, ContactsDbl!B:D, 3, FALSE), ""))</f>
        <v>http://www.wycliffe.org</v>
      </c>
      <c r="L1362">
        <f t="shared" si="43"/>
        <v>2</v>
      </c>
    </row>
    <row r="1363" spans="1:12" x14ac:dyDescent="0.25">
      <c r="A1363" t="s">
        <v>7295</v>
      </c>
      <c r="B1363" t="str">
        <f>IF(ISERROR(VLOOKUP(F1363,STEP!A:A, 1, FALSE)), "N", "Y")</f>
        <v>N</v>
      </c>
      <c r="C1363" t="str">
        <f>IF(ISERROR(VLOOKUP(E1363, BibleInEveryLanguageTexts!A:A, 1, FALSE)), "N", "Y")</f>
        <v>N</v>
      </c>
      <c r="D1363" t="str">
        <f t="shared" si="42"/>
        <v>X</v>
      </c>
      <c r="E1363" t="s">
        <v>7296</v>
      </c>
      <c r="F1363" t="s">
        <v>7297</v>
      </c>
      <c r="G1363" t="s">
        <v>4103</v>
      </c>
      <c r="H1363" t="s">
        <v>7298</v>
      </c>
      <c r="I1363" t="s">
        <v>2143</v>
      </c>
      <c r="J1363" t="str">
        <f>IF(0 = IFERROR(VLOOKUP(DBL_FullList!I1363, ContactsDbl!B:D, 2, FALSE), ""), "", IFERROR(VLOOKUP(DBL_FullList!I1363, ContactsDbl!B:D, 2, FALSE), ""))</f>
        <v>abicongo@biblesocieties.org</v>
      </c>
      <c r="K1363" t="str">
        <f>IF(0 = IFERROR(VLOOKUP(DBL_FullList!I1363,ContactsDbl!B:D, 3, FALSE), ""), "", IFERROR(VLOOKUP(DBL_FullList!I1363, ContactsDbl!B:D, 3, FALSE), ""))</f>
        <v>http://alliancebiblique-congo.org/</v>
      </c>
      <c r="L1363">
        <f t="shared" si="43"/>
        <v>2</v>
      </c>
    </row>
    <row r="1364" spans="1:12" x14ac:dyDescent="0.25">
      <c r="A1364" t="s">
        <v>7299</v>
      </c>
      <c r="B1364" t="str">
        <f>IF(ISERROR(VLOOKUP(F1364,STEP!A:A, 1, FALSE)), "N", "Y")</f>
        <v>Y</v>
      </c>
      <c r="C1364" t="str">
        <f>IF(ISERROR(VLOOKUP(E1364, BibleInEveryLanguageTexts!A:A, 1, FALSE)), "N", "Y")</f>
        <v>N</v>
      </c>
      <c r="D1364" t="str">
        <f t="shared" si="42"/>
        <v/>
      </c>
      <c r="E1364" t="s">
        <v>7300</v>
      </c>
      <c r="F1364" t="s">
        <v>7301</v>
      </c>
      <c r="G1364" t="s">
        <v>48</v>
      </c>
      <c r="H1364" t="s">
        <v>7302</v>
      </c>
      <c r="I1364" t="s">
        <v>2661</v>
      </c>
      <c r="J1364" t="str">
        <f>IF(0 = IFERROR(VLOOKUP(DBL_FullList!I1364, ContactsDbl!B:D, 2, FALSE), ""), "", IFERROR(VLOOKUP(DBL_FullList!I1364, ContactsDbl!B:D, 2, FALSE), ""))</f>
        <v>dbladmin_intl@sil.org</v>
      </c>
      <c r="K1364" t="str">
        <f>IF(0 = IFERROR(VLOOKUP(DBL_FullList!I1364,ContactsDbl!B:D, 3, FALSE), ""), "", IFERROR(VLOOKUP(DBL_FullList!I1364, ContactsDbl!B:D, 3, FALSE), ""))</f>
        <v>http://www.wycliffe.org</v>
      </c>
      <c r="L1364">
        <f t="shared" si="43"/>
        <v>2</v>
      </c>
    </row>
    <row r="1365" spans="1:12" x14ac:dyDescent="0.25">
      <c r="A1365" t="s">
        <v>7303</v>
      </c>
      <c r="B1365" t="str">
        <f>IF(ISERROR(VLOOKUP(F1365,STEP!A:A, 1, FALSE)), "N", "Y")</f>
        <v>N</v>
      </c>
      <c r="C1365" t="str">
        <f>IF(ISERROR(VLOOKUP(E1365, BibleInEveryLanguageTexts!A:A, 1, FALSE)), "N", "Y")</f>
        <v>N</v>
      </c>
      <c r="D1365" t="str">
        <f t="shared" si="42"/>
        <v>X</v>
      </c>
      <c r="E1365" t="s">
        <v>7304</v>
      </c>
      <c r="F1365" t="s">
        <v>7305</v>
      </c>
      <c r="G1365" t="s">
        <v>2880</v>
      </c>
      <c r="H1365" t="s">
        <v>7306</v>
      </c>
      <c r="I1365" t="s">
        <v>2661</v>
      </c>
      <c r="J1365" t="str">
        <f>IF(0 = IFERROR(VLOOKUP(DBL_FullList!I1365, ContactsDbl!B:D, 2, FALSE), ""), "", IFERROR(VLOOKUP(DBL_FullList!I1365, ContactsDbl!B:D, 2, FALSE), ""))</f>
        <v>dbladmin_intl@sil.org</v>
      </c>
      <c r="K1365" t="str">
        <f>IF(0 = IFERROR(VLOOKUP(DBL_FullList!I1365,ContactsDbl!B:D, 3, FALSE), ""), "", IFERROR(VLOOKUP(DBL_FullList!I1365, ContactsDbl!B:D, 3, FALSE), ""))</f>
        <v>http://www.wycliffe.org</v>
      </c>
      <c r="L1365">
        <f t="shared" si="43"/>
        <v>2</v>
      </c>
    </row>
    <row r="1366" spans="1:12" x14ac:dyDescent="0.25">
      <c r="A1366" t="s">
        <v>7307</v>
      </c>
      <c r="B1366" t="str">
        <f>IF(ISERROR(VLOOKUP(F1366,STEP!A:A, 1, FALSE)), "N", "Y")</f>
        <v>N</v>
      </c>
      <c r="C1366" t="str">
        <f>IF(ISERROR(VLOOKUP(E1366, BibleInEveryLanguageTexts!A:A, 1, FALSE)), "N", "Y")</f>
        <v>N</v>
      </c>
      <c r="D1366" t="str">
        <f t="shared" si="42"/>
        <v>X</v>
      </c>
      <c r="E1366" t="s">
        <v>4505</v>
      </c>
      <c r="F1366" t="s">
        <v>4384</v>
      </c>
      <c r="G1366" t="s">
        <v>4385</v>
      </c>
      <c r="H1366" t="s">
        <v>7308</v>
      </c>
      <c r="I1366" t="s">
        <v>2587</v>
      </c>
      <c r="J1366" t="str">
        <f>IF(0 = IFERROR(VLOOKUP(DBL_FullList!I1366, ContactsDbl!B:D, 2, FALSE), ""), "", IFERROR(VLOOKUP(DBL_FullList!I1366, ContactsDbl!B:D, 2, FALSE), ""))</f>
        <v>matjaz.crnivec@svetopismo.si</v>
      </c>
      <c r="K1366" t="str">
        <f>IF(0 = IFERROR(VLOOKUP(DBL_FullList!I1366,ContactsDbl!B:D, 3, FALSE), ""), "", IFERROR(VLOOKUP(DBL_FullList!I1366, ContactsDbl!B:D, 3, FALSE), ""))</f>
        <v>www.svetopismo.si</v>
      </c>
      <c r="L1366">
        <f t="shared" si="43"/>
        <v>2</v>
      </c>
    </row>
    <row r="1367" spans="1:12" x14ac:dyDescent="0.25">
      <c r="A1367" t="s">
        <v>7309</v>
      </c>
      <c r="B1367" t="str">
        <f>IF(ISERROR(VLOOKUP(F1367,STEP!A:A, 1, FALSE)), "N", "Y")</f>
        <v>Y</v>
      </c>
      <c r="C1367" t="str">
        <f>IF(ISERROR(VLOOKUP(E1367, BibleInEveryLanguageTexts!A:A, 1, FALSE)), "N", "Y")</f>
        <v>N</v>
      </c>
      <c r="D1367" t="str">
        <f t="shared" si="42"/>
        <v/>
      </c>
      <c r="E1367" t="s">
        <v>7310</v>
      </c>
      <c r="F1367" t="s">
        <v>7311</v>
      </c>
      <c r="G1367" t="s">
        <v>48</v>
      </c>
      <c r="H1367" t="s">
        <v>7312</v>
      </c>
      <c r="I1367" t="s">
        <v>2661</v>
      </c>
      <c r="J1367" t="str">
        <f>IF(0 = IFERROR(VLOOKUP(DBL_FullList!I1367, ContactsDbl!B:D, 2, FALSE), ""), "", IFERROR(VLOOKUP(DBL_FullList!I1367, ContactsDbl!B:D, 2, FALSE), ""))</f>
        <v>dbladmin_intl@sil.org</v>
      </c>
      <c r="K1367" t="str">
        <f>IF(0 = IFERROR(VLOOKUP(DBL_FullList!I1367,ContactsDbl!B:D, 3, FALSE), ""), "", IFERROR(VLOOKUP(DBL_FullList!I1367, ContactsDbl!B:D, 3, FALSE), ""))</f>
        <v>http://www.wycliffe.org</v>
      </c>
      <c r="L1367">
        <f t="shared" si="43"/>
        <v>2</v>
      </c>
    </row>
    <row r="1368" spans="1:12" x14ac:dyDescent="0.25">
      <c r="A1368" t="s">
        <v>7313</v>
      </c>
      <c r="B1368" t="str">
        <f>IF(ISERROR(VLOOKUP(F1368,STEP!A:A, 1, FALSE)), "N", "Y")</f>
        <v>N</v>
      </c>
      <c r="C1368" t="str">
        <f>IF(ISERROR(VLOOKUP(E1368, BibleInEveryLanguageTexts!A:A, 1, FALSE)), "N", "Y")</f>
        <v>N</v>
      </c>
      <c r="D1368" t="str">
        <f t="shared" si="42"/>
        <v>X</v>
      </c>
      <c r="E1368" t="s">
        <v>4955</v>
      </c>
      <c r="F1368" t="s">
        <v>4956</v>
      </c>
      <c r="G1368" t="s">
        <v>2833</v>
      </c>
      <c r="H1368" t="s">
        <v>7314</v>
      </c>
      <c r="I1368" t="s">
        <v>2647</v>
      </c>
      <c r="J1368" t="str">
        <f>IF(0 = IFERROR(VLOOKUP(DBL_FullList!I1368, ContactsDbl!B:D, 2, FALSE), ""), "", IFERROR(VLOOKUP(DBL_FullList!I1368, ContactsDbl!B:D, 2, FALSE), ""))</f>
        <v>info@biblesociety-uganda.org</v>
      </c>
      <c r="K1368" t="str">
        <f>IF(0 = IFERROR(VLOOKUP(DBL_FullList!I1368,ContactsDbl!B:D, 3, FALSE), ""), "", IFERROR(VLOOKUP(DBL_FullList!I1368, ContactsDbl!B:D, 3, FALSE), ""))</f>
        <v>http://www.biblesociety-uganda.org/</v>
      </c>
      <c r="L1368">
        <f t="shared" si="43"/>
        <v>2</v>
      </c>
    </row>
    <row r="1369" spans="1:12" x14ac:dyDescent="0.25">
      <c r="A1369" t="s">
        <v>7315</v>
      </c>
      <c r="B1369" t="str">
        <f>IF(ISERROR(VLOOKUP(F1369,STEP!A:A, 1, FALSE)), "N", "Y")</f>
        <v>N</v>
      </c>
      <c r="C1369" t="str">
        <f>IF(ISERROR(VLOOKUP(E1369, BibleInEveryLanguageTexts!A:A, 1, FALSE)), "N", "Y")</f>
        <v>N</v>
      </c>
      <c r="D1369" t="str">
        <f t="shared" si="42"/>
        <v>X</v>
      </c>
      <c r="E1369" t="s">
        <v>7316</v>
      </c>
      <c r="F1369" t="s">
        <v>7317</v>
      </c>
      <c r="G1369" t="s">
        <v>3133</v>
      </c>
      <c r="H1369" t="s">
        <v>7318</v>
      </c>
      <c r="I1369" t="s">
        <v>2661</v>
      </c>
      <c r="J1369" t="str">
        <f>IF(0 = IFERROR(VLOOKUP(DBL_FullList!I1369, ContactsDbl!B:D, 2, FALSE), ""), "", IFERROR(VLOOKUP(DBL_FullList!I1369, ContactsDbl!B:D, 2, FALSE), ""))</f>
        <v>dbladmin_intl@sil.org</v>
      </c>
      <c r="K1369" t="str">
        <f>IF(0 = IFERROR(VLOOKUP(DBL_FullList!I1369,ContactsDbl!B:D, 3, FALSE), ""), "", IFERROR(VLOOKUP(DBL_FullList!I1369, ContactsDbl!B:D, 3, FALSE), ""))</f>
        <v>http://www.wycliffe.org</v>
      </c>
      <c r="L1369">
        <f t="shared" si="43"/>
        <v>2</v>
      </c>
    </row>
    <row r="1370" spans="1:12" x14ac:dyDescent="0.25">
      <c r="A1370" t="s">
        <v>7319</v>
      </c>
      <c r="B1370" t="str">
        <f>IF(ISERROR(VLOOKUP(F1370,STEP!A:A, 1, FALSE)), "N", "Y")</f>
        <v>N</v>
      </c>
      <c r="C1370" t="str">
        <f>IF(ISERROR(VLOOKUP(E1370, BibleInEveryLanguageTexts!A:A, 1, FALSE)), "N", "Y")</f>
        <v>N</v>
      </c>
      <c r="D1370" t="str">
        <f t="shared" si="42"/>
        <v>X</v>
      </c>
      <c r="E1370" t="s">
        <v>199</v>
      </c>
      <c r="F1370" t="s">
        <v>197</v>
      </c>
      <c r="G1370" t="s">
        <v>198</v>
      </c>
      <c r="H1370" t="s">
        <v>7320</v>
      </c>
      <c r="I1370" t="s">
        <v>2591</v>
      </c>
      <c r="J1370" t="str">
        <f>IF(0 = IFERROR(VLOOKUP(DBL_FullList!I1370, ContactsDbl!B:D, 2, FALSE), ""), "", IFERROR(VLOOKUP(DBL_FullList!I1370, ContactsDbl!B:D, 2, FALSE), ""))</f>
        <v/>
      </c>
      <c r="K1370" t="str">
        <f>IF(0 = IFERROR(VLOOKUP(DBL_FullList!I1370,ContactsDbl!B:D, 3, FALSE), ""), "", IFERROR(VLOOKUP(DBL_FullList!I1370, ContactsDbl!B:D, 3, FALSE), ""))</f>
        <v>http://sociedadbiblica.org</v>
      </c>
      <c r="L1370">
        <f t="shared" si="43"/>
        <v>1</v>
      </c>
    </row>
    <row r="1371" spans="1:12" x14ac:dyDescent="0.25">
      <c r="A1371" t="s">
        <v>7321</v>
      </c>
      <c r="B1371" t="str">
        <f>IF(ISERROR(VLOOKUP(F1371,STEP!A:A, 1, FALSE)), "N", "Y")</f>
        <v>N</v>
      </c>
      <c r="C1371" t="str">
        <f>IF(ISERROR(VLOOKUP(E1371, BibleInEveryLanguageTexts!A:A, 1, FALSE)), "N", "Y")</f>
        <v>N</v>
      </c>
      <c r="D1371" t="str">
        <f t="shared" si="42"/>
        <v>X</v>
      </c>
      <c r="E1371" t="s">
        <v>4917</v>
      </c>
      <c r="F1371" t="s">
        <v>4918</v>
      </c>
      <c r="G1371" t="s">
        <v>2923</v>
      </c>
      <c r="H1371" t="s">
        <v>7322</v>
      </c>
      <c r="I1371" t="s">
        <v>2091</v>
      </c>
      <c r="J1371" t="str">
        <f>IF(0 = IFERROR(VLOOKUP(DBL_FullList!I1371, ContactsDbl!B:D, 2, FALSE), ""), "", IFERROR(VLOOKUP(DBL_FullList!I1371, ContactsDbl!B:D, 2, FALSE), ""))</f>
        <v>geldenhuys@biblesociety.co.za</v>
      </c>
      <c r="K1371" t="str">
        <f>IF(0 = IFERROR(VLOOKUP(DBL_FullList!I1371,ContactsDbl!B:D, 3, FALSE), ""), "", IFERROR(VLOOKUP(DBL_FullList!I1371, ContactsDbl!B:D, 3, FALSE), ""))</f>
        <v>http://www.biblesociety.co.za/</v>
      </c>
      <c r="L1371">
        <f t="shared" si="43"/>
        <v>2</v>
      </c>
    </row>
    <row r="1372" spans="1:12" x14ac:dyDescent="0.25">
      <c r="A1372" t="s">
        <v>7323</v>
      </c>
      <c r="B1372" t="str">
        <f>IF(ISERROR(VLOOKUP(F1372,STEP!A:A, 1, FALSE)), "N", "Y")</f>
        <v>N</v>
      </c>
      <c r="C1372" t="str">
        <f>IF(ISERROR(VLOOKUP(E1372, BibleInEveryLanguageTexts!A:A, 1, FALSE)), "N", "Y")</f>
        <v>N</v>
      </c>
      <c r="D1372" t="str">
        <f t="shared" si="42"/>
        <v>X</v>
      </c>
      <c r="E1372" t="s">
        <v>2921</v>
      </c>
      <c r="F1372" t="s">
        <v>2922</v>
      </c>
      <c r="G1372" t="s">
        <v>2923</v>
      </c>
      <c r="H1372" t="s">
        <v>7324</v>
      </c>
      <c r="I1372" t="s">
        <v>2091</v>
      </c>
      <c r="J1372" t="str">
        <f>IF(0 = IFERROR(VLOOKUP(DBL_FullList!I1372, ContactsDbl!B:D, 2, FALSE), ""), "", IFERROR(VLOOKUP(DBL_FullList!I1372, ContactsDbl!B:D, 2, FALSE), ""))</f>
        <v>geldenhuys@biblesociety.co.za</v>
      </c>
      <c r="K1372" t="str">
        <f>IF(0 = IFERROR(VLOOKUP(DBL_FullList!I1372,ContactsDbl!B:D, 3, FALSE), ""), "", IFERROR(VLOOKUP(DBL_FullList!I1372, ContactsDbl!B:D, 3, FALSE), ""))</f>
        <v>http://www.biblesociety.co.za/</v>
      </c>
      <c r="L1372">
        <f t="shared" si="43"/>
        <v>2</v>
      </c>
    </row>
    <row r="1373" spans="1:12" x14ac:dyDescent="0.25">
      <c r="A1373" t="s">
        <v>7325</v>
      </c>
      <c r="B1373" t="str">
        <f>IF(ISERROR(VLOOKUP(F1373,STEP!A:A, 1, FALSE)), "N", "Y")</f>
        <v>Y</v>
      </c>
      <c r="C1373" t="str">
        <f>IF(ISERROR(VLOOKUP(E1373, BibleInEveryLanguageTexts!A:A, 1, FALSE)), "N", "Y")</f>
        <v>N</v>
      </c>
      <c r="D1373" t="str">
        <f t="shared" si="42"/>
        <v/>
      </c>
      <c r="E1373" t="s">
        <v>7326</v>
      </c>
      <c r="F1373" t="s">
        <v>7327</v>
      </c>
      <c r="G1373" t="s">
        <v>48</v>
      </c>
      <c r="H1373" t="s">
        <v>7328</v>
      </c>
      <c r="I1373" t="s">
        <v>2661</v>
      </c>
      <c r="J1373" t="str">
        <f>IF(0 = IFERROR(VLOOKUP(DBL_FullList!I1373, ContactsDbl!B:D, 2, FALSE), ""), "", IFERROR(VLOOKUP(DBL_FullList!I1373, ContactsDbl!B:D, 2, FALSE), ""))</f>
        <v>dbladmin_intl@sil.org</v>
      </c>
      <c r="K1373" t="str">
        <f>IF(0 = IFERROR(VLOOKUP(DBL_FullList!I1373,ContactsDbl!B:D, 3, FALSE), ""), "", IFERROR(VLOOKUP(DBL_FullList!I1373, ContactsDbl!B:D, 3, FALSE), ""))</f>
        <v>http://www.wycliffe.org</v>
      </c>
      <c r="L1373">
        <f t="shared" si="43"/>
        <v>2</v>
      </c>
    </row>
    <row r="1374" spans="1:12" x14ac:dyDescent="0.25">
      <c r="A1374" t="s">
        <v>7329</v>
      </c>
      <c r="B1374" t="str">
        <f>IF(ISERROR(VLOOKUP(F1374,STEP!A:A, 1, FALSE)), "N", "Y")</f>
        <v>N</v>
      </c>
      <c r="C1374" t="str">
        <f>IF(ISERROR(VLOOKUP(E1374, BibleInEveryLanguageTexts!A:A, 1, FALSE)), "N", "Y")</f>
        <v>N</v>
      </c>
      <c r="D1374" t="str">
        <f t="shared" si="42"/>
        <v>X</v>
      </c>
      <c r="E1374" t="s">
        <v>7330</v>
      </c>
      <c r="F1374" t="s">
        <v>7331</v>
      </c>
      <c r="G1374" t="s">
        <v>2903</v>
      </c>
      <c r="H1374" t="s">
        <v>7332</v>
      </c>
      <c r="I1374" t="s">
        <v>2073</v>
      </c>
      <c r="J1374" t="str">
        <f>IF(0 = IFERROR(VLOOKUP(DBL_FullList!I1374, ContactsDbl!B:D, 2, FALSE), ""), "", IFERROR(VLOOKUP(DBL_FullList!I1374, ContactsDbl!B:D, 2, FALSE), ""))</f>
        <v>ajiboye@biblesociety-nigeria.org</v>
      </c>
      <c r="K1374" t="str">
        <f>IF(0 = IFERROR(VLOOKUP(DBL_FullList!I1374,ContactsDbl!B:D, 3, FALSE), ""), "", IFERROR(VLOOKUP(DBL_FullList!I1374, ContactsDbl!B:D, 3, FALSE), ""))</f>
        <v>http://www.biblesociety-nigeria.org/</v>
      </c>
      <c r="L1374">
        <f t="shared" si="43"/>
        <v>2</v>
      </c>
    </row>
    <row r="1375" spans="1:12" x14ac:dyDescent="0.25">
      <c r="A1375" t="s">
        <v>7333</v>
      </c>
      <c r="B1375" t="str">
        <f>IF(ISERROR(VLOOKUP(F1375,STEP!A:A, 1, FALSE)), "N", "Y")</f>
        <v>Y</v>
      </c>
      <c r="C1375" t="str">
        <f>IF(ISERROR(VLOOKUP(E1375, BibleInEveryLanguageTexts!A:A, 1, FALSE)), "N", "Y")</f>
        <v>N</v>
      </c>
      <c r="D1375" t="str">
        <f t="shared" si="42"/>
        <v/>
      </c>
      <c r="E1375" t="s">
        <v>7334</v>
      </c>
      <c r="F1375" t="s">
        <v>7335</v>
      </c>
      <c r="G1375" t="s">
        <v>48</v>
      </c>
      <c r="H1375" t="s">
        <v>7336</v>
      </c>
      <c r="I1375" t="s">
        <v>2661</v>
      </c>
      <c r="J1375" t="str">
        <f>IF(0 = IFERROR(VLOOKUP(DBL_FullList!I1375, ContactsDbl!B:D, 2, FALSE), ""), "", IFERROR(VLOOKUP(DBL_FullList!I1375, ContactsDbl!B:D, 2, FALSE), ""))</f>
        <v>dbladmin_intl@sil.org</v>
      </c>
      <c r="K1375" t="str">
        <f>IF(0 = IFERROR(VLOOKUP(DBL_FullList!I1375,ContactsDbl!B:D, 3, FALSE), ""), "", IFERROR(VLOOKUP(DBL_FullList!I1375, ContactsDbl!B:D, 3, FALSE), ""))</f>
        <v>http://www.wycliffe.org</v>
      </c>
      <c r="L1375">
        <f t="shared" si="43"/>
        <v>2</v>
      </c>
    </row>
    <row r="1376" spans="1:12" x14ac:dyDescent="0.25">
      <c r="A1376" t="s">
        <v>7337</v>
      </c>
      <c r="B1376" t="str">
        <f>IF(ISERROR(VLOOKUP(F1376,STEP!A:A, 1, FALSE)), "N", "Y")</f>
        <v>N</v>
      </c>
      <c r="C1376" t="str">
        <f>IF(ISERROR(VLOOKUP(E1376, BibleInEveryLanguageTexts!A:A, 1, FALSE)), "N", "Y")</f>
        <v>N</v>
      </c>
      <c r="D1376" t="str">
        <f t="shared" si="42"/>
        <v>X</v>
      </c>
      <c r="E1376" t="s">
        <v>7338</v>
      </c>
      <c r="F1376" t="s">
        <v>7339</v>
      </c>
      <c r="G1376" t="s">
        <v>3133</v>
      </c>
      <c r="H1376" t="s">
        <v>7340</v>
      </c>
      <c r="I1376" t="s">
        <v>2661</v>
      </c>
      <c r="J1376" t="str">
        <f>IF(0 = IFERROR(VLOOKUP(DBL_FullList!I1376, ContactsDbl!B:D, 2, FALSE), ""), "", IFERROR(VLOOKUP(DBL_FullList!I1376, ContactsDbl!B:D, 2, FALSE), ""))</f>
        <v>dbladmin_intl@sil.org</v>
      </c>
      <c r="K1376" t="str">
        <f>IF(0 = IFERROR(VLOOKUP(DBL_FullList!I1376,ContactsDbl!B:D, 3, FALSE), ""), "", IFERROR(VLOOKUP(DBL_FullList!I1376, ContactsDbl!B:D, 3, FALSE), ""))</f>
        <v>http://www.wycliffe.org</v>
      </c>
      <c r="L1376">
        <f t="shared" si="43"/>
        <v>2</v>
      </c>
    </row>
    <row r="1377" spans="1:12" x14ac:dyDescent="0.25">
      <c r="A1377" t="s">
        <v>7341</v>
      </c>
      <c r="B1377" t="str">
        <f>IF(ISERROR(VLOOKUP(F1377,STEP!A:A, 1, FALSE)), "N", "Y")</f>
        <v>N</v>
      </c>
      <c r="C1377" t="str">
        <f>IF(ISERROR(VLOOKUP(E1377, BibleInEveryLanguageTexts!A:A, 1, FALSE)), "N", "Y")</f>
        <v>N</v>
      </c>
      <c r="D1377" t="str">
        <f t="shared" si="42"/>
        <v>X</v>
      </c>
      <c r="E1377" t="s">
        <v>7342</v>
      </c>
      <c r="F1377" t="s">
        <v>7343</v>
      </c>
      <c r="G1377" t="s">
        <v>3133</v>
      </c>
      <c r="H1377" t="s">
        <v>7344</v>
      </c>
      <c r="I1377" t="s">
        <v>2661</v>
      </c>
      <c r="J1377" t="str">
        <f>IF(0 = IFERROR(VLOOKUP(DBL_FullList!I1377, ContactsDbl!B:D, 2, FALSE), ""), "", IFERROR(VLOOKUP(DBL_FullList!I1377, ContactsDbl!B:D, 2, FALSE), ""))</f>
        <v>dbladmin_intl@sil.org</v>
      </c>
      <c r="K1377" t="str">
        <f>IF(0 = IFERROR(VLOOKUP(DBL_FullList!I1377,ContactsDbl!B:D, 3, FALSE), ""), "", IFERROR(VLOOKUP(DBL_FullList!I1377, ContactsDbl!B:D, 3, FALSE), ""))</f>
        <v>http://www.wycliffe.org</v>
      </c>
      <c r="L1377">
        <f t="shared" si="43"/>
        <v>2</v>
      </c>
    </row>
    <row r="1378" spans="1:12" x14ac:dyDescent="0.25">
      <c r="A1378" t="s">
        <v>7345</v>
      </c>
      <c r="B1378" t="str">
        <f>IF(ISERROR(VLOOKUP(F1378,STEP!A:A, 1, FALSE)), "N", "Y")</f>
        <v>N</v>
      </c>
      <c r="C1378" t="str">
        <f>IF(ISERROR(VLOOKUP(E1378, BibleInEveryLanguageTexts!A:A, 1, FALSE)), "N", "Y")</f>
        <v>N</v>
      </c>
      <c r="D1378" t="str">
        <f t="shared" si="42"/>
        <v>X</v>
      </c>
      <c r="E1378" t="s">
        <v>7346</v>
      </c>
      <c r="F1378" t="s">
        <v>7347</v>
      </c>
      <c r="G1378" t="s">
        <v>3065</v>
      </c>
      <c r="H1378" t="s">
        <v>7348</v>
      </c>
      <c r="I1378" t="s">
        <v>2618</v>
      </c>
      <c r="J1378" t="str">
        <f>IF(0 = IFERROR(VLOOKUP(DBL_FullList!I1378, ContactsDbl!B:D, 2, FALSE), ""), "", IFERROR(VLOOKUP(DBL_FullList!I1378, ContactsDbl!B:D, 2, FALSE), ""))</f>
        <v/>
      </c>
      <c r="K1378" t="str">
        <f>IF(0 = IFERROR(VLOOKUP(DBL_FullList!I1378,ContactsDbl!B:D, 3, FALSE), ""), "", IFERROR(VLOOKUP(DBL_FullList!I1378, ContactsDbl!B:D, 3, FALSE), ""))</f>
        <v/>
      </c>
      <c r="L1378">
        <f t="shared" si="43"/>
        <v>0</v>
      </c>
    </row>
    <row r="1379" spans="1:12" x14ac:dyDescent="0.25">
      <c r="A1379" t="s">
        <v>7349</v>
      </c>
      <c r="B1379" t="str">
        <f>IF(ISERROR(VLOOKUP(F1379,STEP!A:A, 1, FALSE)), "N", "Y")</f>
        <v>N</v>
      </c>
      <c r="C1379" t="str">
        <f>IF(ISERROR(VLOOKUP(E1379, BibleInEveryLanguageTexts!A:A, 1, FALSE)), "N", "Y")</f>
        <v>N</v>
      </c>
      <c r="D1379" t="str">
        <f t="shared" si="42"/>
        <v>X</v>
      </c>
      <c r="E1379" t="s">
        <v>7350</v>
      </c>
      <c r="F1379" t="s">
        <v>5050</v>
      </c>
      <c r="G1379" t="s">
        <v>3133</v>
      </c>
      <c r="H1379" t="s">
        <v>7351</v>
      </c>
      <c r="I1379" t="s">
        <v>2661</v>
      </c>
      <c r="J1379" t="str">
        <f>IF(0 = IFERROR(VLOOKUP(DBL_FullList!I1379, ContactsDbl!B:D, 2, FALSE), ""), "", IFERROR(VLOOKUP(DBL_FullList!I1379, ContactsDbl!B:D, 2, FALSE), ""))</f>
        <v>dbladmin_intl@sil.org</v>
      </c>
      <c r="K1379" t="str">
        <f>IF(0 = IFERROR(VLOOKUP(DBL_FullList!I1379,ContactsDbl!B:D, 3, FALSE), ""), "", IFERROR(VLOOKUP(DBL_FullList!I1379, ContactsDbl!B:D, 3, FALSE), ""))</f>
        <v>http://www.wycliffe.org</v>
      </c>
      <c r="L1379">
        <f t="shared" si="43"/>
        <v>2</v>
      </c>
    </row>
    <row r="1380" spans="1:12" x14ac:dyDescent="0.25">
      <c r="A1380" t="s">
        <v>7352</v>
      </c>
      <c r="B1380" t="str">
        <f>IF(ISERROR(VLOOKUP(F1380,STEP!A:A, 1, FALSE)), "N", "Y")</f>
        <v>Y</v>
      </c>
      <c r="C1380" t="str">
        <f>IF(ISERROR(VLOOKUP(E1380, BibleInEveryLanguageTexts!A:A, 1, FALSE)), "N", "Y")</f>
        <v>N</v>
      </c>
      <c r="D1380" t="str">
        <f t="shared" si="42"/>
        <v/>
      </c>
      <c r="E1380" t="s">
        <v>7353</v>
      </c>
      <c r="F1380" t="s">
        <v>7354</v>
      </c>
      <c r="G1380" t="s">
        <v>48</v>
      </c>
      <c r="H1380" t="s">
        <v>7355</v>
      </c>
      <c r="I1380" t="s">
        <v>2661</v>
      </c>
      <c r="J1380" t="str">
        <f>IF(0 = IFERROR(VLOOKUP(DBL_FullList!I1380, ContactsDbl!B:D, 2, FALSE), ""), "", IFERROR(VLOOKUP(DBL_FullList!I1380, ContactsDbl!B:D, 2, FALSE), ""))</f>
        <v>dbladmin_intl@sil.org</v>
      </c>
      <c r="K1380" t="str">
        <f>IF(0 = IFERROR(VLOOKUP(DBL_FullList!I1380,ContactsDbl!B:D, 3, FALSE), ""), "", IFERROR(VLOOKUP(DBL_FullList!I1380, ContactsDbl!B:D, 3, FALSE), ""))</f>
        <v>http://www.wycliffe.org</v>
      </c>
      <c r="L1380">
        <f t="shared" si="43"/>
        <v>2</v>
      </c>
    </row>
    <row r="1381" spans="1:12" x14ac:dyDescent="0.25">
      <c r="A1381" t="s">
        <v>7356</v>
      </c>
      <c r="B1381" t="str">
        <f>IF(ISERROR(VLOOKUP(F1381,STEP!A:A, 1, FALSE)), "N", "Y")</f>
        <v>N</v>
      </c>
      <c r="C1381" t="str">
        <f>IF(ISERROR(VLOOKUP(E1381, BibleInEveryLanguageTexts!A:A, 1, FALSE)), "N", "Y")</f>
        <v>N</v>
      </c>
      <c r="D1381" t="str">
        <f t="shared" si="42"/>
        <v>X</v>
      </c>
      <c r="E1381" t="s">
        <v>7357</v>
      </c>
      <c r="F1381" t="s">
        <v>7358</v>
      </c>
      <c r="G1381" t="s">
        <v>3133</v>
      </c>
      <c r="H1381" t="s">
        <v>7359</v>
      </c>
      <c r="I1381" t="s">
        <v>2661</v>
      </c>
      <c r="J1381" t="str">
        <f>IF(0 = IFERROR(VLOOKUP(DBL_FullList!I1381, ContactsDbl!B:D, 2, FALSE), ""), "", IFERROR(VLOOKUP(DBL_FullList!I1381, ContactsDbl!B:D, 2, FALSE), ""))</f>
        <v>dbladmin_intl@sil.org</v>
      </c>
      <c r="K1381" t="str">
        <f>IF(0 = IFERROR(VLOOKUP(DBL_FullList!I1381,ContactsDbl!B:D, 3, FALSE), ""), "", IFERROR(VLOOKUP(DBL_FullList!I1381, ContactsDbl!B:D, 3, FALSE), ""))</f>
        <v>http://www.wycliffe.org</v>
      </c>
      <c r="L1381">
        <f t="shared" si="43"/>
        <v>2</v>
      </c>
    </row>
    <row r="1382" spans="1:12" x14ac:dyDescent="0.25">
      <c r="A1382" t="s">
        <v>7360</v>
      </c>
      <c r="B1382" t="str">
        <f>IF(ISERROR(VLOOKUP(F1382,STEP!A:A, 1, FALSE)), "N", "Y")</f>
        <v>N</v>
      </c>
      <c r="C1382" t="str">
        <f>IF(ISERROR(VLOOKUP(E1382, BibleInEveryLanguageTexts!A:A, 1, FALSE)), "N", "Y")</f>
        <v>Y</v>
      </c>
      <c r="D1382" t="str">
        <f t="shared" si="42"/>
        <v/>
      </c>
      <c r="E1382" t="s">
        <v>2685</v>
      </c>
      <c r="F1382" t="s">
        <v>4881</v>
      </c>
      <c r="G1382" t="s">
        <v>4882</v>
      </c>
      <c r="H1382" t="s">
        <v>7361</v>
      </c>
      <c r="I1382" t="s">
        <v>2292</v>
      </c>
      <c r="J1382" t="str">
        <f>IF(0 = IFERROR(VLOOKUP(DBL_FullList!I1382, ContactsDbl!B:D, 2, FALSE), ""), "", IFERROR(VLOOKUP(DBL_FullList!I1382, ContactsDbl!B:D, 2, FALSE), ""))</f>
        <v>info@bibliatarsulat.hu</v>
      </c>
      <c r="K1382" t="str">
        <f>IF(0 = IFERROR(VLOOKUP(DBL_FullList!I1382,ContactsDbl!B:D, 3, FALSE), ""), "", IFERROR(VLOOKUP(DBL_FullList!I1382, ContactsDbl!B:D, 3, FALSE), ""))</f>
        <v>http://www.bibliatarsulat.hu/</v>
      </c>
      <c r="L1382">
        <f t="shared" si="43"/>
        <v>2</v>
      </c>
    </row>
    <row r="1383" spans="1:12" x14ac:dyDescent="0.25">
      <c r="A1383" t="s">
        <v>7362</v>
      </c>
      <c r="B1383" t="str">
        <f>IF(ISERROR(VLOOKUP(F1383,STEP!A:A, 1, FALSE)), "N", "Y")</f>
        <v>N</v>
      </c>
      <c r="C1383" t="str">
        <f>IF(ISERROR(VLOOKUP(E1383, BibleInEveryLanguageTexts!A:A, 1, FALSE)), "N", "Y")</f>
        <v>N</v>
      </c>
      <c r="D1383" t="str">
        <f t="shared" si="42"/>
        <v>X</v>
      </c>
      <c r="E1383" t="s">
        <v>427</v>
      </c>
      <c r="F1383" t="s">
        <v>426</v>
      </c>
      <c r="G1383" t="s">
        <v>4919</v>
      </c>
      <c r="H1383" t="s">
        <v>7363</v>
      </c>
      <c r="I1383" t="s">
        <v>2661</v>
      </c>
      <c r="J1383" t="str">
        <f>IF(0 = IFERROR(VLOOKUP(DBL_FullList!I1383, ContactsDbl!B:D, 2, FALSE), ""), "", IFERROR(VLOOKUP(DBL_FullList!I1383, ContactsDbl!B:D, 2, FALSE), ""))</f>
        <v>dbladmin_intl@sil.org</v>
      </c>
      <c r="K1383" t="str">
        <f>IF(0 = IFERROR(VLOOKUP(DBL_FullList!I1383,ContactsDbl!B:D, 3, FALSE), ""), "", IFERROR(VLOOKUP(DBL_FullList!I1383, ContactsDbl!B:D, 3, FALSE), ""))</f>
        <v>http://www.wycliffe.org</v>
      </c>
      <c r="L1383">
        <f t="shared" si="43"/>
        <v>2</v>
      </c>
    </row>
    <row r="1384" spans="1:12" x14ac:dyDescent="0.25">
      <c r="A1384" t="s">
        <v>7364</v>
      </c>
      <c r="B1384" t="str">
        <f>IF(ISERROR(VLOOKUP(F1384,STEP!A:A, 1, FALSE)), "N", "Y")</f>
        <v>N</v>
      </c>
      <c r="C1384" t="str">
        <f>IF(ISERROR(VLOOKUP(E1384, BibleInEveryLanguageTexts!A:A, 1, FALSE)), "N", "Y")</f>
        <v>N</v>
      </c>
      <c r="D1384" t="str">
        <f t="shared" si="42"/>
        <v>X</v>
      </c>
      <c r="E1384" t="s">
        <v>7365</v>
      </c>
      <c r="F1384" t="s">
        <v>7366</v>
      </c>
      <c r="G1384" t="s">
        <v>2733</v>
      </c>
      <c r="H1384" t="s">
        <v>7367</v>
      </c>
      <c r="I1384" t="s">
        <v>2661</v>
      </c>
      <c r="J1384" t="str">
        <f>IF(0 = IFERROR(VLOOKUP(DBL_FullList!I1384, ContactsDbl!B:D, 2, FALSE), ""), "", IFERROR(VLOOKUP(DBL_FullList!I1384, ContactsDbl!B:D, 2, FALSE), ""))</f>
        <v>dbladmin_intl@sil.org</v>
      </c>
      <c r="K1384" t="str">
        <f>IF(0 = IFERROR(VLOOKUP(DBL_FullList!I1384,ContactsDbl!B:D, 3, FALSE), ""), "", IFERROR(VLOOKUP(DBL_FullList!I1384, ContactsDbl!B:D, 3, FALSE), ""))</f>
        <v>http://www.wycliffe.org</v>
      </c>
      <c r="L1384">
        <f t="shared" si="43"/>
        <v>2</v>
      </c>
    </row>
    <row r="1385" spans="1:12" x14ac:dyDescent="0.25">
      <c r="A1385" t="s">
        <v>7368</v>
      </c>
      <c r="B1385" t="str">
        <f>IF(ISERROR(VLOOKUP(F1385,STEP!A:A, 1, FALSE)), "N", "Y")</f>
        <v>N</v>
      </c>
      <c r="C1385" t="str">
        <f>IF(ISERROR(VLOOKUP(E1385, BibleInEveryLanguageTexts!A:A, 1, FALSE)), "N", "Y")</f>
        <v>N</v>
      </c>
      <c r="D1385" t="str">
        <f t="shared" si="42"/>
        <v>X</v>
      </c>
      <c r="E1385" t="s">
        <v>7369</v>
      </c>
      <c r="F1385" t="s">
        <v>7370</v>
      </c>
      <c r="G1385" t="s">
        <v>2880</v>
      </c>
      <c r="H1385" t="s">
        <v>7371</v>
      </c>
      <c r="I1385" t="s">
        <v>2540</v>
      </c>
      <c r="J1385" t="str">
        <f>IF(0 = IFERROR(VLOOKUP(DBL_FullList!I1385, ContactsDbl!B:D, 2, FALSE), ""), "", IFERROR(VLOOKUP(DBL_FullList!I1385, ContactsDbl!B:D, 2, FALSE), ""))</f>
        <v>dblAdmin@sbcol.org</v>
      </c>
      <c r="K1385" t="str">
        <f>IF(0 = IFERROR(VLOOKUP(DBL_FullList!I1385,ContactsDbl!B:D, 3, FALSE), ""), "", IFERROR(VLOOKUP(DBL_FullList!I1385, ContactsDbl!B:D, 3, FALSE), ""))</f>
        <v>http://www.sociedadbiblicacolombiana.com</v>
      </c>
      <c r="L1385">
        <f t="shared" si="43"/>
        <v>2</v>
      </c>
    </row>
    <row r="1386" spans="1:12" x14ac:dyDescent="0.25">
      <c r="A1386" t="s">
        <v>7372</v>
      </c>
      <c r="B1386" t="str">
        <f>IF(ISERROR(VLOOKUP(F1386,STEP!A:A, 1, FALSE)), "N", "Y")</f>
        <v>N</v>
      </c>
      <c r="C1386" t="str">
        <f>IF(ISERROR(VLOOKUP(E1386, BibleInEveryLanguageTexts!A:A, 1, FALSE)), "N", "Y")</f>
        <v>N</v>
      </c>
      <c r="D1386" t="str">
        <f t="shared" si="42"/>
        <v>X</v>
      </c>
      <c r="E1386" t="s">
        <v>7373</v>
      </c>
      <c r="F1386" t="s">
        <v>7374</v>
      </c>
      <c r="G1386" t="s">
        <v>2908</v>
      </c>
      <c r="H1386" t="s">
        <v>7375</v>
      </c>
      <c r="I1386" t="s">
        <v>2182</v>
      </c>
      <c r="J1386" t="str">
        <f>IF(0 = IFERROR(VLOOKUP(DBL_FullList!I1386, ContactsDbl!B:D, 2, FALSE), ""), "", IFERROR(VLOOKUP(DBL_FullList!I1386, ContactsDbl!B:D, 2, FALSE), ""))</f>
        <v/>
      </c>
      <c r="K1386" t="str">
        <f>IF(0 = IFERROR(VLOOKUP(DBL_FullList!I1386,ContactsDbl!B:D, 3, FALSE), ""), "", IFERROR(VLOOKUP(DBL_FullList!I1386, ContactsDbl!B:D, 3, FALSE), ""))</f>
        <v>http://www.biblesociety-cd.org/</v>
      </c>
      <c r="L1386">
        <f t="shared" si="43"/>
        <v>1</v>
      </c>
    </row>
    <row r="1387" spans="1:12" x14ac:dyDescent="0.25">
      <c r="A1387" t="s">
        <v>7376</v>
      </c>
      <c r="B1387" t="str">
        <f>IF(ISERROR(VLOOKUP(F1387,STEP!A:A, 1, FALSE)), "N", "Y")</f>
        <v>N</v>
      </c>
      <c r="C1387" t="str">
        <f>IF(ISERROR(VLOOKUP(E1387, BibleInEveryLanguageTexts!A:A, 1, FALSE)), "N", "Y")</f>
        <v>N</v>
      </c>
      <c r="D1387" t="str">
        <f t="shared" si="42"/>
        <v>X</v>
      </c>
      <c r="E1387" t="s">
        <v>7377</v>
      </c>
      <c r="F1387" t="s">
        <v>7378</v>
      </c>
      <c r="G1387" t="s">
        <v>2880</v>
      </c>
      <c r="H1387" t="s">
        <v>7379</v>
      </c>
      <c r="I1387" t="s">
        <v>2661</v>
      </c>
      <c r="J1387" t="str">
        <f>IF(0 = IFERROR(VLOOKUP(DBL_FullList!I1387, ContactsDbl!B:D, 2, FALSE), ""), "", IFERROR(VLOOKUP(DBL_FullList!I1387, ContactsDbl!B:D, 2, FALSE), ""))</f>
        <v>dbladmin_intl@sil.org</v>
      </c>
      <c r="K1387" t="str">
        <f>IF(0 = IFERROR(VLOOKUP(DBL_FullList!I1387,ContactsDbl!B:D, 3, FALSE), ""), "", IFERROR(VLOOKUP(DBL_FullList!I1387, ContactsDbl!B:D, 3, FALSE), ""))</f>
        <v>http://www.wycliffe.org</v>
      </c>
      <c r="L1387">
        <f t="shared" si="43"/>
        <v>2</v>
      </c>
    </row>
    <row r="1388" spans="1:12" x14ac:dyDescent="0.25">
      <c r="A1388" t="s">
        <v>7380</v>
      </c>
      <c r="B1388" t="str">
        <f>IF(ISERROR(VLOOKUP(F1388,STEP!A:A, 1, FALSE)), "N", "Y")</f>
        <v>Y</v>
      </c>
      <c r="C1388" t="str">
        <f>IF(ISERROR(VLOOKUP(E1388, BibleInEveryLanguageTexts!A:A, 1, FALSE)), "N", "Y")</f>
        <v>N</v>
      </c>
      <c r="D1388" t="str">
        <f t="shared" si="42"/>
        <v/>
      </c>
      <c r="E1388" t="s">
        <v>7381</v>
      </c>
      <c r="F1388" t="s">
        <v>7382</v>
      </c>
      <c r="G1388" t="s">
        <v>48</v>
      </c>
      <c r="H1388" t="s">
        <v>7383</v>
      </c>
      <c r="I1388" t="s">
        <v>2661</v>
      </c>
      <c r="J1388" t="str">
        <f>IF(0 = IFERROR(VLOOKUP(DBL_FullList!I1388, ContactsDbl!B:D, 2, FALSE), ""), "", IFERROR(VLOOKUP(DBL_FullList!I1388, ContactsDbl!B:D, 2, FALSE), ""))</f>
        <v>dbladmin_intl@sil.org</v>
      </c>
      <c r="K1388" t="str">
        <f>IF(0 = IFERROR(VLOOKUP(DBL_FullList!I1388,ContactsDbl!B:D, 3, FALSE), ""), "", IFERROR(VLOOKUP(DBL_FullList!I1388, ContactsDbl!B:D, 3, FALSE), ""))</f>
        <v>http://www.wycliffe.org</v>
      </c>
      <c r="L1388">
        <f t="shared" si="43"/>
        <v>2</v>
      </c>
    </row>
    <row r="1389" spans="1:12" x14ac:dyDescent="0.25">
      <c r="A1389" t="s">
        <v>7384</v>
      </c>
      <c r="B1389" t="str">
        <f>IF(ISERROR(VLOOKUP(F1389,STEP!A:A, 1, FALSE)), "N", "Y")</f>
        <v>N</v>
      </c>
      <c r="C1389" t="str">
        <f>IF(ISERROR(VLOOKUP(E1389, BibleInEveryLanguageTexts!A:A, 1, FALSE)), "N", "Y")</f>
        <v>N</v>
      </c>
      <c r="D1389" t="str">
        <f t="shared" si="42"/>
        <v>X</v>
      </c>
      <c r="E1389" t="s">
        <v>7385</v>
      </c>
      <c r="F1389" t="s">
        <v>7386</v>
      </c>
      <c r="G1389" t="s">
        <v>48</v>
      </c>
      <c r="H1389" t="s">
        <v>7387</v>
      </c>
      <c r="I1389" t="s">
        <v>2661</v>
      </c>
      <c r="J1389" t="str">
        <f>IF(0 = IFERROR(VLOOKUP(DBL_FullList!I1389, ContactsDbl!B:D, 2, FALSE), ""), "", IFERROR(VLOOKUP(DBL_FullList!I1389, ContactsDbl!B:D, 2, FALSE), ""))</f>
        <v>dbladmin_intl@sil.org</v>
      </c>
      <c r="K1389" t="str">
        <f>IF(0 = IFERROR(VLOOKUP(DBL_FullList!I1389,ContactsDbl!B:D, 3, FALSE), ""), "", IFERROR(VLOOKUP(DBL_FullList!I1389, ContactsDbl!B:D, 3, FALSE), ""))</f>
        <v>http://www.wycliffe.org</v>
      </c>
      <c r="L1389">
        <f t="shared" si="43"/>
        <v>2</v>
      </c>
    </row>
    <row r="1390" spans="1:12" x14ac:dyDescent="0.25">
      <c r="A1390" t="s">
        <v>7388</v>
      </c>
      <c r="B1390" t="str">
        <f>IF(ISERROR(VLOOKUP(F1390,STEP!A:A, 1, FALSE)), "N", "Y")</f>
        <v>N</v>
      </c>
      <c r="C1390" t="str">
        <f>IF(ISERROR(VLOOKUP(E1390, BibleInEveryLanguageTexts!A:A, 1, FALSE)), "N", "Y")</f>
        <v>N</v>
      </c>
      <c r="D1390" t="str">
        <f t="shared" si="42"/>
        <v>X</v>
      </c>
      <c r="E1390" t="s">
        <v>7389</v>
      </c>
      <c r="F1390" t="s">
        <v>7180</v>
      </c>
      <c r="G1390" t="s">
        <v>7390</v>
      </c>
      <c r="H1390" t="s">
        <v>7391</v>
      </c>
      <c r="I1390" t="s">
        <v>2480</v>
      </c>
      <c r="J1390" t="str">
        <f>IF(0 = IFERROR(VLOOKUP(DBL_FullList!I1390, ContactsDbl!B:D, 2, FALSE), ""), "", IFERROR(VLOOKUP(DBL_FullList!I1390, ContactsDbl!B:D, 2, FALSE), ""))</f>
        <v/>
      </c>
      <c r="K1390" t="str">
        <f>IF(0 = IFERROR(VLOOKUP(DBL_FullList!I1390,ContactsDbl!B:D, 3, FALSE), ""), "", IFERROR(VLOOKUP(DBL_FullList!I1390, ContactsDbl!B:D, 3, FALSE), ""))</f>
        <v>http://www.biblesocietynet.org/</v>
      </c>
      <c r="L1390">
        <f t="shared" si="43"/>
        <v>1</v>
      </c>
    </row>
    <row r="1391" spans="1:12" x14ac:dyDescent="0.25">
      <c r="A1391" t="s">
        <v>7392</v>
      </c>
      <c r="B1391" t="str">
        <f>IF(ISERROR(VLOOKUP(F1391,STEP!A:A, 1, FALSE)), "N", "Y")</f>
        <v>Y</v>
      </c>
      <c r="C1391" t="str">
        <f>IF(ISERROR(VLOOKUP(E1391, BibleInEveryLanguageTexts!A:A, 1, FALSE)), "N", "Y")</f>
        <v>N</v>
      </c>
      <c r="D1391" t="str">
        <f t="shared" si="42"/>
        <v/>
      </c>
      <c r="E1391" t="s">
        <v>486</v>
      </c>
      <c r="F1391" t="s">
        <v>484</v>
      </c>
      <c r="G1391" t="s">
        <v>485</v>
      </c>
      <c r="H1391" t="s">
        <v>7393</v>
      </c>
      <c r="I1391" t="s">
        <v>2661</v>
      </c>
      <c r="J1391" t="str">
        <f>IF(0 = IFERROR(VLOOKUP(DBL_FullList!I1391, ContactsDbl!B:D, 2, FALSE), ""), "", IFERROR(VLOOKUP(DBL_FullList!I1391, ContactsDbl!B:D, 2, FALSE), ""))</f>
        <v>dbladmin_intl@sil.org</v>
      </c>
      <c r="K1391" t="str">
        <f>IF(0 = IFERROR(VLOOKUP(DBL_FullList!I1391,ContactsDbl!B:D, 3, FALSE), ""), "", IFERROR(VLOOKUP(DBL_FullList!I1391, ContactsDbl!B:D, 3, FALSE), ""))</f>
        <v>http://www.wycliffe.org</v>
      </c>
      <c r="L1391">
        <f t="shared" si="43"/>
        <v>2</v>
      </c>
    </row>
    <row r="1392" spans="1:12" x14ac:dyDescent="0.25">
      <c r="A1392" t="s">
        <v>7394</v>
      </c>
      <c r="B1392" t="str">
        <f>IF(ISERROR(VLOOKUP(F1392,STEP!A:A, 1, FALSE)), "N", "Y")</f>
        <v>N</v>
      </c>
      <c r="C1392" t="str">
        <f>IF(ISERROR(VLOOKUP(E1392, BibleInEveryLanguageTexts!A:A, 1, FALSE)), "N", "Y")</f>
        <v>N</v>
      </c>
      <c r="D1392" t="str">
        <f t="shared" si="42"/>
        <v>X</v>
      </c>
      <c r="E1392" t="s">
        <v>6330</v>
      </c>
      <c r="F1392" t="s">
        <v>6331</v>
      </c>
      <c r="G1392" t="s">
        <v>171</v>
      </c>
      <c r="H1392" t="s">
        <v>7395</v>
      </c>
      <c r="I1392" t="s">
        <v>168</v>
      </c>
      <c r="J1392" t="str">
        <f>IF(0 = IFERROR(VLOOKUP(DBL_FullList!I1392, ContactsDbl!B:D, 2, FALSE), ""), "", IFERROR(VLOOKUP(DBL_FullList!I1392, ContactsDbl!B:D, 2, FALSE), ""))</f>
        <v>admin@biblesociety-ethiopia.org</v>
      </c>
      <c r="K1392" t="str">
        <f>IF(0 = IFERROR(VLOOKUP(DBL_FullList!I1392,ContactsDbl!B:D, 3, FALSE), ""), "", IFERROR(VLOOKUP(DBL_FullList!I1392, ContactsDbl!B:D, 3, FALSE), ""))</f>
        <v>http://biblesociety-ethiopia.org</v>
      </c>
      <c r="L1392">
        <f t="shared" si="43"/>
        <v>2</v>
      </c>
    </row>
    <row r="1393" spans="1:12" x14ac:dyDescent="0.25">
      <c r="A1393" t="s">
        <v>7396</v>
      </c>
      <c r="B1393" t="str">
        <f>IF(ISERROR(VLOOKUP(F1393,STEP!A:A, 1, FALSE)), "N", "Y")</f>
        <v>N</v>
      </c>
      <c r="C1393" t="str">
        <f>IF(ISERROR(VLOOKUP(E1393, BibleInEveryLanguageTexts!A:A, 1, FALSE)), "N", "Y")</f>
        <v>N</v>
      </c>
      <c r="D1393" t="str">
        <f t="shared" si="42"/>
        <v>X</v>
      </c>
      <c r="E1393" t="s">
        <v>334</v>
      </c>
      <c r="F1393" t="s">
        <v>332</v>
      </c>
      <c r="G1393" t="s">
        <v>333</v>
      </c>
      <c r="H1393" t="s">
        <v>7397</v>
      </c>
      <c r="I1393" t="s">
        <v>2534</v>
      </c>
      <c r="J1393" t="str">
        <f>IF(0 = IFERROR(VLOOKUP(DBL_FullList!I1393, ContactsDbl!B:D, 2, FALSE), ""), "", IFERROR(VLOOKUP(DBL_FullList!I1393, ContactsDbl!B:D, 2, FALSE), ""))</f>
        <v>elismar@sbb.org.br</v>
      </c>
      <c r="K1393" t="str">
        <f>IF(0 = IFERROR(VLOOKUP(DBL_FullList!I1393,ContactsDbl!B:D, 3, FALSE), ""), "", IFERROR(VLOOKUP(DBL_FullList!I1393, ContactsDbl!B:D, 3, FALSE), ""))</f>
        <v>http://www.sbb.org.br</v>
      </c>
      <c r="L1393">
        <f t="shared" si="43"/>
        <v>2</v>
      </c>
    </row>
    <row r="1394" spans="1:12" x14ac:dyDescent="0.25">
      <c r="A1394" t="s">
        <v>7398</v>
      </c>
      <c r="B1394" t="str">
        <f>IF(ISERROR(VLOOKUP(F1394,STEP!A:A, 1, FALSE)), "N", "Y")</f>
        <v>N</v>
      </c>
      <c r="C1394" t="str">
        <f>IF(ISERROR(VLOOKUP(E1394, BibleInEveryLanguageTexts!A:A, 1, FALSE)), "N", "Y")</f>
        <v>N</v>
      </c>
      <c r="D1394" t="str">
        <f t="shared" si="42"/>
        <v>X</v>
      </c>
      <c r="E1394" t="s">
        <v>7399</v>
      </c>
      <c r="F1394" t="s">
        <v>7400</v>
      </c>
      <c r="G1394" t="s">
        <v>2908</v>
      </c>
      <c r="H1394" t="s">
        <v>7401</v>
      </c>
      <c r="I1394" t="s">
        <v>2661</v>
      </c>
      <c r="J1394" t="str">
        <f>IF(0 = IFERROR(VLOOKUP(DBL_FullList!I1394, ContactsDbl!B:D, 2, FALSE), ""), "", IFERROR(VLOOKUP(DBL_FullList!I1394, ContactsDbl!B:D, 2, FALSE), ""))</f>
        <v>dbladmin_intl@sil.org</v>
      </c>
      <c r="K1394" t="str">
        <f>IF(0 = IFERROR(VLOOKUP(DBL_FullList!I1394,ContactsDbl!B:D, 3, FALSE), ""), "", IFERROR(VLOOKUP(DBL_FullList!I1394, ContactsDbl!B:D, 3, FALSE), ""))</f>
        <v>http://www.wycliffe.org</v>
      </c>
      <c r="L1394">
        <f t="shared" si="43"/>
        <v>2</v>
      </c>
    </row>
    <row r="1395" spans="1:12" x14ac:dyDescent="0.25">
      <c r="A1395" t="s">
        <v>7402</v>
      </c>
      <c r="B1395" t="str">
        <f>IF(ISERROR(VLOOKUP(F1395,STEP!A:A, 1, FALSE)), "N", "Y")</f>
        <v>Y</v>
      </c>
      <c r="C1395" t="str">
        <f>IF(ISERROR(VLOOKUP(E1395, BibleInEveryLanguageTexts!A:A, 1, FALSE)), "N", "Y")</f>
        <v>N</v>
      </c>
      <c r="D1395" t="str">
        <f t="shared" si="42"/>
        <v/>
      </c>
      <c r="E1395" t="s">
        <v>7403</v>
      </c>
      <c r="F1395" t="s">
        <v>7404</v>
      </c>
      <c r="G1395" t="s">
        <v>48</v>
      </c>
      <c r="H1395" t="s">
        <v>7405</v>
      </c>
      <c r="I1395" t="s">
        <v>2661</v>
      </c>
      <c r="J1395" t="str">
        <f>IF(0 = IFERROR(VLOOKUP(DBL_FullList!I1395, ContactsDbl!B:D, 2, FALSE), ""), "", IFERROR(VLOOKUP(DBL_FullList!I1395, ContactsDbl!B:D, 2, FALSE), ""))</f>
        <v>dbladmin_intl@sil.org</v>
      </c>
      <c r="K1395" t="str">
        <f>IF(0 = IFERROR(VLOOKUP(DBL_FullList!I1395,ContactsDbl!B:D, 3, FALSE), ""), "", IFERROR(VLOOKUP(DBL_FullList!I1395, ContactsDbl!B:D, 3, FALSE), ""))</f>
        <v>http://www.wycliffe.org</v>
      </c>
      <c r="L1395">
        <f t="shared" si="43"/>
        <v>2</v>
      </c>
    </row>
    <row r="1396" spans="1:12" x14ac:dyDescent="0.25">
      <c r="A1396" t="s">
        <v>7406</v>
      </c>
      <c r="B1396" t="str">
        <f>IF(ISERROR(VLOOKUP(F1396,STEP!A:A, 1, FALSE)), "N", "Y")</f>
        <v>Y</v>
      </c>
      <c r="C1396" t="str">
        <f>IF(ISERROR(VLOOKUP(E1396, BibleInEveryLanguageTexts!A:A, 1, FALSE)), "N", "Y")</f>
        <v>N</v>
      </c>
      <c r="D1396" t="str">
        <f t="shared" si="42"/>
        <v/>
      </c>
      <c r="E1396" t="s">
        <v>7407</v>
      </c>
      <c r="F1396" t="s">
        <v>7408</v>
      </c>
      <c r="G1396" t="s">
        <v>48</v>
      </c>
      <c r="H1396" t="s">
        <v>7409</v>
      </c>
      <c r="I1396" t="s">
        <v>2661</v>
      </c>
      <c r="J1396" t="str">
        <f>IF(0 = IFERROR(VLOOKUP(DBL_FullList!I1396, ContactsDbl!B:D, 2, FALSE), ""), "", IFERROR(VLOOKUP(DBL_FullList!I1396, ContactsDbl!B:D, 2, FALSE), ""))</f>
        <v>dbladmin_intl@sil.org</v>
      </c>
      <c r="K1396" t="str">
        <f>IF(0 = IFERROR(VLOOKUP(DBL_FullList!I1396,ContactsDbl!B:D, 3, FALSE), ""), "", IFERROR(VLOOKUP(DBL_FullList!I1396, ContactsDbl!B:D, 3, FALSE), ""))</f>
        <v>http://www.wycliffe.org</v>
      </c>
      <c r="L1396">
        <f t="shared" si="43"/>
        <v>2</v>
      </c>
    </row>
    <row r="1397" spans="1:12" x14ac:dyDescent="0.25">
      <c r="A1397" t="s">
        <v>7410</v>
      </c>
      <c r="B1397" t="str">
        <f>IF(ISERROR(VLOOKUP(F1397,STEP!A:A, 1, FALSE)), "N", "Y")</f>
        <v>N</v>
      </c>
      <c r="C1397" t="str">
        <f>IF(ISERROR(VLOOKUP(E1397, BibleInEveryLanguageTexts!A:A, 1, FALSE)), "N", "Y")</f>
        <v>N</v>
      </c>
      <c r="D1397" t="str">
        <f t="shared" si="42"/>
        <v>X</v>
      </c>
      <c r="E1397" t="s">
        <v>7411</v>
      </c>
      <c r="F1397" t="s">
        <v>5561</v>
      </c>
      <c r="G1397" t="s">
        <v>4830</v>
      </c>
      <c r="H1397" t="s">
        <v>7412</v>
      </c>
      <c r="I1397" t="s">
        <v>183</v>
      </c>
      <c r="J1397" t="str">
        <f>IF(0 = IFERROR(VLOOKUP(DBL_FullList!I1397, ContactsDbl!B:D, 2, FALSE), ""), "", IFERROR(VLOOKUP(DBL_FullList!I1397, ContactsDbl!B:D, 2, FALSE), ""))</f>
        <v>dbl@biblesocieties.org</v>
      </c>
      <c r="K1397" t="str">
        <f>IF(0 = IFERROR(VLOOKUP(DBL_FullList!I1397,ContactsDbl!B:D, 3, FALSE), ""), "", IFERROR(VLOOKUP(DBL_FullList!I1397, ContactsDbl!B:D, 3, FALSE), ""))</f>
        <v>http://www.unitedbiblesocieties.org/</v>
      </c>
      <c r="L1397">
        <f t="shared" si="43"/>
        <v>2</v>
      </c>
    </row>
    <row r="1398" spans="1:12" x14ac:dyDescent="0.25">
      <c r="A1398" t="s">
        <v>7413</v>
      </c>
      <c r="B1398" t="str">
        <f>IF(ISERROR(VLOOKUP(F1398,STEP!A:A, 1, FALSE)), "N", "Y")</f>
        <v>N</v>
      </c>
      <c r="C1398" t="str">
        <f>IF(ISERROR(VLOOKUP(E1398, BibleInEveryLanguageTexts!A:A, 1, FALSE)), "N", "Y")</f>
        <v>N</v>
      </c>
      <c r="D1398" t="str">
        <f t="shared" si="42"/>
        <v>X</v>
      </c>
      <c r="E1398" t="s">
        <v>7414</v>
      </c>
      <c r="F1398" t="s">
        <v>7415</v>
      </c>
      <c r="G1398" t="s">
        <v>2833</v>
      </c>
      <c r="H1398" t="s">
        <v>7416</v>
      </c>
      <c r="I1398" t="s">
        <v>2647</v>
      </c>
      <c r="J1398" t="str">
        <f>IF(0 = IFERROR(VLOOKUP(DBL_FullList!I1398, ContactsDbl!B:D, 2, FALSE), ""), "", IFERROR(VLOOKUP(DBL_FullList!I1398, ContactsDbl!B:D, 2, FALSE), ""))</f>
        <v>info@biblesociety-uganda.org</v>
      </c>
      <c r="K1398" t="str">
        <f>IF(0 = IFERROR(VLOOKUP(DBL_FullList!I1398,ContactsDbl!B:D, 3, FALSE), ""), "", IFERROR(VLOOKUP(DBL_FullList!I1398, ContactsDbl!B:D, 3, FALSE), ""))</f>
        <v>http://www.biblesociety-uganda.org/</v>
      </c>
      <c r="L1398">
        <f t="shared" si="43"/>
        <v>2</v>
      </c>
    </row>
    <row r="1399" spans="1:12" x14ac:dyDescent="0.25">
      <c r="A1399" t="s">
        <v>7417</v>
      </c>
      <c r="B1399" t="str">
        <f>IF(ISERROR(VLOOKUP(F1399,STEP!A:A, 1, FALSE)), "N", "Y")</f>
        <v>N</v>
      </c>
      <c r="C1399" t="str">
        <f>IF(ISERROR(VLOOKUP(E1399, BibleInEveryLanguageTexts!A:A, 1, FALSE)), "N", "Y")</f>
        <v>N</v>
      </c>
      <c r="D1399" t="str">
        <f t="shared" si="42"/>
        <v>X</v>
      </c>
      <c r="E1399" t="s">
        <v>7418</v>
      </c>
      <c r="F1399" t="s">
        <v>7419</v>
      </c>
      <c r="G1399" t="s">
        <v>333</v>
      </c>
      <c r="H1399" t="s">
        <v>7420</v>
      </c>
      <c r="I1399" t="s">
        <v>2661</v>
      </c>
      <c r="J1399" t="str">
        <f>IF(0 = IFERROR(VLOOKUP(DBL_FullList!I1399, ContactsDbl!B:D, 2, FALSE), ""), "", IFERROR(VLOOKUP(DBL_FullList!I1399, ContactsDbl!B:D, 2, FALSE), ""))</f>
        <v>dbladmin_intl@sil.org</v>
      </c>
      <c r="K1399" t="str">
        <f>IF(0 = IFERROR(VLOOKUP(DBL_FullList!I1399,ContactsDbl!B:D, 3, FALSE), ""), "", IFERROR(VLOOKUP(DBL_FullList!I1399, ContactsDbl!B:D, 3, FALSE), ""))</f>
        <v>http://www.wycliffe.org</v>
      </c>
      <c r="L1399">
        <f t="shared" si="43"/>
        <v>2</v>
      </c>
    </row>
    <row r="1400" spans="1:12" x14ac:dyDescent="0.25">
      <c r="A1400" t="s">
        <v>7421</v>
      </c>
      <c r="B1400" t="str">
        <f>IF(ISERROR(VLOOKUP(F1400,STEP!A:A, 1, FALSE)), "N", "Y")</f>
        <v>N</v>
      </c>
      <c r="C1400" t="str">
        <f>IF(ISERROR(VLOOKUP(E1400, BibleInEveryLanguageTexts!A:A, 1, FALSE)), "N", "Y")</f>
        <v>N</v>
      </c>
      <c r="D1400" t="str">
        <f t="shared" si="42"/>
        <v>X</v>
      </c>
      <c r="E1400" t="s">
        <v>7422</v>
      </c>
      <c r="F1400" t="s">
        <v>7423</v>
      </c>
      <c r="G1400" t="s">
        <v>48</v>
      </c>
      <c r="H1400" t="s">
        <v>7424</v>
      </c>
      <c r="I1400" t="s">
        <v>2661</v>
      </c>
      <c r="J1400" t="str">
        <f>IF(0 = IFERROR(VLOOKUP(DBL_FullList!I1400, ContactsDbl!B:D, 2, FALSE), ""), "", IFERROR(VLOOKUP(DBL_FullList!I1400, ContactsDbl!B:D, 2, FALSE), ""))</f>
        <v>dbladmin_intl@sil.org</v>
      </c>
      <c r="K1400" t="str">
        <f>IF(0 = IFERROR(VLOOKUP(DBL_FullList!I1400,ContactsDbl!B:D, 3, FALSE), ""), "", IFERROR(VLOOKUP(DBL_FullList!I1400, ContactsDbl!B:D, 3, FALSE), ""))</f>
        <v>http://www.wycliffe.org</v>
      </c>
      <c r="L1400">
        <f t="shared" si="43"/>
        <v>2</v>
      </c>
    </row>
    <row r="1401" spans="1:12" x14ac:dyDescent="0.25">
      <c r="A1401" t="s">
        <v>7425</v>
      </c>
      <c r="B1401" t="str">
        <f>IF(ISERROR(VLOOKUP(F1401,STEP!A:A, 1, FALSE)), "N", "Y")</f>
        <v>Y</v>
      </c>
      <c r="C1401" t="str">
        <f>IF(ISERROR(VLOOKUP(E1401, BibleInEveryLanguageTexts!A:A, 1, FALSE)), "N", "Y")</f>
        <v>N</v>
      </c>
      <c r="D1401" t="str">
        <f t="shared" si="42"/>
        <v/>
      </c>
      <c r="E1401" t="s">
        <v>7426</v>
      </c>
      <c r="F1401" t="s">
        <v>7427</v>
      </c>
      <c r="G1401" t="s">
        <v>48</v>
      </c>
      <c r="H1401" t="s">
        <v>7428</v>
      </c>
      <c r="I1401" t="s">
        <v>2661</v>
      </c>
      <c r="J1401" t="str">
        <f>IF(0 = IFERROR(VLOOKUP(DBL_FullList!I1401, ContactsDbl!B:D, 2, FALSE), ""), "", IFERROR(VLOOKUP(DBL_FullList!I1401, ContactsDbl!B:D, 2, FALSE), ""))</f>
        <v>dbladmin_intl@sil.org</v>
      </c>
      <c r="K1401" t="str">
        <f>IF(0 = IFERROR(VLOOKUP(DBL_FullList!I1401,ContactsDbl!B:D, 3, FALSE), ""), "", IFERROR(VLOOKUP(DBL_FullList!I1401, ContactsDbl!B:D, 3, FALSE), ""))</f>
        <v>http://www.wycliffe.org</v>
      </c>
      <c r="L1401">
        <f t="shared" si="43"/>
        <v>2</v>
      </c>
    </row>
    <row r="1402" spans="1:12" x14ac:dyDescent="0.25">
      <c r="A1402" t="s">
        <v>7429</v>
      </c>
      <c r="B1402" t="str">
        <f>IF(ISERROR(VLOOKUP(F1402,STEP!A:A, 1, FALSE)), "N", "Y")</f>
        <v>N</v>
      </c>
      <c r="C1402" t="str">
        <f>IF(ISERROR(VLOOKUP(E1402, BibleInEveryLanguageTexts!A:A, 1, FALSE)), "N", "Y")</f>
        <v>N</v>
      </c>
      <c r="D1402" t="str">
        <f t="shared" si="42"/>
        <v>X</v>
      </c>
      <c r="E1402" t="s">
        <v>7430</v>
      </c>
      <c r="F1402" t="s">
        <v>7431</v>
      </c>
      <c r="G1402" t="s">
        <v>2880</v>
      </c>
      <c r="H1402" t="s">
        <v>7432</v>
      </c>
      <c r="I1402" t="s">
        <v>2661</v>
      </c>
      <c r="J1402" t="str">
        <f>IF(0 = IFERROR(VLOOKUP(DBL_FullList!I1402, ContactsDbl!B:D, 2, FALSE), ""), "", IFERROR(VLOOKUP(DBL_FullList!I1402, ContactsDbl!B:D, 2, FALSE), ""))</f>
        <v>dbladmin_intl@sil.org</v>
      </c>
      <c r="K1402" t="str">
        <f>IF(0 = IFERROR(VLOOKUP(DBL_FullList!I1402,ContactsDbl!B:D, 3, FALSE), ""), "", IFERROR(VLOOKUP(DBL_FullList!I1402, ContactsDbl!B:D, 3, FALSE), ""))</f>
        <v>http://www.wycliffe.org</v>
      </c>
      <c r="L1402">
        <f t="shared" si="43"/>
        <v>2</v>
      </c>
    </row>
    <row r="1403" spans="1:12" x14ac:dyDescent="0.25">
      <c r="A1403" t="s">
        <v>7433</v>
      </c>
      <c r="B1403" t="str">
        <f>IF(ISERROR(VLOOKUP(F1403,STEP!A:A, 1, FALSE)), "N", "Y")</f>
        <v>N</v>
      </c>
      <c r="C1403" t="str">
        <f>IF(ISERROR(VLOOKUP(E1403, BibleInEveryLanguageTexts!A:A, 1, FALSE)), "N", "Y")</f>
        <v>N</v>
      </c>
      <c r="D1403" t="str">
        <f t="shared" si="42"/>
        <v>X</v>
      </c>
      <c r="E1403" t="s">
        <v>3864</v>
      </c>
      <c r="F1403" t="s">
        <v>3865</v>
      </c>
      <c r="G1403" t="s">
        <v>4200</v>
      </c>
      <c r="H1403" t="s">
        <v>7434</v>
      </c>
      <c r="I1403" t="s">
        <v>2452</v>
      </c>
      <c r="J1403" t="str">
        <f>IF(0 = IFERROR(VLOOKUP(DBL_FullList!I1403, ContactsDbl!B:D, 2, FALSE), ""), "", IFERROR(VLOOKUP(DBL_FullList!I1403, ContactsDbl!B:D, 2, FALSE), ""))</f>
        <v>bsmalawi-dbl@biblesocieties.org</v>
      </c>
      <c r="K1403" t="str">
        <f>IF(0 = IFERROR(VLOOKUP(DBL_FullList!I1403,ContactsDbl!B:D, 3, FALSE), ""), "", IFERROR(VLOOKUP(DBL_FullList!I1403, ContactsDbl!B:D, 3, FALSE), ""))</f>
        <v>http://www.biblesociety-malawi.org/</v>
      </c>
      <c r="L1403">
        <f t="shared" si="43"/>
        <v>2</v>
      </c>
    </row>
    <row r="1404" spans="1:12" x14ac:dyDescent="0.25">
      <c r="A1404" t="s">
        <v>7435</v>
      </c>
      <c r="B1404" t="str">
        <f>IF(ISERROR(VLOOKUP(F1404,STEP!A:A, 1, FALSE)), "N", "Y")</f>
        <v>N</v>
      </c>
      <c r="C1404" t="str">
        <f>IF(ISERROR(VLOOKUP(E1404, BibleInEveryLanguageTexts!A:A, 1, FALSE)), "N", "Y")</f>
        <v>N</v>
      </c>
      <c r="D1404" t="str">
        <f t="shared" si="42"/>
        <v>X</v>
      </c>
      <c r="E1404" t="s">
        <v>7436</v>
      </c>
      <c r="F1404" t="s">
        <v>7437</v>
      </c>
      <c r="G1404" t="s">
        <v>110</v>
      </c>
      <c r="H1404" t="s">
        <v>7438</v>
      </c>
      <c r="I1404" t="s">
        <v>2661</v>
      </c>
      <c r="J1404" t="str">
        <f>IF(0 = IFERROR(VLOOKUP(DBL_FullList!I1404, ContactsDbl!B:D, 2, FALSE), ""), "", IFERROR(VLOOKUP(DBL_FullList!I1404, ContactsDbl!B:D, 2, FALSE), ""))</f>
        <v>dbladmin_intl@sil.org</v>
      </c>
      <c r="K1404" t="str">
        <f>IF(0 = IFERROR(VLOOKUP(DBL_FullList!I1404,ContactsDbl!B:D, 3, FALSE), ""), "", IFERROR(VLOOKUP(DBL_FullList!I1404, ContactsDbl!B:D, 3, FALSE), ""))</f>
        <v>http://www.wycliffe.org</v>
      </c>
      <c r="L1404">
        <f t="shared" si="43"/>
        <v>2</v>
      </c>
    </row>
    <row r="1405" spans="1:12" x14ac:dyDescent="0.25">
      <c r="A1405" t="s">
        <v>7439</v>
      </c>
      <c r="B1405" t="str">
        <f>IF(ISERROR(VLOOKUP(F1405,STEP!A:A, 1, FALSE)), "N", "Y")</f>
        <v>N</v>
      </c>
      <c r="C1405" t="str">
        <f>IF(ISERROR(VLOOKUP(E1405, BibleInEveryLanguageTexts!A:A, 1, FALSE)), "N", "Y")</f>
        <v>N</v>
      </c>
      <c r="D1405" t="str">
        <f t="shared" si="42"/>
        <v>X</v>
      </c>
      <c r="E1405" t="s">
        <v>7316</v>
      </c>
      <c r="F1405" t="s">
        <v>7317</v>
      </c>
      <c r="G1405" t="s">
        <v>3133</v>
      </c>
      <c r="H1405" t="s">
        <v>7440</v>
      </c>
      <c r="I1405" t="s">
        <v>2661</v>
      </c>
      <c r="J1405" t="str">
        <f>IF(0 = IFERROR(VLOOKUP(DBL_FullList!I1405, ContactsDbl!B:D, 2, FALSE), ""), "", IFERROR(VLOOKUP(DBL_FullList!I1405, ContactsDbl!B:D, 2, FALSE), ""))</f>
        <v>dbladmin_intl@sil.org</v>
      </c>
      <c r="K1405" t="str">
        <f>IF(0 = IFERROR(VLOOKUP(DBL_FullList!I1405,ContactsDbl!B:D, 3, FALSE), ""), "", IFERROR(VLOOKUP(DBL_FullList!I1405, ContactsDbl!B:D, 3, FALSE), ""))</f>
        <v>http://www.wycliffe.org</v>
      </c>
      <c r="L1405">
        <f t="shared" si="43"/>
        <v>2</v>
      </c>
    </row>
    <row r="1406" spans="1:12" x14ac:dyDescent="0.25">
      <c r="A1406" t="s">
        <v>7441</v>
      </c>
      <c r="B1406" t="str">
        <f>IF(ISERROR(VLOOKUP(F1406,STEP!A:A, 1, FALSE)), "N", "Y")</f>
        <v>N</v>
      </c>
      <c r="C1406" t="str">
        <f>IF(ISERROR(VLOOKUP(E1406, BibleInEveryLanguageTexts!A:A, 1, FALSE)), "N", "Y")</f>
        <v>N</v>
      </c>
      <c r="D1406" t="str">
        <f t="shared" si="42"/>
        <v>X</v>
      </c>
      <c r="E1406" t="s">
        <v>6330</v>
      </c>
      <c r="F1406" t="s">
        <v>6331</v>
      </c>
      <c r="G1406" t="s">
        <v>171</v>
      </c>
      <c r="H1406" t="s">
        <v>7442</v>
      </c>
      <c r="I1406" t="s">
        <v>1997</v>
      </c>
      <c r="J1406" t="str">
        <f>IF(0 = IFERROR(VLOOKUP(DBL_FullList!I1406, ContactsDbl!B:D, 2, FALSE), ""), "", IFERROR(VLOOKUP(DBL_FullList!I1406, ContactsDbl!B:D, 2, FALSE), ""))</f>
        <v>Lee.Harris@biblica.com</v>
      </c>
      <c r="K1406" t="str">
        <f>IF(0 = IFERROR(VLOOKUP(DBL_FullList!I1406,ContactsDbl!B:D, 3, FALSE), ""), "", IFERROR(VLOOKUP(DBL_FullList!I1406, ContactsDbl!B:D, 3, FALSE), ""))</f>
        <v>http://www.Biblica.com</v>
      </c>
      <c r="L1406">
        <f t="shared" si="43"/>
        <v>2</v>
      </c>
    </row>
    <row r="1407" spans="1:12" x14ac:dyDescent="0.25">
      <c r="A1407" t="s">
        <v>7443</v>
      </c>
      <c r="B1407" t="str">
        <f>IF(ISERROR(VLOOKUP(F1407,STEP!A:A, 1, FALSE)), "N", "Y")</f>
        <v>N</v>
      </c>
      <c r="C1407" t="str">
        <f>IF(ISERROR(VLOOKUP(E1407, BibleInEveryLanguageTexts!A:A, 1, FALSE)), "N", "Y")</f>
        <v>N</v>
      </c>
      <c r="D1407" t="str">
        <f t="shared" si="42"/>
        <v>X</v>
      </c>
      <c r="E1407" t="s">
        <v>7444</v>
      </c>
      <c r="F1407" t="s">
        <v>7445</v>
      </c>
      <c r="G1407" t="s">
        <v>2723</v>
      </c>
      <c r="H1407" t="s">
        <v>7446</v>
      </c>
      <c r="I1407" t="s">
        <v>2661</v>
      </c>
      <c r="J1407" t="str">
        <f>IF(0 = IFERROR(VLOOKUP(DBL_FullList!I1407, ContactsDbl!B:D, 2, FALSE), ""), "", IFERROR(VLOOKUP(DBL_FullList!I1407, ContactsDbl!B:D, 2, FALSE), ""))</f>
        <v>dbladmin_intl@sil.org</v>
      </c>
      <c r="K1407" t="str">
        <f>IF(0 = IFERROR(VLOOKUP(DBL_FullList!I1407,ContactsDbl!B:D, 3, FALSE), ""), "", IFERROR(VLOOKUP(DBL_FullList!I1407, ContactsDbl!B:D, 3, FALSE), ""))</f>
        <v>http://www.wycliffe.org</v>
      </c>
      <c r="L1407">
        <f t="shared" si="43"/>
        <v>2</v>
      </c>
    </row>
    <row r="1408" spans="1:12" x14ac:dyDescent="0.25">
      <c r="A1408" t="s">
        <v>7447</v>
      </c>
      <c r="B1408" t="str">
        <f>IF(ISERROR(VLOOKUP(F1408,STEP!A:A, 1, FALSE)), "N", "Y")</f>
        <v>N</v>
      </c>
      <c r="C1408" t="str">
        <f>IF(ISERROR(VLOOKUP(E1408, BibleInEveryLanguageTexts!A:A, 1, FALSE)), "N", "Y")</f>
        <v>N</v>
      </c>
      <c r="D1408" t="str">
        <f t="shared" si="42"/>
        <v>X</v>
      </c>
      <c r="E1408" t="s">
        <v>7448</v>
      </c>
      <c r="F1408" t="s">
        <v>7449</v>
      </c>
      <c r="G1408" t="s">
        <v>3133</v>
      </c>
      <c r="H1408" t="s">
        <v>7450</v>
      </c>
      <c r="I1408" t="s">
        <v>2661</v>
      </c>
      <c r="J1408" t="str">
        <f>IF(0 = IFERROR(VLOOKUP(DBL_FullList!I1408, ContactsDbl!B:D, 2, FALSE), ""), "", IFERROR(VLOOKUP(DBL_FullList!I1408, ContactsDbl!B:D, 2, FALSE), ""))</f>
        <v>dbladmin_intl@sil.org</v>
      </c>
      <c r="K1408" t="str">
        <f>IF(0 = IFERROR(VLOOKUP(DBL_FullList!I1408,ContactsDbl!B:D, 3, FALSE), ""), "", IFERROR(VLOOKUP(DBL_FullList!I1408, ContactsDbl!B:D, 3, FALSE), ""))</f>
        <v>http://www.wycliffe.org</v>
      </c>
      <c r="L1408">
        <f t="shared" si="43"/>
        <v>2</v>
      </c>
    </row>
    <row r="1409" spans="1:12" x14ac:dyDescent="0.25">
      <c r="A1409" t="s">
        <v>7451</v>
      </c>
      <c r="B1409" t="str">
        <f>IF(ISERROR(VLOOKUP(F1409,STEP!A:A, 1, FALSE)), "N", "Y")</f>
        <v>N</v>
      </c>
      <c r="C1409" t="str">
        <f>IF(ISERROR(VLOOKUP(E1409, BibleInEveryLanguageTexts!A:A, 1, FALSE)), "N", "Y")</f>
        <v>N</v>
      </c>
      <c r="D1409" t="str">
        <f t="shared" si="42"/>
        <v>X</v>
      </c>
      <c r="E1409" t="s">
        <v>7452</v>
      </c>
      <c r="F1409" t="s">
        <v>7453</v>
      </c>
      <c r="G1409" t="s">
        <v>2880</v>
      </c>
      <c r="H1409" t="s">
        <v>7454</v>
      </c>
      <c r="I1409" t="s">
        <v>2661</v>
      </c>
      <c r="J1409" t="str">
        <f>IF(0 = IFERROR(VLOOKUP(DBL_FullList!I1409, ContactsDbl!B:D, 2, FALSE), ""), "", IFERROR(VLOOKUP(DBL_FullList!I1409, ContactsDbl!B:D, 2, FALSE), ""))</f>
        <v>dbladmin_intl@sil.org</v>
      </c>
      <c r="K1409" t="str">
        <f>IF(0 = IFERROR(VLOOKUP(DBL_FullList!I1409,ContactsDbl!B:D, 3, FALSE), ""), "", IFERROR(VLOOKUP(DBL_FullList!I1409, ContactsDbl!B:D, 3, FALSE), ""))</f>
        <v>http://www.wycliffe.org</v>
      </c>
      <c r="L1409">
        <f t="shared" si="43"/>
        <v>2</v>
      </c>
    </row>
    <row r="1410" spans="1:12" x14ac:dyDescent="0.25">
      <c r="A1410" t="s">
        <v>7455</v>
      </c>
      <c r="B1410" t="str">
        <f>IF(ISERROR(VLOOKUP(F1410,STEP!A:A, 1, FALSE)), "N", "Y")</f>
        <v>N</v>
      </c>
      <c r="C1410" t="str">
        <f>IF(ISERROR(VLOOKUP(E1410, BibleInEveryLanguageTexts!A:A, 1, FALSE)), "N", "Y")</f>
        <v>N</v>
      </c>
      <c r="D1410" t="str">
        <f t="shared" si="42"/>
        <v>X</v>
      </c>
      <c r="E1410" t="s">
        <v>7456</v>
      </c>
      <c r="F1410" t="s">
        <v>7457</v>
      </c>
      <c r="G1410" t="s">
        <v>2880</v>
      </c>
      <c r="H1410" t="s">
        <v>7458</v>
      </c>
      <c r="I1410" t="s">
        <v>2661</v>
      </c>
      <c r="J1410" t="str">
        <f>IF(0 = IFERROR(VLOOKUP(DBL_FullList!I1410, ContactsDbl!B:D, 2, FALSE), ""), "", IFERROR(VLOOKUP(DBL_FullList!I1410, ContactsDbl!B:D, 2, FALSE), ""))</f>
        <v>dbladmin_intl@sil.org</v>
      </c>
      <c r="K1410" t="str">
        <f>IF(0 = IFERROR(VLOOKUP(DBL_FullList!I1410,ContactsDbl!B:D, 3, FALSE), ""), "", IFERROR(VLOOKUP(DBL_FullList!I1410, ContactsDbl!B:D, 3, FALSE), ""))</f>
        <v>http://www.wycliffe.org</v>
      </c>
      <c r="L1410">
        <f t="shared" si="43"/>
        <v>2</v>
      </c>
    </row>
    <row r="1411" spans="1:12" x14ac:dyDescent="0.25">
      <c r="A1411" s="1" t="s">
        <v>7459</v>
      </c>
      <c r="B1411" t="str">
        <f>IF(ISERROR(VLOOKUP(F1411,STEP!A:A, 1, FALSE)), "N", "Y")</f>
        <v>N</v>
      </c>
      <c r="C1411" t="str">
        <f>IF(ISERROR(VLOOKUP(E1411, BibleInEveryLanguageTexts!A:A, 1, FALSE)), "N", "Y")</f>
        <v>N</v>
      </c>
      <c r="D1411" t="str">
        <f t="shared" ref="D1411:D1474" si="44">IF(AND("N" = B1411, "N" = C1411), "X", "")</f>
        <v>X</v>
      </c>
      <c r="E1411" t="s">
        <v>3026</v>
      </c>
      <c r="F1411" t="s">
        <v>3027</v>
      </c>
      <c r="G1411" t="s">
        <v>115</v>
      </c>
      <c r="H1411" t="s">
        <v>7460</v>
      </c>
      <c r="I1411" t="s">
        <v>2623</v>
      </c>
      <c r="J1411" t="str">
        <f>IF(0 = IFERROR(VLOOKUP(DBL_FullList!I1411, ContactsDbl!B:D, 2, FALSE), ""), "", IFERROR(VLOOKUP(DBL_FullList!I1411, ContactsDbl!B:D, 2, FALSE), ""))</f>
        <v>seree@thaibible.or.th</v>
      </c>
      <c r="K1411" t="str">
        <f>IF(0 = IFERROR(VLOOKUP(DBL_FullList!I1411,ContactsDbl!B:D, 3, FALSE), ""), "", IFERROR(VLOOKUP(DBL_FullList!I1411, ContactsDbl!B:D, 3, FALSE), ""))</f>
        <v>http://www.thaibible.or.th/</v>
      </c>
      <c r="L1411">
        <f t="shared" ref="L1411:L1474" si="45">IF("" &lt;&gt; J1411, 2, IF("" &lt;&gt; K1411, 1, 0))</f>
        <v>2</v>
      </c>
    </row>
    <row r="1412" spans="1:12" x14ac:dyDescent="0.25">
      <c r="A1412" t="s">
        <v>7461</v>
      </c>
      <c r="B1412" t="str">
        <f>IF(ISERROR(VLOOKUP(F1412,STEP!A:A, 1, FALSE)), "N", "Y")</f>
        <v>N</v>
      </c>
      <c r="C1412" t="str">
        <f>IF(ISERROR(VLOOKUP(E1412, BibleInEveryLanguageTexts!A:A, 1, FALSE)), "N", "Y")</f>
        <v>N</v>
      </c>
      <c r="D1412" t="str">
        <f t="shared" si="44"/>
        <v>X</v>
      </c>
      <c r="E1412" t="s">
        <v>7462</v>
      </c>
      <c r="F1412" t="s">
        <v>7463</v>
      </c>
      <c r="G1412" t="s">
        <v>2723</v>
      </c>
      <c r="H1412" t="s">
        <v>7464</v>
      </c>
      <c r="I1412" t="s">
        <v>2661</v>
      </c>
      <c r="J1412" t="str">
        <f>IF(0 = IFERROR(VLOOKUP(DBL_FullList!I1412, ContactsDbl!B:D, 2, FALSE), ""), "", IFERROR(VLOOKUP(DBL_FullList!I1412, ContactsDbl!B:D, 2, FALSE), ""))</f>
        <v>dbladmin_intl@sil.org</v>
      </c>
      <c r="K1412" t="str">
        <f>IF(0 = IFERROR(VLOOKUP(DBL_FullList!I1412,ContactsDbl!B:D, 3, FALSE), ""), "", IFERROR(VLOOKUP(DBL_FullList!I1412, ContactsDbl!B:D, 3, FALSE), ""))</f>
        <v>http://www.wycliffe.org</v>
      </c>
      <c r="L1412">
        <f t="shared" si="45"/>
        <v>2</v>
      </c>
    </row>
    <row r="1413" spans="1:12" x14ac:dyDescent="0.25">
      <c r="A1413" t="s">
        <v>7465</v>
      </c>
      <c r="B1413" t="str">
        <f>IF(ISERROR(VLOOKUP(F1413,STEP!A:A, 1, FALSE)), "N", "Y")</f>
        <v>Y</v>
      </c>
      <c r="C1413" t="str">
        <f>IF(ISERROR(VLOOKUP(E1413, BibleInEveryLanguageTexts!A:A, 1, FALSE)), "N", "Y")</f>
        <v>N</v>
      </c>
      <c r="D1413" t="str">
        <f t="shared" si="44"/>
        <v/>
      </c>
      <c r="E1413" t="s">
        <v>7466</v>
      </c>
      <c r="F1413" t="s">
        <v>7467</v>
      </c>
      <c r="G1413" t="s">
        <v>48</v>
      </c>
      <c r="H1413" t="s">
        <v>7468</v>
      </c>
      <c r="I1413" t="s">
        <v>2661</v>
      </c>
      <c r="J1413" t="str">
        <f>IF(0 = IFERROR(VLOOKUP(DBL_FullList!I1413, ContactsDbl!B:D, 2, FALSE), ""), "", IFERROR(VLOOKUP(DBL_FullList!I1413, ContactsDbl!B:D, 2, FALSE), ""))</f>
        <v>dbladmin_intl@sil.org</v>
      </c>
      <c r="K1413" t="str">
        <f>IF(0 = IFERROR(VLOOKUP(DBL_FullList!I1413,ContactsDbl!B:D, 3, FALSE), ""), "", IFERROR(VLOOKUP(DBL_FullList!I1413, ContactsDbl!B:D, 3, FALSE), ""))</f>
        <v>http://www.wycliffe.org</v>
      </c>
      <c r="L1413">
        <f t="shared" si="45"/>
        <v>2</v>
      </c>
    </row>
    <row r="1414" spans="1:12" x14ac:dyDescent="0.25">
      <c r="A1414" t="s">
        <v>7469</v>
      </c>
      <c r="B1414" t="str">
        <f>IF(ISERROR(VLOOKUP(F1414,STEP!A:A, 1, FALSE)), "N", "Y")</f>
        <v>N</v>
      </c>
      <c r="C1414" t="str">
        <f>IF(ISERROR(VLOOKUP(E1414, BibleInEveryLanguageTexts!A:A, 1, FALSE)), "N", "Y")</f>
        <v>N</v>
      </c>
      <c r="D1414" t="str">
        <f t="shared" si="44"/>
        <v>X</v>
      </c>
      <c r="E1414" t="s">
        <v>4340</v>
      </c>
      <c r="F1414" t="s">
        <v>4341</v>
      </c>
      <c r="G1414" t="s">
        <v>3663</v>
      </c>
      <c r="H1414" t="s">
        <v>7470</v>
      </c>
      <c r="I1414" t="s">
        <v>2122</v>
      </c>
      <c r="J1414" t="str">
        <f>IF(0 = IFERROR(VLOOKUP(DBL_FullList!I1414, ContactsDbl!B:D, 2, FALSE), ""), "", IFERROR(VLOOKUP(DBL_FullList!I1414, ContactsDbl!B:D, 2, FALSE), ""))</f>
        <v>apostolov@biblesociety.bg</v>
      </c>
      <c r="K1414" t="str">
        <f>IF(0 = IFERROR(VLOOKUP(DBL_FullList!I1414,ContactsDbl!B:D, 3, FALSE), ""), "", IFERROR(VLOOKUP(DBL_FullList!I1414, ContactsDbl!B:D, 3, FALSE), ""))</f>
        <v>www.biblesocety.bg</v>
      </c>
      <c r="L1414">
        <f t="shared" si="45"/>
        <v>2</v>
      </c>
    </row>
    <row r="1415" spans="1:12" x14ac:dyDescent="0.25">
      <c r="A1415" t="s">
        <v>7471</v>
      </c>
      <c r="B1415" t="str">
        <f>IF(ISERROR(VLOOKUP(F1415,STEP!A:A, 1, FALSE)), "N", "Y")</f>
        <v>Y</v>
      </c>
      <c r="C1415" t="str">
        <f>IF(ISERROR(VLOOKUP(E1415, BibleInEveryLanguageTexts!A:A, 1, FALSE)), "N", "Y")</f>
        <v>N</v>
      </c>
      <c r="D1415" t="str">
        <f t="shared" si="44"/>
        <v/>
      </c>
      <c r="E1415" t="s">
        <v>7472</v>
      </c>
      <c r="F1415" t="s">
        <v>7473</v>
      </c>
      <c r="G1415" t="s">
        <v>48</v>
      </c>
      <c r="H1415" t="s">
        <v>7474</v>
      </c>
      <c r="I1415" t="s">
        <v>2661</v>
      </c>
      <c r="J1415" t="str">
        <f>IF(0 = IFERROR(VLOOKUP(DBL_FullList!I1415, ContactsDbl!B:D, 2, FALSE), ""), "", IFERROR(VLOOKUP(DBL_FullList!I1415, ContactsDbl!B:D, 2, FALSE), ""))</f>
        <v>dbladmin_intl@sil.org</v>
      </c>
      <c r="K1415" t="str">
        <f>IF(0 = IFERROR(VLOOKUP(DBL_FullList!I1415,ContactsDbl!B:D, 3, FALSE), ""), "", IFERROR(VLOOKUP(DBL_FullList!I1415, ContactsDbl!B:D, 3, FALSE), ""))</f>
        <v>http://www.wycliffe.org</v>
      </c>
      <c r="L1415">
        <f t="shared" si="45"/>
        <v>2</v>
      </c>
    </row>
    <row r="1416" spans="1:12" x14ac:dyDescent="0.25">
      <c r="A1416" t="s">
        <v>7475</v>
      </c>
      <c r="B1416" t="str">
        <f>IF(ISERROR(VLOOKUP(F1416,STEP!A:A, 1, FALSE)), "N", "Y")</f>
        <v>N</v>
      </c>
      <c r="C1416" t="str">
        <f>IF(ISERROR(VLOOKUP(E1416, BibleInEveryLanguageTexts!A:A, 1, FALSE)), "N", "Y")</f>
        <v>N</v>
      </c>
      <c r="D1416" t="str">
        <f t="shared" si="44"/>
        <v>X</v>
      </c>
      <c r="E1416" t="s">
        <v>3026</v>
      </c>
      <c r="F1416" t="s">
        <v>3027</v>
      </c>
      <c r="G1416" t="s">
        <v>115</v>
      </c>
      <c r="H1416" t="s">
        <v>7476</v>
      </c>
      <c r="I1416" t="s">
        <v>2623</v>
      </c>
      <c r="J1416" t="str">
        <f>IF(0 = IFERROR(VLOOKUP(DBL_FullList!I1416, ContactsDbl!B:D, 2, FALSE), ""), "", IFERROR(VLOOKUP(DBL_FullList!I1416, ContactsDbl!B:D, 2, FALSE), ""))</f>
        <v>seree@thaibible.or.th</v>
      </c>
      <c r="K1416" t="str">
        <f>IF(0 = IFERROR(VLOOKUP(DBL_FullList!I1416,ContactsDbl!B:D, 3, FALSE), ""), "", IFERROR(VLOOKUP(DBL_FullList!I1416, ContactsDbl!B:D, 3, FALSE), ""))</f>
        <v>http://www.thaibible.or.th/</v>
      </c>
      <c r="L1416">
        <f t="shared" si="45"/>
        <v>2</v>
      </c>
    </row>
    <row r="1417" spans="1:12" x14ac:dyDescent="0.25">
      <c r="A1417" t="s">
        <v>7477</v>
      </c>
      <c r="B1417" t="str">
        <f>IF(ISERROR(VLOOKUP(F1417,STEP!A:A, 1, FALSE)), "N", "Y")</f>
        <v>N</v>
      </c>
      <c r="C1417" t="str">
        <f>IF(ISERROR(VLOOKUP(E1417, BibleInEveryLanguageTexts!A:A, 1, FALSE)), "N", "Y")</f>
        <v>N</v>
      </c>
      <c r="D1417" t="str">
        <f t="shared" si="44"/>
        <v>X</v>
      </c>
      <c r="E1417" t="s">
        <v>7478</v>
      </c>
      <c r="F1417" t="s">
        <v>7479</v>
      </c>
      <c r="G1417" t="s">
        <v>2880</v>
      </c>
      <c r="H1417" t="s">
        <v>7480</v>
      </c>
      <c r="I1417" t="s">
        <v>2661</v>
      </c>
      <c r="J1417" t="str">
        <f>IF(0 = IFERROR(VLOOKUP(DBL_FullList!I1417, ContactsDbl!B:D, 2, FALSE), ""), "", IFERROR(VLOOKUP(DBL_FullList!I1417, ContactsDbl!B:D, 2, FALSE), ""))</f>
        <v>dbladmin_intl@sil.org</v>
      </c>
      <c r="K1417" t="str">
        <f>IF(0 = IFERROR(VLOOKUP(DBL_FullList!I1417,ContactsDbl!B:D, 3, FALSE), ""), "", IFERROR(VLOOKUP(DBL_FullList!I1417, ContactsDbl!B:D, 3, FALSE), ""))</f>
        <v>http://www.wycliffe.org</v>
      </c>
      <c r="L1417">
        <f t="shared" si="45"/>
        <v>2</v>
      </c>
    </row>
    <row r="1418" spans="1:12" x14ac:dyDescent="0.25">
      <c r="A1418" t="s">
        <v>7481</v>
      </c>
      <c r="B1418" t="str">
        <f>IF(ISERROR(VLOOKUP(F1418,STEP!A:A, 1, FALSE)), "N", "Y")</f>
        <v>N</v>
      </c>
      <c r="C1418" t="str">
        <f>IF(ISERROR(VLOOKUP(E1418, BibleInEveryLanguageTexts!A:A, 1, FALSE)), "N", "Y")</f>
        <v>N</v>
      </c>
      <c r="D1418" t="str">
        <f t="shared" si="44"/>
        <v>X</v>
      </c>
      <c r="E1418" t="s">
        <v>7482</v>
      </c>
      <c r="F1418" t="s">
        <v>4400</v>
      </c>
      <c r="G1418" t="s">
        <v>2815</v>
      </c>
      <c r="H1418" t="s">
        <v>7483</v>
      </c>
      <c r="I1418" t="s">
        <v>2362</v>
      </c>
      <c r="J1418" t="str">
        <f>IF(0 = IFERROR(VLOOKUP(DBL_FullList!I1418, ContactsDbl!B:D, 2, FALSE), ""), "", IFERROR(VLOOKUP(DBL_FullList!I1418, ContactsDbl!B:D, 2, FALSE), ""))</f>
        <v>muriuki@biblesociety-kenya.org</v>
      </c>
      <c r="K1418" t="str">
        <f>IF(0 = IFERROR(VLOOKUP(DBL_FullList!I1418,ContactsDbl!B:D, 3, FALSE), ""), "", IFERROR(VLOOKUP(DBL_FullList!I1418, ContactsDbl!B:D, 3, FALSE), ""))</f>
        <v>http://www.biblesociety-kenya.org/</v>
      </c>
      <c r="L1418">
        <f t="shared" si="45"/>
        <v>2</v>
      </c>
    </row>
    <row r="1419" spans="1:12" x14ac:dyDescent="0.25">
      <c r="A1419" t="s">
        <v>7484</v>
      </c>
      <c r="B1419" t="str">
        <f>IF(ISERROR(VLOOKUP(F1419,STEP!A:A, 1, FALSE)), "N", "Y")</f>
        <v>N</v>
      </c>
      <c r="C1419" t="str">
        <f>IF(ISERROR(VLOOKUP(E1419, BibleInEveryLanguageTexts!A:A, 1, FALSE)), "N", "Y")</f>
        <v>N</v>
      </c>
      <c r="D1419" t="str">
        <f t="shared" si="44"/>
        <v>X</v>
      </c>
      <c r="E1419" t="s">
        <v>4321</v>
      </c>
      <c r="F1419" t="s">
        <v>4322</v>
      </c>
      <c r="G1419" t="s">
        <v>2733</v>
      </c>
      <c r="H1419" t="s">
        <v>3719</v>
      </c>
      <c r="I1419" t="s">
        <v>2013</v>
      </c>
      <c r="J1419" t="str">
        <f>IF(0 = IFERROR(VLOOKUP(DBL_FullList!I1419, ContactsDbl!B:D, 2, FALSE), ""), "", IFERROR(VLOOKUP(DBL_FullList!I1419, ContactsDbl!B:D, 2, FALSE), ""))</f>
        <v>fcossio@biblesocieties.org</v>
      </c>
      <c r="K1419" t="str">
        <f>IF(0 = IFERROR(VLOOKUP(DBL_FullList!I1419,ContactsDbl!B:D, 3, FALSE), ""), "", IFERROR(VLOOKUP(DBL_FullList!I1419, ContactsDbl!B:D, 3, FALSE), ""))</f>
        <v>http://sociedadbiblicaboliviana.org</v>
      </c>
      <c r="L1419">
        <f t="shared" si="45"/>
        <v>2</v>
      </c>
    </row>
    <row r="1420" spans="1:12" x14ac:dyDescent="0.25">
      <c r="A1420" t="s">
        <v>7485</v>
      </c>
      <c r="B1420" t="str">
        <f>IF(ISERROR(VLOOKUP(F1420,STEP!A:A, 1, FALSE)), "N", "Y")</f>
        <v>N</v>
      </c>
      <c r="C1420" t="str">
        <f>IF(ISERROR(VLOOKUP(E1420, BibleInEveryLanguageTexts!A:A, 1, FALSE)), "N", "Y")</f>
        <v>N</v>
      </c>
      <c r="D1420" t="str">
        <f t="shared" si="44"/>
        <v>X</v>
      </c>
      <c r="E1420" t="s">
        <v>205</v>
      </c>
      <c r="F1420" t="s">
        <v>204</v>
      </c>
      <c r="G1420" t="s">
        <v>20</v>
      </c>
      <c r="H1420" t="s">
        <v>7486</v>
      </c>
      <c r="I1420" t="s">
        <v>2329</v>
      </c>
      <c r="J1420" t="str">
        <f>IF(0 = IFERROR(VLOOKUP(DBL_FullList!I1420, ContactsDbl!B:D, 2, FALSE), ""), "", IFERROR(VLOOKUP(DBL_FullList!I1420, ContactsDbl!B:D, 2, FALSE), ""))</f>
        <v/>
      </c>
      <c r="K1420" t="str">
        <f>IF(0 = IFERROR(VLOOKUP(DBL_FullList!I1420,ContactsDbl!B:D, 3, FALSE), ""), "", IFERROR(VLOOKUP(DBL_FullList!I1420, ContactsDbl!B:D, 3, FALSE), ""))</f>
        <v>http://www.bsind.org/</v>
      </c>
      <c r="L1420">
        <f t="shared" si="45"/>
        <v>1</v>
      </c>
    </row>
    <row r="1421" spans="1:12" x14ac:dyDescent="0.25">
      <c r="A1421" t="s">
        <v>7487</v>
      </c>
      <c r="B1421" t="str">
        <f>IF(ISERROR(VLOOKUP(F1421,STEP!A:A, 1, FALSE)), "N", "Y")</f>
        <v>Y</v>
      </c>
      <c r="C1421" t="str">
        <f>IF(ISERROR(VLOOKUP(E1421, BibleInEveryLanguageTexts!A:A, 1, FALSE)), "N", "Y")</f>
        <v>N</v>
      </c>
      <c r="D1421" t="str">
        <f t="shared" si="44"/>
        <v/>
      </c>
      <c r="E1421" t="s">
        <v>7488</v>
      </c>
      <c r="F1421" t="s">
        <v>7489</v>
      </c>
      <c r="G1421" t="s">
        <v>48</v>
      </c>
      <c r="H1421" t="s">
        <v>7490</v>
      </c>
      <c r="I1421" t="s">
        <v>2661</v>
      </c>
      <c r="J1421" t="str">
        <f>IF(0 = IFERROR(VLOOKUP(DBL_FullList!I1421, ContactsDbl!B:D, 2, FALSE), ""), "", IFERROR(VLOOKUP(DBL_FullList!I1421, ContactsDbl!B:D, 2, FALSE), ""))</f>
        <v>dbladmin_intl@sil.org</v>
      </c>
      <c r="K1421" t="str">
        <f>IF(0 = IFERROR(VLOOKUP(DBL_FullList!I1421,ContactsDbl!B:D, 3, FALSE), ""), "", IFERROR(VLOOKUP(DBL_FullList!I1421, ContactsDbl!B:D, 3, FALSE), ""))</f>
        <v>http://www.wycliffe.org</v>
      </c>
      <c r="L1421">
        <f t="shared" si="45"/>
        <v>2</v>
      </c>
    </row>
    <row r="1422" spans="1:12" x14ac:dyDescent="0.25">
      <c r="A1422" t="s">
        <v>7491</v>
      </c>
      <c r="B1422" t="str">
        <f>IF(ISERROR(VLOOKUP(F1422,STEP!A:A, 1, FALSE)), "N", "Y")</f>
        <v>Y</v>
      </c>
      <c r="C1422" t="str">
        <f>IF(ISERROR(VLOOKUP(E1422, BibleInEveryLanguageTexts!A:A, 1, FALSE)), "N", "Y")</f>
        <v>N</v>
      </c>
      <c r="D1422" t="str">
        <f t="shared" si="44"/>
        <v/>
      </c>
      <c r="E1422" t="s">
        <v>7492</v>
      </c>
      <c r="F1422" t="s">
        <v>7493</v>
      </c>
      <c r="G1422" t="s">
        <v>48</v>
      </c>
      <c r="H1422" t="s">
        <v>7494</v>
      </c>
      <c r="I1422" t="s">
        <v>2661</v>
      </c>
      <c r="J1422" t="str">
        <f>IF(0 = IFERROR(VLOOKUP(DBL_FullList!I1422, ContactsDbl!B:D, 2, FALSE), ""), "", IFERROR(VLOOKUP(DBL_FullList!I1422, ContactsDbl!B:D, 2, FALSE), ""))</f>
        <v>dbladmin_intl@sil.org</v>
      </c>
      <c r="K1422" t="str">
        <f>IF(0 = IFERROR(VLOOKUP(DBL_FullList!I1422,ContactsDbl!B:D, 3, FALSE), ""), "", IFERROR(VLOOKUP(DBL_FullList!I1422, ContactsDbl!B:D, 3, FALSE), ""))</f>
        <v>http://www.wycliffe.org</v>
      </c>
      <c r="L1422">
        <f t="shared" si="45"/>
        <v>2</v>
      </c>
    </row>
    <row r="1423" spans="1:12" x14ac:dyDescent="0.25">
      <c r="A1423" s="1" t="s">
        <v>7495</v>
      </c>
      <c r="B1423" t="str">
        <f>IF(ISERROR(VLOOKUP(F1423,STEP!A:A, 1, FALSE)), "N", "Y")</f>
        <v>N</v>
      </c>
      <c r="C1423" t="str">
        <f>IF(ISERROR(VLOOKUP(E1423, BibleInEveryLanguageTexts!A:A, 1, FALSE)), "N", "Y")</f>
        <v>N</v>
      </c>
      <c r="D1423" t="str">
        <f t="shared" si="44"/>
        <v>X</v>
      </c>
      <c r="E1423" t="s">
        <v>7496</v>
      </c>
      <c r="F1423" t="s">
        <v>7497</v>
      </c>
      <c r="G1423" t="s">
        <v>110</v>
      </c>
      <c r="H1423" t="s">
        <v>7498</v>
      </c>
      <c r="I1423" t="s">
        <v>2661</v>
      </c>
      <c r="J1423" t="str">
        <f>IF(0 = IFERROR(VLOOKUP(DBL_FullList!I1423, ContactsDbl!B:D, 2, FALSE), ""), "", IFERROR(VLOOKUP(DBL_FullList!I1423, ContactsDbl!B:D, 2, FALSE), ""))</f>
        <v>dbladmin_intl@sil.org</v>
      </c>
      <c r="K1423" t="str">
        <f>IF(0 = IFERROR(VLOOKUP(DBL_FullList!I1423,ContactsDbl!B:D, 3, FALSE), ""), "", IFERROR(VLOOKUP(DBL_FullList!I1423, ContactsDbl!B:D, 3, FALSE), ""))</f>
        <v>http://www.wycliffe.org</v>
      </c>
      <c r="L1423">
        <f t="shared" si="45"/>
        <v>2</v>
      </c>
    </row>
    <row r="1424" spans="1:12" x14ac:dyDescent="0.25">
      <c r="A1424" t="s">
        <v>7499</v>
      </c>
      <c r="B1424" t="str">
        <f>IF(ISERROR(VLOOKUP(F1424,STEP!A:A, 1, FALSE)), "N", "Y")</f>
        <v>N</v>
      </c>
      <c r="C1424" t="str">
        <f>IF(ISERROR(VLOOKUP(E1424, BibleInEveryLanguageTexts!A:A, 1, FALSE)), "N", "Y")</f>
        <v>Y</v>
      </c>
      <c r="D1424" t="str">
        <f t="shared" si="44"/>
        <v/>
      </c>
      <c r="E1424" t="s">
        <v>12</v>
      </c>
      <c r="F1424" t="s">
        <v>10</v>
      </c>
      <c r="G1424" t="s">
        <v>27</v>
      </c>
      <c r="H1424" t="s">
        <v>7500</v>
      </c>
      <c r="I1424" t="s">
        <v>3104</v>
      </c>
      <c r="J1424" t="str">
        <f>IF(0 = IFERROR(VLOOKUP(DBL_FullList!I1424, ContactsDbl!B:D, 2, FALSE), ""), "", IFERROR(VLOOKUP(DBL_FullList!I1424, ContactsDbl!B:D, 2, FALSE), ""))</f>
        <v/>
      </c>
      <c r="K1424" t="str">
        <f>IF(0 = IFERROR(VLOOKUP(DBL_FullList!I1424,ContactsDbl!B:D, 3, FALSE), ""), "", IFERROR(VLOOKUP(DBL_FullList!I1424, ContactsDbl!B:D, 3, FALSE), ""))</f>
        <v/>
      </c>
      <c r="L1424">
        <f t="shared" si="45"/>
        <v>0</v>
      </c>
    </row>
    <row r="1425" spans="1:12" x14ac:dyDescent="0.25">
      <c r="A1425" t="s">
        <v>7501</v>
      </c>
      <c r="B1425" t="str">
        <f>IF(ISERROR(VLOOKUP(F1425,STEP!A:A, 1, FALSE)), "N", "Y")</f>
        <v>N</v>
      </c>
      <c r="C1425" t="str">
        <f>IF(ISERROR(VLOOKUP(E1425, BibleInEveryLanguageTexts!A:A, 1, FALSE)), "N", "Y")</f>
        <v>N</v>
      </c>
      <c r="D1425" t="str">
        <f t="shared" si="44"/>
        <v>X</v>
      </c>
      <c r="E1425" t="s">
        <v>7502</v>
      </c>
      <c r="F1425" t="s">
        <v>7503</v>
      </c>
      <c r="G1425" t="s">
        <v>3133</v>
      </c>
      <c r="H1425" t="s">
        <v>7504</v>
      </c>
      <c r="I1425" t="s">
        <v>2661</v>
      </c>
      <c r="J1425" t="str">
        <f>IF(0 = IFERROR(VLOOKUP(DBL_FullList!I1425, ContactsDbl!B:D, 2, FALSE), ""), "", IFERROR(VLOOKUP(DBL_FullList!I1425, ContactsDbl!B:D, 2, FALSE), ""))</f>
        <v>dbladmin_intl@sil.org</v>
      </c>
      <c r="K1425" t="str">
        <f>IF(0 = IFERROR(VLOOKUP(DBL_FullList!I1425,ContactsDbl!B:D, 3, FALSE), ""), "", IFERROR(VLOOKUP(DBL_FullList!I1425, ContactsDbl!B:D, 3, FALSE), ""))</f>
        <v>http://www.wycliffe.org</v>
      </c>
      <c r="L1425">
        <f t="shared" si="45"/>
        <v>2</v>
      </c>
    </row>
    <row r="1426" spans="1:12" x14ac:dyDescent="0.25">
      <c r="A1426" t="s">
        <v>7505</v>
      </c>
      <c r="B1426" t="str">
        <f>IF(ISERROR(VLOOKUP(F1426,STEP!A:A, 1, FALSE)), "N", "Y")</f>
        <v>N</v>
      </c>
      <c r="C1426" t="str">
        <f>IF(ISERROR(VLOOKUP(E1426, BibleInEveryLanguageTexts!A:A, 1, FALSE)), "N", "Y")</f>
        <v>N</v>
      </c>
      <c r="D1426" t="str">
        <f t="shared" si="44"/>
        <v>X</v>
      </c>
      <c r="E1426" t="s">
        <v>7506</v>
      </c>
      <c r="F1426" t="s">
        <v>7507</v>
      </c>
      <c r="G1426" t="s">
        <v>48</v>
      </c>
      <c r="H1426" t="s">
        <v>7508</v>
      </c>
      <c r="I1426" t="s">
        <v>2661</v>
      </c>
      <c r="J1426" t="str">
        <f>IF(0 = IFERROR(VLOOKUP(DBL_FullList!I1426, ContactsDbl!B:D, 2, FALSE), ""), "", IFERROR(VLOOKUP(DBL_FullList!I1426, ContactsDbl!B:D, 2, FALSE), ""))</f>
        <v>dbladmin_intl@sil.org</v>
      </c>
      <c r="K1426" t="str">
        <f>IF(0 = IFERROR(VLOOKUP(DBL_FullList!I1426,ContactsDbl!B:D, 3, FALSE), ""), "", IFERROR(VLOOKUP(DBL_FullList!I1426, ContactsDbl!B:D, 3, FALSE), ""))</f>
        <v>http://www.wycliffe.org</v>
      </c>
      <c r="L1426">
        <f t="shared" si="45"/>
        <v>2</v>
      </c>
    </row>
    <row r="1427" spans="1:12" x14ac:dyDescent="0.25">
      <c r="A1427" t="s">
        <v>7509</v>
      </c>
      <c r="B1427" t="str">
        <f>IF(ISERROR(VLOOKUP(F1427,STEP!A:A, 1, FALSE)), "N", "Y")</f>
        <v>N</v>
      </c>
      <c r="C1427" t="str">
        <f>IF(ISERROR(VLOOKUP(E1427, BibleInEveryLanguageTexts!A:A, 1, FALSE)), "N", "Y")</f>
        <v>N</v>
      </c>
      <c r="D1427" t="str">
        <f t="shared" si="44"/>
        <v>X</v>
      </c>
      <c r="E1427" t="s">
        <v>7510</v>
      </c>
      <c r="F1427" t="s">
        <v>7511</v>
      </c>
      <c r="G1427" t="s">
        <v>2880</v>
      </c>
      <c r="H1427" t="s">
        <v>7512</v>
      </c>
      <c r="I1427" t="s">
        <v>2661</v>
      </c>
      <c r="J1427" t="str">
        <f>IF(0 = IFERROR(VLOOKUP(DBL_FullList!I1427, ContactsDbl!B:D, 2, FALSE), ""), "", IFERROR(VLOOKUP(DBL_FullList!I1427, ContactsDbl!B:D, 2, FALSE), ""))</f>
        <v>dbladmin_intl@sil.org</v>
      </c>
      <c r="K1427" t="str">
        <f>IF(0 = IFERROR(VLOOKUP(DBL_FullList!I1427,ContactsDbl!B:D, 3, FALSE), ""), "", IFERROR(VLOOKUP(DBL_FullList!I1427, ContactsDbl!B:D, 3, FALSE), ""))</f>
        <v>http://www.wycliffe.org</v>
      </c>
      <c r="L1427">
        <f t="shared" si="45"/>
        <v>2</v>
      </c>
    </row>
    <row r="1428" spans="1:12" x14ac:dyDescent="0.25">
      <c r="A1428" t="s">
        <v>7513</v>
      </c>
      <c r="B1428" t="str">
        <f>IF(ISERROR(VLOOKUP(F1428,STEP!A:A, 1, FALSE)), "N", "Y")</f>
        <v>N</v>
      </c>
      <c r="C1428" t="str">
        <f>IF(ISERROR(VLOOKUP(E1428, BibleInEveryLanguageTexts!A:A, 1, FALSE)), "N", "Y")</f>
        <v>N</v>
      </c>
      <c r="D1428" t="str">
        <f t="shared" si="44"/>
        <v>X</v>
      </c>
      <c r="E1428" t="s">
        <v>3477</v>
      </c>
      <c r="F1428" t="s">
        <v>3478</v>
      </c>
      <c r="G1428" t="s">
        <v>2815</v>
      </c>
      <c r="H1428" t="s">
        <v>7514</v>
      </c>
      <c r="I1428" t="s">
        <v>2362</v>
      </c>
      <c r="J1428" t="str">
        <f>IF(0 = IFERROR(VLOOKUP(DBL_FullList!I1428, ContactsDbl!B:D, 2, FALSE), ""), "", IFERROR(VLOOKUP(DBL_FullList!I1428, ContactsDbl!B:D, 2, FALSE), ""))</f>
        <v>muriuki@biblesociety-kenya.org</v>
      </c>
      <c r="K1428" t="str">
        <f>IF(0 = IFERROR(VLOOKUP(DBL_FullList!I1428,ContactsDbl!B:D, 3, FALSE), ""), "", IFERROR(VLOOKUP(DBL_FullList!I1428, ContactsDbl!B:D, 3, FALSE), ""))</f>
        <v>http://www.biblesociety-kenya.org/</v>
      </c>
      <c r="L1428">
        <f t="shared" si="45"/>
        <v>2</v>
      </c>
    </row>
    <row r="1429" spans="1:12" x14ac:dyDescent="0.25">
      <c r="A1429" t="s">
        <v>7515</v>
      </c>
      <c r="B1429" t="str">
        <f>IF(ISERROR(VLOOKUP(F1429,STEP!A:A, 1, FALSE)), "N", "Y")</f>
        <v>N</v>
      </c>
      <c r="C1429" t="str">
        <f>IF(ISERROR(VLOOKUP(E1429, BibleInEveryLanguageTexts!A:A, 1, FALSE)), "N", "Y")</f>
        <v>N</v>
      </c>
      <c r="D1429" t="str">
        <f t="shared" si="44"/>
        <v>X</v>
      </c>
      <c r="E1429" t="s">
        <v>7516</v>
      </c>
      <c r="F1429" t="s">
        <v>7517</v>
      </c>
      <c r="G1429" t="s">
        <v>2743</v>
      </c>
      <c r="H1429" t="s">
        <v>7518</v>
      </c>
      <c r="I1429" t="s">
        <v>2073</v>
      </c>
      <c r="J1429" t="str">
        <f>IF(0 = IFERROR(VLOOKUP(DBL_FullList!I1429, ContactsDbl!B:D, 2, FALSE), ""), "", IFERROR(VLOOKUP(DBL_FullList!I1429, ContactsDbl!B:D, 2, FALSE), ""))</f>
        <v>ajiboye@biblesociety-nigeria.org</v>
      </c>
      <c r="K1429" t="str">
        <f>IF(0 = IFERROR(VLOOKUP(DBL_FullList!I1429,ContactsDbl!B:D, 3, FALSE), ""), "", IFERROR(VLOOKUP(DBL_FullList!I1429, ContactsDbl!B:D, 3, FALSE), ""))</f>
        <v>http://www.biblesociety-nigeria.org/</v>
      </c>
      <c r="L1429">
        <f t="shared" si="45"/>
        <v>2</v>
      </c>
    </row>
    <row r="1430" spans="1:12" x14ac:dyDescent="0.25">
      <c r="A1430" t="s">
        <v>7519</v>
      </c>
      <c r="B1430" t="str">
        <f>IF(ISERROR(VLOOKUP(F1430,STEP!A:A, 1, FALSE)), "N", "Y")</f>
        <v>N</v>
      </c>
      <c r="C1430" t="str">
        <f>IF(ISERROR(VLOOKUP(E1430, BibleInEveryLanguageTexts!A:A, 1, FALSE)), "N", "Y")</f>
        <v>N</v>
      </c>
      <c r="D1430" t="str">
        <f t="shared" si="44"/>
        <v>X</v>
      </c>
      <c r="E1430" t="s">
        <v>7520</v>
      </c>
      <c r="F1430" t="s">
        <v>7521</v>
      </c>
      <c r="G1430" t="s">
        <v>3644</v>
      </c>
      <c r="H1430" t="s">
        <v>7522</v>
      </c>
      <c r="I1430" t="s">
        <v>2661</v>
      </c>
      <c r="J1430" t="str">
        <f>IF(0 = IFERROR(VLOOKUP(DBL_FullList!I1430, ContactsDbl!B:D, 2, FALSE), ""), "", IFERROR(VLOOKUP(DBL_FullList!I1430, ContactsDbl!B:D, 2, FALSE), ""))</f>
        <v>dbladmin_intl@sil.org</v>
      </c>
      <c r="K1430" t="str">
        <f>IF(0 = IFERROR(VLOOKUP(DBL_FullList!I1430,ContactsDbl!B:D, 3, FALSE), ""), "", IFERROR(VLOOKUP(DBL_FullList!I1430, ContactsDbl!B:D, 3, FALSE), ""))</f>
        <v>http://www.wycliffe.org</v>
      </c>
      <c r="L1430">
        <f t="shared" si="45"/>
        <v>2</v>
      </c>
    </row>
    <row r="1431" spans="1:12" x14ac:dyDescent="0.25">
      <c r="A1431" t="s">
        <v>7523</v>
      </c>
      <c r="B1431" t="str">
        <f>IF(ISERROR(VLOOKUP(F1431,STEP!A:A, 1, FALSE)), "N", "Y")</f>
        <v>N</v>
      </c>
      <c r="C1431" t="str">
        <f>IF(ISERROR(VLOOKUP(E1431, BibleInEveryLanguageTexts!A:A, 1, FALSE)), "N", "Y")</f>
        <v>N</v>
      </c>
      <c r="D1431" t="str">
        <f t="shared" si="44"/>
        <v>X</v>
      </c>
      <c r="E1431" t="s">
        <v>7524</v>
      </c>
      <c r="F1431" t="s">
        <v>7525</v>
      </c>
      <c r="G1431" t="s">
        <v>4200</v>
      </c>
      <c r="H1431" t="s">
        <v>7526</v>
      </c>
      <c r="I1431" t="s">
        <v>2452</v>
      </c>
      <c r="J1431" t="str">
        <f>IF(0 = IFERROR(VLOOKUP(DBL_FullList!I1431, ContactsDbl!B:D, 2, FALSE), ""), "", IFERROR(VLOOKUP(DBL_FullList!I1431, ContactsDbl!B:D, 2, FALSE), ""))</f>
        <v>bsmalawi-dbl@biblesocieties.org</v>
      </c>
      <c r="K1431" t="str">
        <f>IF(0 = IFERROR(VLOOKUP(DBL_FullList!I1431,ContactsDbl!B:D, 3, FALSE), ""), "", IFERROR(VLOOKUP(DBL_FullList!I1431, ContactsDbl!B:D, 3, FALSE), ""))</f>
        <v>http://www.biblesociety-malawi.org/</v>
      </c>
      <c r="L1431">
        <f t="shared" si="45"/>
        <v>2</v>
      </c>
    </row>
    <row r="1432" spans="1:12" x14ac:dyDescent="0.25">
      <c r="A1432" t="s">
        <v>7527</v>
      </c>
      <c r="B1432" t="str">
        <f>IF(ISERROR(VLOOKUP(F1432,STEP!A:A, 1, FALSE)), "N", "Y")</f>
        <v>N</v>
      </c>
      <c r="C1432" t="str">
        <f>IF(ISERROR(VLOOKUP(E1432, BibleInEveryLanguageTexts!A:A, 1, FALSE)), "N", "Y")</f>
        <v>N</v>
      </c>
      <c r="D1432" t="str">
        <f t="shared" si="44"/>
        <v>X</v>
      </c>
      <c r="E1432" t="s">
        <v>7528</v>
      </c>
      <c r="F1432" t="s">
        <v>7529</v>
      </c>
      <c r="G1432" t="s">
        <v>2723</v>
      </c>
      <c r="H1432" t="s">
        <v>7530</v>
      </c>
      <c r="I1432" t="s">
        <v>2661</v>
      </c>
      <c r="J1432" t="str">
        <f>IF(0 = IFERROR(VLOOKUP(DBL_FullList!I1432, ContactsDbl!B:D, 2, FALSE), ""), "", IFERROR(VLOOKUP(DBL_FullList!I1432, ContactsDbl!B:D, 2, FALSE), ""))</f>
        <v>dbladmin_intl@sil.org</v>
      </c>
      <c r="K1432" t="str">
        <f>IF(0 = IFERROR(VLOOKUP(DBL_FullList!I1432,ContactsDbl!B:D, 3, FALSE), ""), "", IFERROR(VLOOKUP(DBL_FullList!I1432, ContactsDbl!B:D, 3, FALSE), ""))</f>
        <v>http://www.wycliffe.org</v>
      </c>
      <c r="L1432">
        <f t="shared" si="45"/>
        <v>2</v>
      </c>
    </row>
    <row r="1433" spans="1:12" x14ac:dyDescent="0.25">
      <c r="A1433" t="s">
        <v>7531</v>
      </c>
      <c r="B1433" t="str">
        <f>IF(ISERROR(VLOOKUP(F1433,STEP!A:A, 1, FALSE)), "N", "Y")</f>
        <v>N</v>
      </c>
      <c r="C1433" t="str">
        <f>IF(ISERROR(VLOOKUP(E1433, BibleInEveryLanguageTexts!A:A, 1, FALSE)), "N", "Y")</f>
        <v>N</v>
      </c>
      <c r="D1433" t="str">
        <f t="shared" si="44"/>
        <v>X</v>
      </c>
      <c r="E1433" t="s">
        <v>3362</v>
      </c>
      <c r="F1433" t="s">
        <v>3363</v>
      </c>
      <c r="G1433" t="s">
        <v>2733</v>
      </c>
      <c r="H1433" t="s">
        <v>7532</v>
      </c>
      <c r="I1433" t="s">
        <v>2661</v>
      </c>
      <c r="J1433" t="str">
        <f>IF(0 = IFERROR(VLOOKUP(DBL_FullList!I1433, ContactsDbl!B:D, 2, FALSE), ""), "", IFERROR(VLOOKUP(DBL_FullList!I1433, ContactsDbl!B:D, 2, FALSE), ""))</f>
        <v>dbladmin_intl@sil.org</v>
      </c>
      <c r="K1433" t="str">
        <f>IF(0 = IFERROR(VLOOKUP(DBL_FullList!I1433,ContactsDbl!B:D, 3, FALSE), ""), "", IFERROR(VLOOKUP(DBL_FullList!I1433, ContactsDbl!B:D, 3, FALSE), ""))</f>
        <v>http://www.wycliffe.org</v>
      </c>
      <c r="L1433">
        <f t="shared" si="45"/>
        <v>2</v>
      </c>
    </row>
    <row r="1434" spans="1:12" x14ac:dyDescent="0.25">
      <c r="A1434" t="s">
        <v>7533</v>
      </c>
      <c r="B1434" t="str">
        <f>IF(ISERROR(VLOOKUP(F1434,STEP!A:A, 1, FALSE)), "N", "Y")</f>
        <v>N</v>
      </c>
      <c r="C1434" t="str">
        <f>IF(ISERROR(VLOOKUP(E1434, BibleInEveryLanguageTexts!A:A, 1, FALSE)), "N", "Y")</f>
        <v>N</v>
      </c>
      <c r="D1434" t="str">
        <f t="shared" si="44"/>
        <v>X</v>
      </c>
      <c r="E1434" t="s">
        <v>7534</v>
      </c>
      <c r="F1434" t="s">
        <v>3502</v>
      </c>
      <c r="G1434" t="s">
        <v>3133</v>
      </c>
      <c r="H1434" t="s">
        <v>7535</v>
      </c>
      <c r="I1434" t="s">
        <v>2661</v>
      </c>
      <c r="J1434" t="str">
        <f>IF(0 = IFERROR(VLOOKUP(DBL_FullList!I1434, ContactsDbl!B:D, 2, FALSE), ""), "", IFERROR(VLOOKUP(DBL_FullList!I1434, ContactsDbl!B:D, 2, FALSE), ""))</f>
        <v>dbladmin_intl@sil.org</v>
      </c>
      <c r="K1434" t="str">
        <f>IF(0 = IFERROR(VLOOKUP(DBL_FullList!I1434,ContactsDbl!B:D, 3, FALSE), ""), "", IFERROR(VLOOKUP(DBL_FullList!I1434, ContactsDbl!B:D, 3, FALSE), ""))</f>
        <v>http://www.wycliffe.org</v>
      </c>
      <c r="L1434">
        <f t="shared" si="45"/>
        <v>2</v>
      </c>
    </row>
    <row r="1435" spans="1:12" x14ac:dyDescent="0.25">
      <c r="A1435" t="s">
        <v>7536</v>
      </c>
      <c r="B1435" t="str">
        <f>IF(ISERROR(VLOOKUP(F1435,STEP!A:A, 1, FALSE)), "N", "Y")</f>
        <v>N</v>
      </c>
      <c r="C1435" t="str">
        <f>IF(ISERROR(VLOOKUP(E1435, BibleInEveryLanguageTexts!A:A, 1, FALSE)), "N", "Y")</f>
        <v>N</v>
      </c>
      <c r="D1435" t="str">
        <f t="shared" si="44"/>
        <v>X</v>
      </c>
      <c r="E1435" t="s">
        <v>7537</v>
      </c>
      <c r="F1435" t="s">
        <v>7538</v>
      </c>
      <c r="G1435" t="s">
        <v>2756</v>
      </c>
      <c r="H1435" t="s">
        <v>7539</v>
      </c>
      <c r="I1435" t="s">
        <v>2661</v>
      </c>
      <c r="J1435" t="str">
        <f>IF(0 = IFERROR(VLOOKUP(DBL_FullList!I1435, ContactsDbl!B:D, 2, FALSE), ""), "", IFERROR(VLOOKUP(DBL_FullList!I1435, ContactsDbl!B:D, 2, FALSE), ""))</f>
        <v>dbladmin_intl@sil.org</v>
      </c>
      <c r="K1435" t="str">
        <f>IF(0 = IFERROR(VLOOKUP(DBL_FullList!I1435,ContactsDbl!B:D, 3, FALSE), ""), "", IFERROR(VLOOKUP(DBL_FullList!I1435, ContactsDbl!B:D, 3, FALSE), ""))</f>
        <v>http://www.wycliffe.org</v>
      </c>
      <c r="L1435">
        <f t="shared" si="45"/>
        <v>2</v>
      </c>
    </row>
    <row r="1436" spans="1:12" x14ac:dyDescent="0.25">
      <c r="A1436" t="s">
        <v>7540</v>
      </c>
      <c r="B1436" t="str">
        <f>IF(ISERROR(VLOOKUP(F1436,STEP!A:A, 1, FALSE)), "N", "Y")</f>
        <v>N</v>
      </c>
      <c r="C1436" t="str">
        <f>IF(ISERROR(VLOOKUP(E1436, BibleInEveryLanguageTexts!A:A, 1, FALSE)), "N", "Y")</f>
        <v>N</v>
      </c>
      <c r="D1436" t="str">
        <f t="shared" si="44"/>
        <v>X</v>
      </c>
      <c r="E1436" t="s">
        <v>7541</v>
      </c>
      <c r="F1436" t="s">
        <v>7542</v>
      </c>
      <c r="G1436" t="s">
        <v>2880</v>
      </c>
      <c r="H1436" t="s">
        <v>7543</v>
      </c>
      <c r="I1436" t="s">
        <v>2661</v>
      </c>
      <c r="J1436" t="str">
        <f>IF(0 = IFERROR(VLOOKUP(DBL_FullList!I1436, ContactsDbl!B:D, 2, FALSE), ""), "", IFERROR(VLOOKUP(DBL_FullList!I1436, ContactsDbl!B:D, 2, FALSE), ""))</f>
        <v>dbladmin_intl@sil.org</v>
      </c>
      <c r="K1436" t="str">
        <f>IF(0 = IFERROR(VLOOKUP(DBL_FullList!I1436,ContactsDbl!B:D, 3, FALSE), ""), "", IFERROR(VLOOKUP(DBL_FullList!I1436, ContactsDbl!B:D, 3, FALSE), ""))</f>
        <v>http://www.wycliffe.org</v>
      </c>
      <c r="L1436">
        <f t="shared" si="45"/>
        <v>2</v>
      </c>
    </row>
    <row r="1437" spans="1:12" x14ac:dyDescent="0.25">
      <c r="A1437" t="s">
        <v>7544</v>
      </c>
      <c r="B1437" t="str">
        <f>IF(ISERROR(VLOOKUP(F1437,STEP!A:A, 1, FALSE)), "N", "Y")</f>
        <v>N</v>
      </c>
      <c r="C1437" t="str">
        <f>IF(ISERROR(VLOOKUP(E1437, BibleInEveryLanguageTexts!A:A, 1, FALSE)), "N", "Y")</f>
        <v>N</v>
      </c>
      <c r="D1437" t="str">
        <f t="shared" si="44"/>
        <v>X</v>
      </c>
      <c r="E1437" t="s">
        <v>7545</v>
      </c>
      <c r="F1437" t="s">
        <v>7546</v>
      </c>
      <c r="G1437" t="s">
        <v>48</v>
      </c>
      <c r="H1437" t="s">
        <v>7547</v>
      </c>
      <c r="I1437" t="s">
        <v>2661</v>
      </c>
      <c r="J1437" t="str">
        <f>IF(0 = IFERROR(VLOOKUP(DBL_FullList!I1437, ContactsDbl!B:D, 2, FALSE), ""), "", IFERROR(VLOOKUP(DBL_FullList!I1437, ContactsDbl!B:D, 2, FALSE), ""))</f>
        <v>dbladmin_intl@sil.org</v>
      </c>
      <c r="K1437" t="str">
        <f>IF(0 = IFERROR(VLOOKUP(DBL_FullList!I1437,ContactsDbl!B:D, 3, FALSE), ""), "", IFERROR(VLOOKUP(DBL_FullList!I1437, ContactsDbl!B:D, 3, FALSE), ""))</f>
        <v>http://www.wycliffe.org</v>
      </c>
      <c r="L1437">
        <f t="shared" si="45"/>
        <v>2</v>
      </c>
    </row>
    <row r="1438" spans="1:12" x14ac:dyDescent="0.25">
      <c r="A1438" t="s">
        <v>7548</v>
      </c>
      <c r="B1438" t="str">
        <f>IF(ISERROR(VLOOKUP(F1438,STEP!A:A, 1, FALSE)), "N", "Y")</f>
        <v>N</v>
      </c>
      <c r="C1438" t="str">
        <f>IF(ISERROR(VLOOKUP(E1438, BibleInEveryLanguageTexts!A:A, 1, FALSE)), "N", "Y")</f>
        <v>N</v>
      </c>
      <c r="D1438" t="str">
        <f t="shared" si="44"/>
        <v>X</v>
      </c>
      <c r="E1438" t="s">
        <v>7549</v>
      </c>
      <c r="F1438" t="s">
        <v>7550</v>
      </c>
      <c r="G1438" t="s">
        <v>4588</v>
      </c>
      <c r="H1438" t="s">
        <v>7551</v>
      </c>
      <c r="I1438" t="s">
        <v>2459</v>
      </c>
      <c r="J1438" t="str">
        <f>IF(0 = IFERROR(VLOOKUP(DBL_FullList!I1438, ContactsDbl!B:D, 2, FALSE), ""), "", IFERROR(VLOOKUP(DBL_FullList!I1438, ContactsDbl!B:D, 2, FALSE), ""))</f>
        <v>gensec@nambible.org.na</v>
      </c>
      <c r="K1438" t="str">
        <f>IF(0 = IFERROR(VLOOKUP(DBL_FullList!I1438,ContactsDbl!B:D, 3, FALSE), ""), "", IFERROR(VLOOKUP(DBL_FullList!I1438, ContactsDbl!B:D, 3, FALSE), ""))</f>
        <v>http://www.nambible.org.na</v>
      </c>
      <c r="L1438">
        <f t="shared" si="45"/>
        <v>2</v>
      </c>
    </row>
    <row r="1439" spans="1:12" x14ac:dyDescent="0.25">
      <c r="A1439" t="s">
        <v>7552</v>
      </c>
      <c r="B1439" t="str">
        <f>IF(ISERROR(VLOOKUP(F1439,STEP!A:A, 1, FALSE)), "N", "Y")</f>
        <v>N</v>
      </c>
      <c r="C1439" t="str">
        <f>IF(ISERROR(VLOOKUP(E1439, BibleInEveryLanguageTexts!A:A, 1, FALSE)), "N", "Y")</f>
        <v>N</v>
      </c>
      <c r="D1439" t="str">
        <f t="shared" si="44"/>
        <v>X</v>
      </c>
      <c r="E1439" t="s">
        <v>3978</v>
      </c>
      <c r="F1439" t="s">
        <v>3979</v>
      </c>
      <c r="G1439" t="s">
        <v>2848</v>
      </c>
      <c r="H1439" t="s">
        <v>7553</v>
      </c>
      <c r="I1439" t="s">
        <v>2661</v>
      </c>
      <c r="J1439" t="str">
        <f>IF(0 = IFERROR(VLOOKUP(DBL_FullList!I1439, ContactsDbl!B:D, 2, FALSE), ""), "", IFERROR(VLOOKUP(DBL_FullList!I1439, ContactsDbl!B:D, 2, FALSE), ""))</f>
        <v>dbladmin_intl@sil.org</v>
      </c>
      <c r="K1439" t="str">
        <f>IF(0 = IFERROR(VLOOKUP(DBL_FullList!I1439,ContactsDbl!B:D, 3, FALSE), ""), "", IFERROR(VLOOKUP(DBL_FullList!I1439, ContactsDbl!B:D, 3, FALSE), ""))</f>
        <v>http://www.wycliffe.org</v>
      </c>
      <c r="L1439">
        <f t="shared" si="45"/>
        <v>2</v>
      </c>
    </row>
    <row r="1440" spans="1:12" x14ac:dyDescent="0.25">
      <c r="A1440" t="s">
        <v>7554</v>
      </c>
      <c r="B1440" t="str">
        <f>IF(ISERROR(VLOOKUP(F1440,STEP!A:A, 1, FALSE)), "N", "Y")</f>
        <v>N</v>
      </c>
      <c r="C1440" t="str">
        <f>IF(ISERROR(VLOOKUP(E1440, BibleInEveryLanguageTexts!A:A, 1, FALSE)), "N", "Y")</f>
        <v>N</v>
      </c>
      <c r="D1440" t="str">
        <f t="shared" si="44"/>
        <v>X</v>
      </c>
      <c r="E1440" t="s">
        <v>7555</v>
      </c>
      <c r="F1440" t="s">
        <v>7556</v>
      </c>
      <c r="G1440" t="s">
        <v>2880</v>
      </c>
      <c r="H1440" t="s">
        <v>7557</v>
      </c>
      <c r="I1440" t="s">
        <v>2661</v>
      </c>
      <c r="J1440" t="str">
        <f>IF(0 = IFERROR(VLOOKUP(DBL_FullList!I1440, ContactsDbl!B:D, 2, FALSE), ""), "", IFERROR(VLOOKUP(DBL_FullList!I1440, ContactsDbl!B:D, 2, FALSE), ""))</f>
        <v>dbladmin_intl@sil.org</v>
      </c>
      <c r="K1440" t="str">
        <f>IF(0 = IFERROR(VLOOKUP(DBL_FullList!I1440,ContactsDbl!B:D, 3, FALSE), ""), "", IFERROR(VLOOKUP(DBL_FullList!I1440, ContactsDbl!B:D, 3, FALSE), ""))</f>
        <v>http://www.wycliffe.org</v>
      </c>
      <c r="L1440">
        <f t="shared" si="45"/>
        <v>2</v>
      </c>
    </row>
    <row r="1441" spans="1:12" x14ac:dyDescent="0.25">
      <c r="A1441" t="s">
        <v>7558</v>
      </c>
      <c r="B1441" t="str">
        <f>IF(ISERROR(VLOOKUP(F1441,STEP!A:A, 1, FALSE)), "N", "Y")</f>
        <v>Y</v>
      </c>
      <c r="C1441" t="str">
        <f>IF(ISERROR(VLOOKUP(E1441, BibleInEveryLanguageTexts!A:A, 1, FALSE)), "N", "Y")</f>
        <v>N</v>
      </c>
      <c r="D1441" t="str">
        <f t="shared" si="44"/>
        <v/>
      </c>
      <c r="E1441" t="s">
        <v>7559</v>
      </c>
      <c r="F1441" t="s">
        <v>7560</v>
      </c>
      <c r="G1441" t="s">
        <v>48</v>
      </c>
      <c r="H1441" t="s">
        <v>7561</v>
      </c>
      <c r="I1441" t="s">
        <v>2661</v>
      </c>
      <c r="J1441" t="str">
        <f>IF(0 = IFERROR(VLOOKUP(DBL_FullList!I1441, ContactsDbl!B:D, 2, FALSE), ""), "", IFERROR(VLOOKUP(DBL_FullList!I1441, ContactsDbl!B:D, 2, FALSE), ""))</f>
        <v>dbladmin_intl@sil.org</v>
      </c>
      <c r="K1441" t="str">
        <f>IF(0 = IFERROR(VLOOKUP(DBL_FullList!I1441,ContactsDbl!B:D, 3, FALSE), ""), "", IFERROR(VLOOKUP(DBL_FullList!I1441, ContactsDbl!B:D, 3, FALSE), ""))</f>
        <v>http://www.wycliffe.org</v>
      </c>
      <c r="L1441">
        <f t="shared" si="45"/>
        <v>2</v>
      </c>
    </row>
    <row r="1442" spans="1:12" x14ac:dyDescent="0.25">
      <c r="A1442" t="s">
        <v>7562</v>
      </c>
      <c r="B1442" t="str">
        <f>IF(ISERROR(VLOOKUP(F1442,STEP!A:A, 1, FALSE)), "N", "Y")</f>
        <v>N</v>
      </c>
      <c r="C1442" t="str">
        <f>IF(ISERROR(VLOOKUP(E1442, BibleInEveryLanguageTexts!A:A, 1, FALSE)), "N", "Y")</f>
        <v>N</v>
      </c>
      <c r="D1442" t="str">
        <f t="shared" si="44"/>
        <v>X</v>
      </c>
      <c r="E1442" t="s">
        <v>7563</v>
      </c>
      <c r="F1442" t="s">
        <v>7564</v>
      </c>
      <c r="G1442" t="s">
        <v>2833</v>
      </c>
      <c r="H1442" t="s">
        <v>7565</v>
      </c>
      <c r="I1442" t="s">
        <v>2661</v>
      </c>
      <c r="J1442" t="str">
        <f>IF(0 = IFERROR(VLOOKUP(DBL_FullList!I1442, ContactsDbl!B:D, 2, FALSE), ""), "", IFERROR(VLOOKUP(DBL_FullList!I1442, ContactsDbl!B:D, 2, FALSE), ""))</f>
        <v>dbladmin_intl@sil.org</v>
      </c>
      <c r="K1442" t="str">
        <f>IF(0 = IFERROR(VLOOKUP(DBL_FullList!I1442,ContactsDbl!B:D, 3, FALSE), ""), "", IFERROR(VLOOKUP(DBL_FullList!I1442, ContactsDbl!B:D, 3, FALSE), ""))</f>
        <v>http://www.wycliffe.org</v>
      </c>
      <c r="L1442">
        <f t="shared" si="45"/>
        <v>2</v>
      </c>
    </row>
    <row r="1443" spans="1:12" x14ac:dyDescent="0.25">
      <c r="A1443" t="s">
        <v>7566</v>
      </c>
      <c r="B1443" t="str">
        <f>IF(ISERROR(VLOOKUP(F1443,STEP!A:A, 1, FALSE)), "N", "Y")</f>
        <v>N</v>
      </c>
      <c r="C1443" t="str">
        <f>IF(ISERROR(VLOOKUP(E1443, BibleInEveryLanguageTexts!A:A, 1, FALSE)), "N", "Y")</f>
        <v>N</v>
      </c>
      <c r="D1443" t="str">
        <f t="shared" si="44"/>
        <v>X</v>
      </c>
      <c r="E1443" t="s">
        <v>2966</v>
      </c>
      <c r="F1443" t="s">
        <v>2967</v>
      </c>
      <c r="G1443" t="s">
        <v>2880</v>
      </c>
      <c r="H1443" t="s">
        <v>7567</v>
      </c>
      <c r="I1443" t="s">
        <v>2661</v>
      </c>
      <c r="J1443" t="str">
        <f>IF(0 = IFERROR(VLOOKUP(DBL_FullList!I1443, ContactsDbl!B:D, 2, FALSE), ""), "", IFERROR(VLOOKUP(DBL_FullList!I1443, ContactsDbl!B:D, 2, FALSE), ""))</f>
        <v>dbladmin_intl@sil.org</v>
      </c>
      <c r="K1443" t="str">
        <f>IF(0 = IFERROR(VLOOKUP(DBL_FullList!I1443,ContactsDbl!B:D, 3, FALSE), ""), "", IFERROR(VLOOKUP(DBL_FullList!I1443, ContactsDbl!B:D, 3, FALSE), ""))</f>
        <v>http://www.wycliffe.org</v>
      </c>
      <c r="L1443">
        <f t="shared" si="45"/>
        <v>2</v>
      </c>
    </row>
    <row r="1444" spans="1:12" x14ac:dyDescent="0.25">
      <c r="A1444" t="s">
        <v>7568</v>
      </c>
      <c r="B1444" t="str">
        <f>IF(ISERROR(VLOOKUP(F1444,STEP!A:A, 1, FALSE)), "N", "Y")</f>
        <v>Y</v>
      </c>
      <c r="C1444" t="str">
        <f>IF(ISERROR(VLOOKUP(E1444, BibleInEveryLanguageTexts!A:A, 1, FALSE)), "N", "Y")</f>
        <v>N</v>
      </c>
      <c r="D1444" t="str">
        <f t="shared" si="44"/>
        <v/>
      </c>
      <c r="E1444" t="s">
        <v>7569</v>
      </c>
      <c r="F1444" t="s">
        <v>7570</v>
      </c>
      <c r="G1444" t="s">
        <v>48</v>
      </c>
      <c r="H1444" t="s">
        <v>7571</v>
      </c>
      <c r="I1444" t="s">
        <v>2661</v>
      </c>
      <c r="J1444" t="str">
        <f>IF(0 = IFERROR(VLOOKUP(DBL_FullList!I1444, ContactsDbl!B:D, 2, FALSE), ""), "", IFERROR(VLOOKUP(DBL_FullList!I1444, ContactsDbl!B:D, 2, FALSE), ""))</f>
        <v>dbladmin_intl@sil.org</v>
      </c>
      <c r="K1444" t="str">
        <f>IF(0 = IFERROR(VLOOKUP(DBL_FullList!I1444,ContactsDbl!B:D, 3, FALSE), ""), "", IFERROR(VLOOKUP(DBL_FullList!I1444, ContactsDbl!B:D, 3, FALSE), ""))</f>
        <v>http://www.wycliffe.org</v>
      </c>
      <c r="L1444">
        <f t="shared" si="45"/>
        <v>2</v>
      </c>
    </row>
    <row r="1445" spans="1:12" x14ac:dyDescent="0.25">
      <c r="A1445" t="s">
        <v>7572</v>
      </c>
      <c r="B1445" t="str">
        <f>IF(ISERROR(VLOOKUP(F1445,STEP!A:A, 1, FALSE)), "N", "Y")</f>
        <v>N</v>
      </c>
      <c r="C1445" t="str">
        <f>IF(ISERROR(VLOOKUP(E1445, BibleInEveryLanguageTexts!A:A, 1, FALSE)), "N", "Y")</f>
        <v>N</v>
      </c>
      <c r="D1445" t="str">
        <f t="shared" si="44"/>
        <v>X</v>
      </c>
      <c r="E1445" t="s">
        <v>7573</v>
      </c>
      <c r="F1445" t="s">
        <v>7574</v>
      </c>
      <c r="G1445" t="s">
        <v>3181</v>
      </c>
      <c r="H1445" t="s">
        <v>7575</v>
      </c>
      <c r="I1445" t="s">
        <v>2661</v>
      </c>
      <c r="J1445" t="str">
        <f>IF(0 = IFERROR(VLOOKUP(DBL_FullList!I1445, ContactsDbl!B:D, 2, FALSE), ""), "", IFERROR(VLOOKUP(DBL_FullList!I1445, ContactsDbl!B:D, 2, FALSE), ""))</f>
        <v>dbladmin_intl@sil.org</v>
      </c>
      <c r="K1445" t="str">
        <f>IF(0 = IFERROR(VLOOKUP(DBL_FullList!I1445,ContactsDbl!B:D, 3, FALSE), ""), "", IFERROR(VLOOKUP(DBL_FullList!I1445, ContactsDbl!B:D, 3, FALSE), ""))</f>
        <v>http://www.wycliffe.org</v>
      </c>
      <c r="L1445">
        <f t="shared" si="45"/>
        <v>2</v>
      </c>
    </row>
    <row r="1446" spans="1:12" x14ac:dyDescent="0.25">
      <c r="A1446" t="s">
        <v>7576</v>
      </c>
      <c r="B1446" t="str">
        <f>IF(ISERROR(VLOOKUP(F1446,STEP!A:A, 1, FALSE)), "N", "Y")</f>
        <v>N</v>
      </c>
      <c r="C1446" t="str">
        <f>IF(ISERROR(VLOOKUP(E1446, BibleInEveryLanguageTexts!A:A, 1, FALSE)), "N", "Y")</f>
        <v>N</v>
      </c>
      <c r="D1446" t="str">
        <f t="shared" si="44"/>
        <v>X</v>
      </c>
      <c r="E1446" t="s">
        <v>7577</v>
      </c>
      <c r="F1446" t="s">
        <v>7578</v>
      </c>
      <c r="G1446" t="s">
        <v>2923</v>
      </c>
      <c r="H1446" t="s">
        <v>7579</v>
      </c>
      <c r="I1446" t="s">
        <v>2091</v>
      </c>
      <c r="J1446" t="str">
        <f>IF(0 = IFERROR(VLOOKUP(DBL_FullList!I1446, ContactsDbl!B:D, 2, FALSE), ""), "", IFERROR(VLOOKUP(DBL_FullList!I1446, ContactsDbl!B:D, 2, FALSE), ""))</f>
        <v>geldenhuys@biblesociety.co.za</v>
      </c>
      <c r="K1446" t="str">
        <f>IF(0 = IFERROR(VLOOKUP(DBL_FullList!I1446,ContactsDbl!B:D, 3, FALSE), ""), "", IFERROR(VLOOKUP(DBL_FullList!I1446, ContactsDbl!B:D, 3, FALSE), ""))</f>
        <v>http://www.biblesociety.co.za/</v>
      </c>
      <c r="L1446">
        <f t="shared" si="45"/>
        <v>2</v>
      </c>
    </row>
    <row r="1447" spans="1:12" x14ac:dyDescent="0.25">
      <c r="A1447" t="s">
        <v>7580</v>
      </c>
      <c r="B1447" t="str">
        <f>IF(ISERROR(VLOOKUP(F1447,STEP!A:A, 1, FALSE)), "N", "Y")</f>
        <v>N</v>
      </c>
      <c r="C1447" t="str">
        <f>IF(ISERROR(VLOOKUP(E1447, BibleInEveryLanguageTexts!A:A, 1, FALSE)), "N", "Y")</f>
        <v>N</v>
      </c>
      <c r="D1447" t="str">
        <f t="shared" si="44"/>
        <v>X</v>
      </c>
      <c r="E1447" t="s">
        <v>7581</v>
      </c>
      <c r="F1447" t="s">
        <v>7582</v>
      </c>
      <c r="G1447" t="s">
        <v>3751</v>
      </c>
      <c r="H1447" t="s">
        <v>7583</v>
      </c>
      <c r="I1447" t="s">
        <v>2576</v>
      </c>
      <c r="J1447" t="str">
        <f>IF(0 = IFERROR(VLOOKUP(DBL_FullList!I1447, ContactsDbl!B:D, 2, FALSE), ""), "", IFERROR(VLOOKUP(DBL_FullList!I1447, ContactsDbl!B:D, 2, FALSE), ""))</f>
        <v>pierre.barassounon@sim.org</v>
      </c>
      <c r="K1447" t="str">
        <f>IF(0 = IFERROR(VLOOKUP(DBL_FullList!I1447,ContactsDbl!B:D, 3, FALSE), ""), "", IFERROR(VLOOKUP(DBL_FullList!I1447, ContactsDbl!B:D, 3, FALSE), ""))</f>
        <v>www.sim.org</v>
      </c>
      <c r="L1447">
        <f t="shared" si="45"/>
        <v>2</v>
      </c>
    </row>
    <row r="1448" spans="1:12" x14ac:dyDescent="0.25">
      <c r="A1448" t="s">
        <v>7584</v>
      </c>
      <c r="B1448" t="str">
        <f>IF(ISERROR(VLOOKUP(F1448,STEP!A:A, 1, FALSE)), "N", "Y")</f>
        <v>Y</v>
      </c>
      <c r="C1448" t="str">
        <f>IF(ISERROR(VLOOKUP(E1448, BibleInEveryLanguageTexts!A:A, 1, FALSE)), "N", "Y")</f>
        <v>N</v>
      </c>
      <c r="D1448" t="str">
        <f t="shared" si="44"/>
        <v/>
      </c>
      <c r="E1448" t="s">
        <v>7585</v>
      </c>
      <c r="F1448" t="s">
        <v>7586</v>
      </c>
      <c r="G1448" t="s">
        <v>48</v>
      </c>
      <c r="H1448" t="s">
        <v>7587</v>
      </c>
      <c r="I1448" t="s">
        <v>2661</v>
      </c>
      <c r="J1448" t="str">
        <f>IF(0 = IFERROR(VLOOKUP(DBL_FullList!I1448, ContactsDbl!B:D, 2, FALSE), ""), "", IFERROR(VLOOKUP(DBL_FullList!I1448, ContactsDbl!B:D, 2, FALSE), ""))</f>
        <v>dbladmin_intl@sil.org</v>
      </c>
      <c r="K1448" t="str">
        <f>IF(0 = IFERROR(VLOOKUP(DBL_FullList!I1448,ContactsDbl!B:D, 3, FALSE), ""), "", IFERROR(VLOOKUP(DBL_FullList!I1448, ContactsDbl!B:D, 3, FALSE), ""))</f>
        <v>http://www.wycliffe.org</v>
      </c>
      <c r="L1448">
        <f t="shared" si="45"/>
        <v>2</v>
      </c>
    </row>
    <row r="1449" spans="1:12" x14ac:dyDescent="0.25">
      <c r="A1449" t="s">
        <v>7588</v>
      </c>
      <c r="B1449" t="str">
        <f>IF(ISERROR(VLOOKUP(F1449,STEP!A:A, 1, FALSE)), "N", "Y")</f>
        <v>N</v>
      </c>
      <c r="C1449" t="str">
        <f>IF(ISERROR(VLOOKUP(E1449, BibleInEveryLanguageTexts!A:A, 1, FALSE)), "N", "Y")</f>
        <v>N</v>
      </c>
      <c r="D1449" t="str">
        <f t="shared" si="44"/>
        <v>X</v>
      </c>
      <c r="E1449" t="s">
        <v>7589</v>
      </c>
      <c r="F1449" t="s">
        <v>7590</v>
      </c>
      <c r="G1449" t="s">
        <v>5055</v>
      </c>
      <c r="H1449" t="s">
        <v>7591</v>
      </c>
      <c r="I1449" t="s">
        <v>5057</v>
      </c>
      <c r="J1449" t="str">
        <f>IF(0 = IFERROR(VLOOKUP(DBL_FullList!I1449, ContactsDbl!B:D, 2, FALSE), ""), "", IFERROR(VLOOKUP(DBL_FullList!I1449, ContactsDbl!B:D, 2, FALSE), ""))</f>
        <v/>
      </c>
      <c r="K1449" t="str">
        <f>IF(0 = IFERROR(VLOOKUP(DBL_FullList!I1449,ContactsDbl!B:D, 3, FALSE), ""), "", IFERROR(VLOOKUP(DBL_FullList!I1449, ContactsDbl!B:D, 3, FALSE), ""))</f>
        <v/>
      </c>
      <c r="L1449">
        <f t="shared" si="45"/>
        <v>0</v>
      </c>
    </row>
    <row r="1450" spans="1:12" x14ac:dyDescent="0.25">
      <c r="A1450" t="s">
        <v>7592</v>
      </c>
      <c r="B1450" t="str">
        <f>IF(ISERROR(VLOOKUP(F1450,STEP!A:A, 1, FALSE)), "N", "Y")</f>
        <v>N</v>
      </c>
      <c r="C1450" t="str">
        <f>IF(ISERROR(VLOOKUP(E1450, BibleInEveryLanguageTexts!A:A, 1, FALSE)), "N", "Y")</f>
        <v>N</v>
      </c>
      <c r="D1450" t="str">
        <f t="shared" si="44"/>
        <v>X</v>
      </c>
      <c r="E1450" t="s">
        <v>7593</v>
      </c>
      <c r="F1450" t="s">
        <v>7594</v>
      </c>
      <c r="G1450" t="s">
        <v>11</v>
      </c>
      <c r="H1450" t="s">
        <v>7595</v>
      </c>
      <c r="I1450" t="s">
        <v>2661</v>
      </c>
      <c r="J1450" t="str">
        <f>IF(0 = IFERROR(VLOOKUP(DBL_FullList!I1450, ContactsDbl!B:D, 2, FALSE), ""), "", IFERROR(VLOOKUP(DBL_FullList!I1450, ContactsDbl!B:D, 2, FALSE), ""))</f>
        <v>dbladmin_intl@sil.org</v>
      </c>
      <c r="K1450" t="str">
        <f>IF(0 = IFERROR(VLOOKUP(DBL_FullList!I1450,ContactsDbl!B:D, 3, FALSE), ""), "", IFERROR(VLOOKUP(DBL_FullList!I1450, ContactsDbl!B:D, 3, FALSE), ""))</f>
        <v>http://www.wycliffe.org</v>
      </c>
      <c r="L1450">
        <f t="shared" si="45"/>
        <v>2</v>
      </c>
    </row>
    <row r="1451" spans="1:12" x14ac:dyDescent="0.25">
      <c r="A1451" t="s">
        <v>7596</v>
      </c>
      <c r="B1451" t="str">
        <f>IF(ISERROR(VLOOKUP(F1451,STEP!A:A, 1, FALSE)), "N", "Y")</f>
        <v>N</v>
      </c>
      <c r="C1451" t="str">
        <f>IF(ISERROR(VLOOKUP(E1451, BibleInEveryLanguageTexts!A:A, 1, FALSE)), "N", "Y")</f>
        <v>N</v>
      </c>
      <c r="D1451" t="str">
        <f t="shared" si="44"/>
        <v>X</v>
      </c>
      <c r="E1451" t="s">
        <v>7597</v>
      </c>
      <c r="F1451" t="s">
        <v>7598</v>
      </c>
      <c r="G1451" t="s">
        <v>48</v>
      </c>
      <c r="H1451" t="s">
        <v>7599</v>
      </c>
      <c r="I1451" t="s">
        <v>2661</v>
      </c>
      <c r="J1451" t="str">
        <f>IF(0 = IFERROR(VLOOKUP(DBL_FullList!I1451, ContactsDbl!B:D, 2, FALSE), ""), "", IFERROR(VLOOKUP(DBL_FullList!I1451, ContactsDbl!B:D, 2, FALSE), ""))</f>
        <v>dbladmin_intl@sil.org</v>
      </c>
      <c r="K1451" t="str">
        <f>IF(0 = IFERROR(VLOOKUP(DBL_FullList!I1451,ContactsDbl!B:D, 3, FALSE), ""), "", IFERROR(VLOOKUP(DBL_FullList!I1451, ContactsDbl!B:D, 3, FALSE), ""))</f>
        <v>http://www.wycliffe.org</v>
      </c>
      <c r="L1451">
        <f t="shared" si="45"/>
        <v>2</v>
      </c>
    </row>
    <row r="1452" spans="1:12" x14ac:dyDescent="0.25">
      <c r="A1452" t="s">
        <v>7600</v>
      </c>
      <c r="B1452" t="str">
        <f>IF(ISERROR(VLOOKUP(F1452,STEP!A:A, 1, FALSE)), "N", "Y")</f>
        <v>N</v>
      </c>
      <c r="C1452" t="str">
        <f>IF(ISERROR(VLOOKUP(E1452, BibleInEveryLanguageTexts!A:A, 1, FALSE)), "N", "Y")</f>
        <v>N</v>
      </c>
      <c r="D1452" t="str">
        <f t="shared" si="44"/>
        <v>X</v>
      </c>
      <c r="E1452" t="s">
        <v>4505</v>
      </c>
      <c r="F1452" t="s">
        <v>4384</v>
      </c>
      <c r="G1452" t="s">
        <v>4385</v>
      </c>
      <c r="H1452" t="s">
        <v>7601</v>
      </c>
      <c r="I1452" t="s">
        <v>2587</v>
      </c>
      <c r="J1452" t="str">
        <f>IF(0 = IFERROR(VLOOKUP(DBL_FullList!I1452, ContactsDbl!B:D, 2, FALSE), ""), "", IFERROR(VLOOKUP(DBL_FullList!I1452, ContactsDbl!B:D, 2, FALSE), ""))</f>
        <v>matjaz.crnivec@svetopismo.si</v>
      </c>
      <c r="K1452" t="str">
        <f>IF(0 = IFERROR(VLOOKUP(DBL_FullList!I1452,ContactsDbl!B:D, 3, FALSE), ""), "", IFERROR(VLOOKUP(DBL_FullList!I1452, ContactsDbl!B:D, 3, FALSE), ""))</f>
        <v>www.svetopismo.si</v>
      </c>
      <c r="L1452">
        <f t="shared" si="45"/>
        <v>2</v>
      </c>
    </row>
    <row r="1453" spans="1:12" x14ac:dyDescent="0.25">
      <c r="A1453" t="s">
        <v>7602</v>
      </c>
      <c r="B1453" t="str">
        <f>IF(ISERROR(VLOOKUP(F1453,STEP!A:A, 1, FALSE)), "N", "Y")</f>
        <v>N</v>
      </c>
      <c r="C1453" t="str">
        <f>IF(ISERROR(VLOOKUP(E1453, BibleInEveryLanguageTexts!A:A, 1, FALSE)), "N", "Y")</f>
        <v>N</v>
      </c>
      <c r="D1453" t="str">
        <f t="shared" si="44"/>
        <v>X</v>
      </c>
      <c r="E1453" t="s">
        <v>7603</v>
      </c>
      <c r="F1453" t="s">
        <v>7604</v>
      </c>
      <c r="G1453" t="s">
        <v>2723</v>
      </c>
      <c r="H1453" t="s">
        <v>7605</v>
      </c>
      <c r="I1453" t="s">
        <v>2661</v>
      </c>
      <c r="J1453" t="str">
        <f>IF(0 = IFERROR(VLOOKUP(DBL_FullList!I1453, ContactsDbl!B:D, 2, FALSE), ""), "", IFERROR(VLOOKUP(DBL_FullList!I1453, ContactsDbl!B:D, 2, FALSE), ""))</f>
        <v>dbladmin_intl@sil.org</v>
      </c>
      <c r="K1453" t="str">
        <f>IF(0 = IFERROR(VLOOKUP(DBL_FullList!I1453,ContactsDbl!B:D, 3, FALSE), ""), "", IFERROR(VLOOKUP(DBL_FullList!I1453, ContactsDbl!B:D, 3, FALSE), ""))</f>
        <v>http://www.wycliffe.org</v>
      </c>
      <c r="L1453">
        <f t="shared" si="45"/>
        <v>2</v>
      </c>
    </row>
    <row r="1454" spans="1:12" x14ac:dyDescent="0.25">
      <c r="A1454" t="s">
        <v>7606</v>
      </c>
      <c r="B1454" t="str">
        <f>IF(ISERROR(VLOOKUP(F1454,STEP!A:A, 1, FALSE)), "N", "Y")</f>
        <v>N</v>
      </c>
      <c r="C1454" t="str">
        <f>IF(ISERROR(VLOOKUP(E1454, BibleInEveryLanguageTexts!A:A, 1, FALSE)), "N", "Y")</f>
        <v>N</v>
      </c>
      <c r="D1454" t="str">
        <f t="shared" si="44"/>
        <v>X</v>
      </c>
      <c r="E1454" t="s">
        <v>7607</v>
      </c>
      <c r="F1454" t="s">
        <v>6368</v>
      </c>
      <c r="G1454" t="s">
        <v>2843</v>
      </c>
      <c r="H1454" t="s">
        <v>7608</v>
      </c>
      <c r="I1454" t="s">
        <v>2661</v>
      </c>
      <c r="J1454" t="str">
        <f>IF(0 = IFERROR(VLOOKUP(DBL_FullList!I1454, ContactsDbl!B:D, 2, FALSE), ""), "", IFERROR(VLOOKUP(DBL_FullList!I1454, ContactsDbl!B:D, 2, FALSE), ""))</f>
        <v>dbladmin_intl@sil.org</v>
      </c>
      <c r="K1454" t="str">
        <f>IF(0 = IFERROR(VLOOKUP(DBL_FullList!I1454,ContactsDbl!B:D, 3, FALSE), ""), "", IFERROR(VLOOKUP(DBL_FullList!I1454, ContactsDbl!B:D, 3, FALSE), ""))</f>
        <v>http://www.wycliffe.org</v>
      </c>
      <c r="L1454">
        <f t="shared" si="45"/>
        <v>2</v>
      </c>
    </row>
    <row r="1455" spans="1:12" x14ac:dyDescent="0.25">
      <c r="A1455" t="s">
        <v>7609</v>
      </c>
      <c r="B1455" t="str">
        <f>IF(ISERROR(VLOOKUP(F1455,STEP!A:A, 1, FALSE)), "N", "Y")</f>
        <v>N</v>
      </c>
      <c r="C1455" t="str">
        <f>IF(ISERROR(VLOOKUP(E1455, BibleInEveryLanguageTexts!A:A, 1, FALSE)), "N", "Y")</f>
        <v>Y</v>
      </c>
      <c r="D1455" t="str">
        <f t="shared" si="44"/>
        <v/>
      </c>
      <c r="E1455" t="s">
        <v>2685</v>
      </c>
      <c r="F1455" t="s">
        <v>4881</v>
      </c>
      <c r="G1455" t="s">
        <v>4882</v>
      </c>
      <c r="H1455" t="s">
        <v>7610</v>
      </c>
      <c r="I1455" t="s">
        <v>2292</v>
      </c>
      <c r="J1455" t="str">
        <f>IF(0 = IFERROR(VLOOKUP(DBL_FullList!I1455, ContactsDbl!B:D, 2, FALSE), ""), "", IFERROR(VLOOKUP(DBL_FullList!I1455, ContactsDbl!B:D, 2, FALSE), ""))</f>
        <v>info@bibliatarsulat.hu</v>
      </c>
      <c r="K1455" t="str">
        <f>IF(0 = IFERROR(VLOOKUP(DBL_FullList!I1455,ContactsDbl!B:D, 3, FALSE), ""), "", IFERROR(VLOOKUP(DBL_FullList!I1455, ContactsDbl!B:D, 3, FALSE), ""))</f>
        <v>http://www.bibliatarsulat.hu/</v>
      </c>
      <c r="L1455">
        <f t="shared" si="45"/>
        <v>2</v>
      </c>
    </row>
    <row r="1456" spans="1:12" x14ac:dyDescent="0.25">
      <c r="A1456" t="s">
        <v>7611</v>
      </c>
      <c r="B1456" t="str">
        <f>IF(ISERROR(VLOOKUP(F1456,STEP!A:A, 1, FALSE)), "N", "Y")</f>
        <v>N</v>
      </c>
      <c r="C1456" t="str">
        <f>IF(ISERROR(VLOOKUP(E1456, BibleInEveryLanguageTexts!A:A, 1, FALSE)), "N", "Y")</f>
        <v>N</v>
      </c>
      <c r="D1456" t="str">
        <f t="shared" si="44"/>
        <v>X</v>
      </c>
      <c r="E1456" t="s">
        <v>3320</v>
      </c>
      <c r="F1456" t="s">
        <v>3321</v>
      </c>
      <c r="G1456" t="s">
        <v>3322</v>
      </c>
      <c r="H1456" t="s">
        <v>7612</v>
      </c>
      <c r="I1456" t="s">
        <v>2304</v>
      </c>
      <c r="J1456" t="str">
        <f>IF(0 = IFERROR(VLOOKUP(DBL_FullList!I1456, ContactsDbl!B:D, 2, FALSE), ""), "", IFERROR(VLOOKUP(DBL_FullList!I1456, ContactsDbl!B:D, 2, FALSE), ""))</f>
        <v/>
      </c>
      <c r="K1456" t="str">
        <f>IF(0 = IFERROR(VLOOKUP(DBL_FullList!I1456,ContactsDbl!B:D, 3, FALSE), ""), "", IFERROR(VLOOKUP(DBL_FullList!I1456, ContactsDbl!B:D, 3, FALSE), ""))</f>
        <v>http://www.societateabiblica.org</v>
      </c>
      <c r="L1456">
        <f t="shared" si="45"/>
        <v>1</v>
      </c>
    </row>
    <row r="1457" spans="1:12" x14ac:dyDescent="0.25">
      <c r="A1457" t="s">
        <v>7613</v>
      </c>
      <c r="B1457" t="str">
        <f>IF(ISERROR(VLOOKUP(F1457,STEP!A:A, 1, FALSE)), "N", "Y")</f>
        <v>N</v>
      </c>
      <c r="C1457" t="str">
        <f>IF(ISERROR(VLOOKUP(E1457, BibleInEveryLanguageTexts!A:A, 1, FALSE)), "N", "Y")</f>
        <v>N</v>
      </c>
      <c r="D1457" t="str">
        <f t="shared" si="44"/>
        <v>X</v>
      </c>
      <c r="E1457" t="s">
        <v>4292</v>
      </c>
      <c r="F1457" t="s">
        <v>4293</v>
      </c>
      <c r="G1457" t="s">
        <v>268</v>
      </c>
      <c r="H1457" t="s">
        <v>7614</v>
      </c>
      <c r="I1457" t="s">
        <v>2131</v>
      </c>
      <c r="J1457" t="str">
        <f>IF(0 = IFERROR(VLOOKUP(DBL_FullList!I1457, ContactsDbl!B:D, 2, FALSE), ""), "", IFERROR(VLOOKUP(DBL_FullList!I1457, ContactsDbl!B:D, 2, FALSE), ""))</f>
        <v>dbl@biblesociety.ca</v>
      </c>
      <c r="K1457" t="str">
        <f>IF(0 = IFERROR(VLOOKUP(DBL_FullList!I1457,ContactsDbl!B:D, 3, FALSE), ""), "", IFERROR(VLOOKUP(DBL_FullList!I1457, ContactsDbl!B:D, 3, FALSE), ""))</f>
        <v>http://www.biblesociety.ca</v>
      </c>
      <c r="L1457">
        <f t="shared" si="45"/>
        <v>2</v>
      </c>
    </row>
    <row r="1458" spans="1:12" x14ac:dyDescent="0.25">
      <c r="A1458" t="s">
        <v>7615</v>
      </c>
      <c r="B1458" t="str">
        <f>IF(ISERROR(VLOOKUP(F1458,STEP!A:A, 1, FALSE)), "N", "Y")</f>
        <v>N</v>
      </c>
      <c r="C1458" t="str">
        <f>IF(ISERROR(VLOOKUP(E1458, BibleInEveryLanguageTexts!A:A, 1, FALSE)), "N", "Y")</f>
        <v>N</v>
      </c>
      <c r="D1458" t="str">
        <f t="shared" si="44"/>
        <v>X</v>
      </c>
      <c r="E1458" t="s">
        <v>7616</v>
      </c>
      <c r="F1458" t="s">
        <v>7617</v>
      </c>
      <c r="G1458" t="s">
        <v>5353</v>
      </c>
      <c r="H1458" t="s">
        <v>7618</v>
      </c>
      <c r="I1458" t="s">
        <v>2661</v>
      </c>
      <c r="J1458" t="str">
        <f>IF(0 = IFERROR(VLOOKUP(DBL_FullList!I1458, ContactsDbl!B:D, 2, FALSE), ""), "", IFERROR(VLOOKUP(DBL_FullList!I1458, ContactsDbl!B:D, 2, FALSE), ""))</f>
        <v>dbladmin_intl@sil.org</v>
      </c>
      <c r="K1458" t="str">
        <f>IF(0 = IFERROR(VLOOKUP(DBL_FullList!I1458,ContactsDbl!B:D, 3, FALSE), ""), "", IFERROR(VLOOKUP(DBL_FullList!I1458, ContactsDbl!B:D, 3, FALSE), ""))</f>
        <v>http://www.wycliffe.org</v>
      </c>
      <c r="L1458">
        <f t="shared" si="45"/>
        <v>2</v>
      </c>
    </row>
    <row r="1459" spans="1:12" x14ac:dyDescent="0.25">
      <c r="A1459" t="s">
        <v>7619</v>
      </c>
      <c r="B1459" t="str">
        <f>IF(ISERROR(VLOOKUP(F1459,STEP!A:A, 1, FALSE)), "N", "Y")</f>
        <v>Y</v>
      </c>
      <c r="C1459" t="str">
        <f>IF(ISERROR(VLOOKUP(E1459, BibleInEveryLanguageTexts!A:A, 1, FALSE)), "N", "Y")</f>
        <v>N</v>
      </c>
      <c r="D1459" t="str">
        <f t="shared" si="44"/>
        <v/>
      </c>
      <c r="E1459" t="s">
        <v>7620</v>
      </c>
      <c r="F1459" t="s">
        <v>7621</v>
      </c>
      <c r="G1459" t="s">
        <v>48</v>
      </c>
      <c r="H1459" t="s">
        <v>7622</v>
      </c>
      <c r="I1459" t="s">
        <v>2661</v>
      </c>
      <c r="J1459" t="str">
        <f>IF(0 = IFERROR(VLOOKUP(DBL_FullList!I1459, ContactsDbl!B:D, 2, FALSE), ""), "", IFERROR(VLOOKUP(DBL_FullList!I1459, ContactsDbl!B:D, 2, FALSE), ""))</f>
        <v>dbladmin_intl@sil.org</v>
      </c>
      <c r="K1459" t="str">
        <f>IF(0 = IFERROR(VLOOKUP(DBL_FullList!I1459,ContactsDbl!B:D, 3, FALSE), ""), "", IFERROR(VLOOKUP(DBL_FullList!I1459, ContactsDbl!B:D, 3, FALSE), ""))</f>
        <v>http://www.wycliffe.org</v>
      </c>
      <c r="L1459">
        <f t="shared" si="45"/>
        <v>2</v>
      </c>
    </row>
    <row r="1460" spans="1:12" x14ac:dyDescent="0.25">
      <c r="A1460" t="s">
        <v>7623</v>
      </c>
      <c r="B1460" t="str">
        <f>IF(ISERROR(VLOOKUP(F1460,STEP!A:A, 1, FALSE)), "N", "Y")</f>
        <v>N</v>
      </c>
      <c r="C1460" t="str">
        <f>IF(ISERROR(VLOOKUP(E1460, BibleInEveryLanguageTexts!A:A, 1, FALSE)), "N", "Y")</f>
        <v>N</v>
      </c>
      <c r="D1460" t="str">
        <f t="shared" si="44"/>
        <v>X</v>
      </c>
      <c r="E1460" t="s">
        <v>7624</v>
      </c>
      <c r="F1460" t="s">
        <v>7625</v>
      </c>
      <c r="G1460" t="s">
        <v>268</v>
      </c>
      <c r="H1460" t="s">
        <v>7626</v>
      </c>
      <c r="I1460" t="s">
        <v>2661</v>
      </c>
      <c r="J1460" t="str">
        <f>IF(0 = IFERROR(VLOOKUP(DBL_FullList!I1460, ContactsDbl!B:D, 2, FALSE), ""), "", IFERROR(VLOOKUP(DBL_FullList!I1460, ContactsDbl!B:D, 2, FALSE), ""))</f>
        <v>dbladmin_intl@sil.org</v>
      </c>
      <c r="K1460" t="str">
        <f>IF(0 = IFERROR(VLOOKUP(DBL_FullList!I1460,ContactsDbl!B:D, 3, FALSE), ""), "", IFERROR(VLOOKUP(DBL_FullList!I1460, ContactsDbl!B:D, 3, FALSE), ""))</f>
        <v>http://www.wycliffe.org</v>
      </c>
      <c r="L1460">
        <f t="shared" si="45"/>
        <v>2</v>
      </c>
    </row>
    <row r="1461" spans="1:12" x14ac:dyDescent="0.25">
      <c r="A1461" s="1" t="s">
        <v>7627</v>
      </c>
      <c r="B1461" t="str">
        <f>IF(ISERROR(VLOOKUP(F1461,STEP!A:A, 1, FALSE)), "N", "Y")</f>
        <v>N</v>
      </c>
      <c r="C1461" t="str">
        <f>IF(ISERROR(VLOOKUP(E1461, BibleInEveryLanguageTexts!A:A, 1, FALSE)), "N", "Y")</f>
        <v>N</v>
      </c>
      <c r="D1461" t="str">
        <f t="shared" si="44"/>
        <v>X</v>
      </c>
      <c r="E1461" t="s">
        <v>7628</v>
      </c>
      <c r="F1461" t="s">
        <v>7629</v>
      </c>
      <c r="G1461" t="s">
        <v>3133</v>
      </c>
      <c r="H1461" t="s">
        <v>7630</v>
      </c>
      <c r="I1461" t="s">
        <v>2661</v>
      </c>
      <c r="J1461" t="str">
        <f>IF(0 = IFERROR(VLOOKUP(DBL_FullList!I1461, ContactsDbl!B:D, 2, FALSE), ""), "", IFERROR(VLOOKUP(DBL_FullList!I1461, ContactsDbl!B:D, 2, FALSE), ""))</f>
        <v>dbladmin_intl@sil.org</v>
      </c>
      <c r="K1461" t="str">
        <f>IF(0 = IFERROR(VLOOKUP(DBL_FullList!I1461,ContactsDbl!B:D, 3, FALSE), ""), "", IFERROR(VLOOKUP(DBL_FullList!I1461, ContactsDbl!B:D, 3, FALSE), ""))</f>
        <v>http://www.wycliffe.org</v>
      </c>
      <c r="L1461">
        <f t="shared" si="45"/>
        <v>2</v>
      </c>
    </row>
    <row r="1462" spans="1:12" x14ac:dyDescent="0.25">
      <c r="A1462" t="s">
        <v>7631</v>
      </c>
      <c r="B1462" t="str">
        <f>IF(ISERROR(VLOOKUP(F1462,STEP!A:A, 1, FALSE)), "N", "Y")</f>
        <v>Y</v>
      </c>
      <c r="C1462" t="str">
        <f>IF(ISERROR(VLOOKUP(E1462, BibleInEveryLanguageTexts!A:A, 1, FALSE)), "N", "Y")</f>
        <v>N</v>
      </c>
      <c r="D1462" t="str">
        <f t="shared" si="44"/>
        <v/>
      </c>
      <c r="E1462" t="s">
        <v>7632</v>
      </c>
      <c r="F1462" t="s">
        <v>7633</v>
      </c>
      <c r="G1462" t="s">
        <v>48</v>
      </c>
      <c r="H1462" t="s">
        <v>7634</v>
      </c>
      <c r="I1462" t="s">
        <v>2661</v>
      </c>
      <c r="J1462" t="str">
        <f>IF(0 = IFERROR(VLOOKUP(DBL_FullList!I1462, ContactsDbl!B:D, 2, FALSE), ""), "", IFERROR(VLOOKUP(DBL_FullList!I1462, ContactsDbl!B:D, 2, FALSE), ""))</f>
        <v>dbladmin_intl@sil.org</v>
      </c>
      <c r="K1462" t="str">
        <f>IF(0 = IFERROR(VLOOKUP(DBL_FullList!I1462,ContactsDbl!B:D, 3, FALSE), ""), "", IFERROR(VLOOKUP(DBL_FullList!I1462, ContactsDbl!B:D, 3, FALSE), ""))</f>
        <v>http://www.wycliffe.org</v>
      </c>
      <c r="L1462">
        <f t="shared" si="45"/>
        <v>2</v>
      </c>
    </row>
    <row r="1463" spans="1:12" x14ac:dyDescent="0.25">
      <c r="A1463" t="s">
        <v>7635</v>
      </c>
      <c r="B1463" t="str">
        <f>IF(ISERROR(VLOOKUP(F1463,STEP!A:A, 1, FALSE)), "N", "Y")</f>
        <v>N</v>
      </c>
      <c r="C1463" t="str">
        <f>IF(ISERROR(VLOOKUP(E1463, BibleInEveryLanguageTexts!A:A, 1, FALSE)), "N", "Y")</f>
        <v>N</v>
      </c>
      <c r="D1463" t="str">
        <f t="shared" si="44"/>
        <v>X</v>
      </c>
      <c r="E1463" t="s">
        <v>7636</v>
      </c>
      <c r="F1463" t="s">
        <v>7637</v>
      </c>
      <c r="G1463" t="s">
        <v>2908</v>
      </c>
      <c r="H1463" t="s">
        <v>7638</v>
      </c>
      <c r="I1463" t="s">
        <v>2661</v>
      </c>
      <c r="J1463" t="str">
        <f>IF(0 = IFERROR(VLOOKUP(DBL_FullList!I1463, ContactsDbl!B:D, 2, FALSE), ""), "", IFERROR(VLOOKUP(DBL_FullList!I1463, ContactsDbl!B:D, 2, FALSE), ""))</f>
        <v>dbladmin_intl@sil.org</v>
      </c>
      <c r="K1463" t="str">
        <f>IF(0 = IFERROR(VLOOKUP(DBL_FullList!I1463,ContactsDbl!B:D, 3, FALSE), ""), "", IFERROR(VLOOKUP(DBL_FullList!I1463, ContactsDbl!B:D, 3, FALSE), ""))</f>
        <v>http://www.wycliffe.org</v>
      </c>
      <c r="L1463">
        <f t="shared" si="45"/>
        <v>2</v>
      </c>
    </row>
    <row r="1464" spans="1:12" x14ac:dyDescent="0.25">
      <c r="A1464" t="s">
        <v>7639</v>
      </c>
      <c r="B1464" t="str">
        <f>IF(ISERROR(VLOOKUP(F1464,STEP!A:A, 1, FALSE)), "N", "Y")</f>
        <v>N</v>
      </c>
      <c r="C1464" t="str">
        <f>IF(ISERROR(VLOOKUP(E1464, BibleInEveryLanguageTexts!A:A, 1, FALSE)), "N", "Y")</f>
        <v>N</v>
      </c>
      <c r="D1464" t="str">
        <f t="shared" si="44"/>
        <v>X</v>
      </c>
      <c r="E1464" t="s">
        <v>7640</v>
      </c>
      <c r="F1464" t="s">
        <v>7641</v>
      </c>
      <c r="G1464" t="s">
        <v>3984</v>
      </c>
      <c r="H1464" t="s">
        <v>7642</v>
      </c>
      <c r="I1464" t="s">
        <v>2661</v>
      </c>
      <c r="J1464" t="str">
        <f>IF(0 = IFERROR(VLOOKUP(DBL_FullList!I1464, ContactsDbl!B:D, 2, FALSE), ""), "", IFERROR(VLOOKUP(DBL_FullList!I1464, ContactsDbl!B:D, 2, FALSE), ""))</f>
        <v>dbladmin_intl@sil.org</v>
      </c>
      <c r="K1464" t="str">
        <f>IF(0 = IFERROR(VLOOKUP(DBL_FullList!I1464,ContactsDbl!B:D, 3, FALSE), ""), "", IFERROR(VLOOKUP(DBL_FullList!I1464, ContactsDbl!B:D, 3, FALSE), ""))</f>
        <v>http://www.wycliffe.org</v>
      </c>
      <c r="L1464">
        <f t="shared" si="45"/>
        <v>2</v>
      </c>
    </row>
    <row r="1465" spans="1:12" x14ac:dyDescent="0.25">
      <c r="A1465" t="s">
        <v>7643</v>
      </c>
      <c r="B1465" t="str">
        <f>IF(ISERROR(VLOOKUP(F1465,STEP!A:A, 1, FALSE)), "N", "Y")</f>
        <v>N</v>
      </c>
      <c r="C1465" t="str">
        <f>IF(ISERROR(VLOOKUP(E1465, BibleInEveryLanguageTexts!A:A, 1, FALSE)), "N", "Y")</f>
        <v>N</v>
      </c>
      <c r="D1465" t="str">
        <f t="shared" si="44"/>
        <v>X</v>
      </c>
      <c r="E1465" t="s">
        <v>7644</v>
      </c>
      <c r="F1465" t="s">
        <v>7645</v>
      </c>
      <c r="G1465" t="s">
        <v>2880</v>
      </c>
      <c r="H1465" t="s">
        <v>7646</v>
      </c>
      <c r="I1465" t="s">
        <v>2661</v>
      </c>
      <c r="J1465" t="str">
        <f>IF(0 = IFERROR(VLOOKUP(DBL_FullList!I1465, ContactsDbl!B:D, 2, FALSE), ""), "", IFERROR(VLOOKUP(DBL_FullList!I1465, ContactsDbl!B:D, 2, FALSE), ""))</f>
        <v>dbladmin_intl@sil.org</v>
      </c>
      <c r="K1465" t="str">
        <f>IF(0 = IFERROR(VLOOKUP(DBL_FullList!I1465,ContactsDbl!B:D, 3, FALSE), ""), "", IFERROR(VLOOKUP(DBL_FullList!I1465, ContactsDbl!B:D, 3, FALSE), ""))</f>
        <v>http://www.wycliffe.org</v>
      </c>
      <c r="L1465">
        <f t="shared" si="45"/>
        <v>2</v>
      </c>
    </row>
    <row r="1466" spans="1:12" x14ac:dyDescent="0.25">
      <c r="A1466" t="s">
        <v>7647</v>
      </c>
      <c r="B1466" t="str">
        <f>IF(ISERROR(VLOOKUP(F1466,STEP!A:A, 1, FALSE)), "N", "Y")</f>
        <v>N</v>
      </c>
      <c r="C1466" t="str">
        <f>IF(ISERROR(VLOOKUP(E1466, BibleInEveryLanguageTexts!A:A, 1, FALSE)), "N", "Y")</f>
        <v>N</v>
      </c>
      <c r="D1466" t="str">
        <f t="shared" si="44"/>
        <v>X</v>
      </c>
      <c r="E1466" t="s">
        <v>7648</v>
      </c>
      <c r="F1466" t="s">
        <v>7649</v>
      </c>
      <c r="G1466" t="s">
        <v>3984</v>
      </c>
      <c r="H1466" t="s">
        <v>7650</v>
      </c>
      <c r="I1466" t="s">
        <v>2661</v>
      </c>
      <c r="J1466" t="str">
        <f>IF(0 = IFERROR(VLOOKUP(DBL_FullList!I1466, ContactsDbl!B:D, 2, FALSE), ""), "", IFERROR(VLOOKUP(DBL_FullList!I1466, ContactsDbl!B:D, 2, FALSE), ""))</f>
        <v>dbladmin_intl@sil.org</v>
      </c>
      <c r="K1466" t="str">
        <f>IF(0 = IFERROR(VLOOKUP(DBL_FullList!I1466,ContactsDbl!B:D, 3, FALSE), ""), "", IFERROR(VLOOKUP(DBL_FullList!I1466, ContactsDbl!B:D, 3, FALSE), ""))</f>
        <v>http://www.wycliffe.org</v>
      </c>
      <c r="L1466">
        <f t="shared" si="45"/>
        <v>2</v>
      </c>
    </row>
    <row r="1467" spans="1:12" x14ac:dyDescent="0.25">
      <c r="A1467" t="s">
        <v>7651</v>
      </c>
      <c r="B1467" t="str">
        <f>IF(ISERROR(VLOOKUP(F1467,STEP!A:A, 1, FALSE)), "N", "Y")</f>
        <v>N</v>
      </c>
      <c r="C1467" t="str">
        <f>IF(ISERROR(VLOOKUP(E1467, BibleInEveryLanguageTexts!A:A, 1, FALSE)), "N", "Y")</f>
        <v>N</v>
      </c>
      <c r="D1467" t="str">
        <f t="shared" si="44"/>
        <v>X</v>
      </c>
      <c r="E1467" t="s">
        <v>7652</v>
      </c>
      <c r="F1467" t="s">
        <v>7653</v>
      </c>
      <c r="G1467" t="s">
        <v>11</v>
      </c>
      <c r="H1467" t="s">
        <v>7654</v>
      </c>
      <c r="I1467" t="s">
        <v>2661</v>
      </c>
      <c r="J1467" t="str">
        <f>IF(0 = IFERROR(VLOOKUP(DBL_FullList!I1467, ContactsDbl!B:D, 2, FALSE), ""), "", IFERROR(VLOOKUP(DBL_FullList!I1467, ContactsDbl!B:D, 2, FALSE), ""))</f>
        <v>dbladmin_intl@sil.org</v>
      </c>
      <c r="K1467" t="str">
        <f>IF(0 = IFERROR(VLOOKUP(DBL_FullList!I1467,ContactsDbl!B:D, 3, FALSE), ""), "", IFERROR(VLOOKUP(DBL_FullList!I1467, ContactsDbl!B:D, 3, FALSE), ""))</f>
        <v>http://www.wycliffe.org</v>
      </c>
      <c r="L1467">
        <f t="shared" si="45"/>
        <v>2</v>
      </c>
    </row>
    <row r="1468" spans="1:12" x14ac:dyDescent="0.25">
      <c r="A1468" t="s">
        <v>7655</v>
      </c>
      <c r="B1468" t="str">
        <f>IF(ISERROR(VLOOKUP(F1468,STEP!A:A, 1, FALSE)), "N", "Y")</f>
        <v>N</v>
      </c>
      <c r="C1468" t="str">
        <f>IF(ISERROR(VLOOKUP(E1468, BibleInEveryLanguageTexts!A:A, 1, FALSE)), "N", "Y")</f>
        <v>N</v>
      </c>
      <c r="D1468" t="str">
        <f t="shared" si="44"/>
        <v>X</v>
      </c>
      <c r="E1468" t="s">
        <v>7656</v>
      </c>
      <c r="F1468" t="s">
        <v>7657</v>
      </c>
      <c r="G1468" t="s">
        <v>2743</v>
      </c>
      <c r="H1468" t="s">
        <v>7658</v>
      </c>
      <c r="I1468" t="s">
        <v>2073</v>
      </c>
      <c r="J1468" t="str">
        <f>IF(0 = IFERROR(VLOOKUP(DBL_FullList!I1468, ContactsDbl!B:D, 2, FALSE), ""), "", IFERROR(VLOOKUP(DBL_FullList!I1468, ContactsDbl!B:D, 2, FALSE), ""))</f>
        <v>ajiboye@biblesociety-nigeria.org</v>
      </c>
      <c r="K1468" t="str">
        <f>IF(0 = IFERROR(VLOOKUP(DBL_FullList!I1468,ContactsDbl!B:D, 3, FALSE), ""), "", IFERROR(VLOOKUP(DBL_FullList!I1468, ContactsDbl!B:D, 3, FALSE), ""))</f>
        <v>http://www.biblesociety-nigeria.org/</v>
      </c>
      <c r="L1468">
        <f t="shared" si="45"/>
        <v>2</v>
      </c>
    </row>
    <row r="1469" spans="1:12" x14ac:dyDescent="0.25">
      <c r="A1469" t="s">
        <v>7659</v>
      </c>
      <c r="B1469" t="str">
        <f>IF(ISERROR(VLOOKUP(F1469,STEP!A:A, 1, FALSE)), "N", "Y")</f>
        <v>Y</v>
      </c>
      <c r="C1469" t="str">
        <f>IF(ISERROR(VLOOKUP(E1469, BibleInEveryLanguageTexts!A:A, 1, FALSE)), "N", "Y")</f>
        <v>N</v>
      </c>
      <c r="D1469" t="str">
        <f t="shared" si="44"/>
        <v/>
      </c>
      <c r="E1469" t="s">
        <v>7660</v>
      </c>
      <c r="F1469" t="s">
        <v>7661</v>
      </c>
      <c r="G1469" t="s">
        <v>48</v>
      </c>
      <c r="H1469" t="s">
        <v>7662</v>
      </c>
      <c r="I1469" t="s">
        <v>2661</v>
      </c>
      <c r="J1469" t="str">
        <f>IF(0 = IFERROR(VLOOKUP(DBL_FullList!I1469, ContactsDbl!B:D, 2, FALSE), ""), "", IFERROR(VLOOKUP(DBL_FullList!I1469, ContactsDbl!B:D, 2, FALSE), ""))</f>
        <v>dbladmin_intl@sil.org</v>
      </c>
      <c r="K1469" t="str">
        <f>IF(0 = IFERROR(VLOOKUP(DBL_FullList!I1469,ContactsDbl!B:D, 3, FALSE), ""), "", IFERROR(VLOOKUP(DBL_FullList!I1469, ContactsDbl!B:D, 3, FALSE), ""))</f>
        <v>http://www.wycliffe.org</v>
      </c>
      <c r="L1469">
        <f t="shared" si="45"/>
        <v>2</v>
      </c>
    </row>
    <row r="1470" spans="1:12" x14ac:dyDescent="0.25">
      <c r="A1470" t="s">
        <v>7663</v>
      </c>
      <c r="B1470" t="str">
        <f>IF(ISERROR(VLOOKUP(F1470,STEP!A:A, 1, FALSE)), "N", "Y")</f>
        <v>N</v>
      </c>
      <c r="C1470" t="str">
        <f>IF(ISERROR(VLOOKUP(E1470, BibleInEveryLanguageTexts!A:A, 1, FALSE)), "N", "Y")</f>
        <v>N</v>
      </c>
      <c r="D1470" t="str">
        <f t="shared" si="44"/>
        <v>X</v>
      </c>
      <c r="E1470" t="s">
        <v>7664</v>
      </c>
      <c r="F1470" t="s">
        <v>7665</v>
      </c>
      <c r="G1470" t="s">
        <v>2880</v>
      </c>
      <c r="H1470" t="s">
        <v>7666</v>
      </c>
      <c r="I1470" t="s">
        <v>2661</v>
      </c>
      <c r="J1470" t="str">
        <f>IF(0 = IFERROR(VLOOKUP(DBL_FullList!I1470, ContactsDbl!B:D, 2, FALSE), ""), "", IFERROR(VLOOKUP(DBL_FullList!I1470, ContactsDbl!B:D, 2, FALSE), ""))</f>
        <v>dbladmin_intl@sil.org</v>
      </c>
      <c r="K1470" t="str">
        <f>IF(0 = IFERROR(VLOOKUP(DBL_FullList!I1470,ContactsDbl!B:D, 3, FALSE), ""), "", IFERROR(VLOOKUP(DBL_FullList!I1470, ContactsDbl!B:D, 3, FALSE), ""))</f>
        <v>http://www.wycliffe.org</v>
      </c>
      <c r="L1470">
        <f t="shared" si="45"/>
        <v>2</v>
      </c>
    </row>
    <row r="1471" spans="1:12" x14ac:dyDescent="0.25">
      <c r="A1471" t="s">
        <v>7667</v>
      </c>
      <c r="B1471" t="str">
        <f>IF(ISERROR(VLOOKUP(F1471,STEP!A:A, 1, FALSE)), "N", "Y")</f>
        <v>N</v>
      </c>
      <c r="C1471" t="str">
        <f>IF(ISERROR(VLOOKUP(E1471, BibleInEveryLanguageTexts!A:A, 1, FALSE)), "N", "Y")</f>
        <v>N</v>
      </c>
      <c r="D1471" t="str">
        <f t="shared" si="44"/>
        <v>X</v>
      </c>
      <c r="E1471" t="s">
        <v>7668</v>
      </c>
      <c r="F1471" t="s">
        <v>3567</v>
      </c>
      <c r="G1471" t="s">
        <v>48</v>
      </c>
      <c r="H1471" t="s">
        <v>3568</v>
      </c>
      <c r="I1471" t="s">
        <v>2661</v>
      </c>
      <c r="J1471" t="str">
        <f>IF(0 = IFERROR(VLOOKUP(DBL_FullList!I1471, ContactsDbl!B:D, 2, FALSE), ""), "", IFERROR(VLOOKUP(DBL_FullList!I1471, ContactsDbl!B:D, 2, FALSE), ""))</f>
        <v>dbladmin_intl@sil.org</v>
      </c>
      <c r="K1471" t="str">
        <f>IF(0 = IFERROR(VLOOKUP(DBL_FullList!I1471,ContactsDbl!B:D, 3, FALSE), ""), "", IFERROR(VLOOKUP(DBL_FullList!I1471, ContactsDbl!B:D, 3, FALSE), ""))</f>
        <v>http://www.wycliffe.org</v>
      </c>
      <c r="L1471">
        <f t="shared" si="45"/>
        <v>2</v>
      </c>
    </row>
    <row r="1472" spans="1:12" x14ac:dyDescent="0.25">
      <c r="A1472" t="s">
        <v>7669</v>
      </c>
      <c r="B1472" t="str">
        <f>IF(ISERROR(VLOOKUP(F1472,STEP!A:A, 1, FALSE)), "N", "Y")</f>
        <v>Y</v>
      </c>
      <c r="C1472" t="str">
        <f>IF(ISERROR(VLOOKUP(E1472, BibleInEveryLanguageTexts!A:A, 1, FALSE)), "N", "Y")</f>
        <v>N</v>
      </c>
      <c r="D1472" t="str">
        <f t="shared" si="44"/>
        <v/>
      </c>
      <c r="E1472" t="s">
        <v>7670</v>
      </c>
      <c r="F1472" t="s">
        <v>7671</v>
      </c>
      <c r="G1472" t="s">
        <v>48</v>
      </c>
      <c r="H1472" t="s">
        <v>7672</v>
      </c>
      <c r="I1472" t="s">
        <v>2661</v>
      </c>
      <c r="J1472" t="str">
        <f>IF(0 = IFERROR(VLOOKUP(DBL_FullList!I1472, ContactsDbl!B:D, 2, FALSE), ""), "", IFERROR(VLOOKUP(DBL_FullList!I1472, ContactsDbl!B:D, 2, FALSE), ""))</f>
        <v>dbladmin_intl@sil.org</v>
      </c>
      <c r="K1472" t="str">
        <f>IF(0 = IFERROR(VLOOKUP(DBL_FullList!I1472,ContactsDbl!B:D, 3, FALSE), ""), "", IFERROR(VLOOKUP(DBL_FullList!I1472, ContactsDbl!B:D, 3, FALSE), ""))</f>
        <v>http://www.wycliffe.org</v>
      </c>
      <c r="L1472">
        <f t="shared" si="45"/>
        <v>2</v>
      </c>
    </row>
    <row r="1473" spans="1:12" x14ac:dyDescent="0.25">
      <c r="A1473" t="s">
        <v>7673</v>
      </c>
      <c r="B1473" t="str">
        <f>IF(ISERROR(VLOOKUP(F1473,STEP!A:A, 1, FALSE)), "N", "Y")</f>
        <v>N</v>
      </c>
      <c r="C1473" t="str">
        <f>IF(ISERROR(VLOOKUP(E1473, BibleInEveryLanguageTexts!A:A, 1, FALSE)), "N", "Y")</f>
        <v>N</v>
      </c>
      <c r="D1473" t="str">
        <f t="shared" si="44"/>
        <v>X</v>
      </c>
      <c r="E1473" t="s">
        <v>3481</v>
      </c>
      <c r="F1473" t="s">
        <v>3482</v>
      </c>
      <c r="G1473" t="s">
        <v>3133</v>
      </c>
      <c r="H1473" t="s">
        <v>3483</v>
      </c>
      <c r="I1473" t="s">
        <v>2661</v>
      </c>
      <c r="J1473" t="str">
        <f>IF(0 = IFERROR(VLOOKUP(DBL_FullList!I1473, ContactsDbl!B:D, 2, FALSE), ""), "", IFERROR(VLOOKUP(DBL_FullList!I1473, ContactsDbl!B:D, 2, FALSE), ""))</f>
        <v>dbladmin_intl@sil.org</v>
      </c>
      <c r="K1473" t="str">
        <f>IF(0 = IFERROR(VLOOKUP(DBL_FullList!I1473,ContactsDbl!B:D, 3, FALSE), ""), "", IFERROR(VLOOKUP(DBL_FullList!I1473, ContactsDbl!B:D, 3, FALSE), ""))</f>
        <v>http://www.wycliffe.org</v>
      </c>
      <c r="L1473">
        <f t="shared" si="45"/>
        <v>2</v>
      </c>
    </row>
    <row r="1474" spans="1:12" x14ac:dyDescent="0.25">
      <c r="A1474" t="s">
        <v>7674</v>
      </c>
      <c r="B1474" t="str">
        <f>IF(ISERROR(VLOOKUP(F1474,STEP!A:A, 1, FALSE)), "N", "Y")</f>
        <v>N</v>
      </c>
      <c r="C1474" t="str">
        <f>IF(ISERROR(VLOOKUP(E1474, BibleInEveryLanguageTexts!A:A, 1, FALSE)), "N", "Y")</f>
        <v>N</v>
      </c>
      <c r="D1474" t="str">
        <f t="shared" si="44"/>
        <v>X</v>
      </c>
      <c r="E1474" t="s">
        <v>4723</v>
      </c>
      <c r="F1474" t="s">
        <v>4724</v>
      </c>
      <c r="G1474" t="s">
        <v>2984</v>
      </c>
      <c r="H1474" t="s">
        <v>7675</v>
      </c>
      <c r="I1474" t="s">
        <v>2661</v>
      </c>
      <c r="J1474" t="str">
        <f>IF(0 = IFERROR(VLOOKUP(DBL_FullList!I1474, ContactsDbl!B:D, 2, FALSE), ""), "", IFERROR(VLOOKUP(DBL_FullList!I1474, ContactsDbl!B:D, 2, FALSE), ""))</f>
        <v>dbladmin_intl@sil.org</v>
      </c>
      <c r="K1474" t="str">
        <f>IF(0 = IFERROR(VLOOKUP(DBL_FullList!I1474,ContactsDbl!B:D, 3, FALSE), ""), "", IFERROR(VLOOKUP(DBL_FullList!I1474, ContactsDbl!B:D, 3, FALSE), ""))</f>
        <v>http://www.wycliffe.org</v>
      </c>
      <c r="L1474">
        <f t="shared" si="45"/>
        <v>2</v>
      </c>
    </row>
    <row r="1475" spans="1:12" x14ac:dyDescent="0.25">
      <c r="A1475" t="s">
        <v>7676</v>
      </c>
      <c r="B1475" t="str">
        <f>IF(ISERROR(VLOOKUP(F1475,STEP!A:A, 1, FALSE)), "N", "Y")</f>
        <v>N</v>
      </c>
      <c r="C1475" t="str">
        <f>IF(ISERROR(VLOOKUP(E1475, BibleInEveryLanguageTexts!A:A, 1, FALSE)), "N", "Y")</f>
        <v>N</v>
      </c>
      <c r="D1475" t="str">
        <f t="shared" ref="D1475:D1538" si="46">IF(AND("N" = B1475, "N" = C1475), "X", "")</f>
        <v>X</v>
      </c>
      <c r="E1475" t="s">
        <v>7677</v>
      </c>
      <c r="F1475" t="s">
        <v>5050</v>
      </c>
      <c r="G1475" t="s">
        <v>3133</v>
      </c>
      <c r="H1475" t="s">
        <v>7678</v>
      </c>
      <c r="I1475" t="s">
        <v>2661</v>
      </c>
      <c r="J1475" t="str">
        <f>IF(0 = IFERROR(VLOOKUP(DBL_FullList!I1475, ContactsDbl!B:D, 2, FALSE), ""), "", IFERROR(VLOOKUP(DBL_FullList!I1475, ContactsDbl!B:D, 2, FALSE), ""))</f>
        <v>dbladmin_intl@sil.org</v>
      </c>
      <c r="K1475" t="str">
        <f>IF(0 = IFERROR(VLOOKUP(DBL_FullList!I1475,ContactsDbl!B:D, 3, FALSE), ""), "", IFERROR(VLOOKUP(DBL_FullList!I1475, ContactsDbl!B:D, 3, FALSE), ""))</f>
        <v>http://www.wycliffe.org</v>
      </c>
      <c r="L1475">
        <f t="shared" ref="L1475:L1538" si="47">IF("" &lt;&gt; J1475, 2, IF("" &lt;&gt; K1475, 1, 0))</f>
        <v>2</v>
      </c>
    </row>
    <row r="1476" spans="1:12" x14ac:dyDescent="0.25">
      <c r="A1476" t="s">
        <v>7679</v>
      </c>
      <c r="B1476" t="str">
        <f>IF(ISERROR(VLOOKUP(F1476,STEP!A:A, 1, FALSE)), "N", "Y")</f>
        <v>Y</v>
      </c>
      <c r="C1476" t="str">
        <f>IF(ISERROR(VLOOKUP(E1476, BibleInEveryLanguageTexts!A:A, 1, FALSE)), "N", "Y")</f>
        <v>N</v>
      </c>
      <c r="D1476" t="str">
        <f t="shared" si="46"/>
        <v/>
      </c>
      <c r="E1476" t="s">
        <v>7680</v>
      </c>
      <c r="F1476" t="s">
        <v>7681</v>
      </c>
      <c r="G1476" t="s">
        <v>48</v>
      </c>
      <c r="H1476" t="s">
        <v>7682</v>
      </c>
      <c r="I1476" t="s">
        <v>2661</v>
      </c>
      <c r="J1476" t="str">
        <f>IF(0 = IFERROR(VLOOKUP(DBL_FullList!I1476, ContactsDbl!B:D, 2, FALSE), ""), "", IFERROR(VLOOKUP(DBL_FullList!I1476, ContactsDbl!B:D, 2, FALSE), ""))</f>
        <v>dbladmin_intl@sil.org</v>
      </c>
      <c r="K1476" t="str">
        <f>IF(0 = IFERROR(VLOOKUP(DBL_FullList!I1476,ContactsDbl!B:D, 3, FALSE), ""), "", IFERROR(VLOOKUP(DBL_FullList!I1476, ContactsDbl!B:D, 3, FALSE), ""))</f>
        <v>http://www.wycliffe.org</v>
      </c>
      <c r="L1476">
        <f t="shared" si="47"/>
        <v>2</v>
      </c>
    </row>
    <row r="1477" spans="1:12" x14ac:dyDescent="0.25">
      <c r="A1477" t="s">
        <v>7683</v>
      </c>
      <c r="B1477" t="str">
        <f>IF(ISERROR(VLOOKUP(F1477,STEP!A:A, 1, FALSE)), "N", "Y")</f>
        <v>N</v>
      </c>
      <c r="C1477" t="str">
        <f>IF(ISERROR(VLOOKUP(E1477, BibleInEveryLanguageTexts!A:A, 1, FALSE)), "N", "Y")</f>
        <v>N</v>
      </c>
      <c r="D1477" t="str">
        <f t="shared" si="46"/>
        <v>X</v>
      </c>
      <c r="E1477" t="s">
        <v>7684</v>
      </c>
      <c r="F1477" t="s">
        <v>7685</v>
      </c>
      <c r="G1477" t="s">
        <v>2723</v>
      </c>
      <c r="H1477" t="s">
        <v>7686</v>
      </c>
      <c r="I1477" t="s">
        <v>2661</v>
      </c>
      <c r="J1477" t="str">
        <f>IF(0 = IFERROR(VLOOKUP(DBL_FullList!I1477, ContactsDbl!B:D, 2, FALSE), ""), "", IFERROR(VLOOKUP(DBL_FullList!I1477, ContactsDbl!B:D, 2, FALSE), ""))</f>
        <v>dbladmin_intl@sil.org</v>
      </c>
      <c r="K1477" t="str">
        <f>IF(0 = IFERROR(VLOOKUP(DBL_FullList!I1477,ContactsDbl!B:D, 3, FALSE), ""), "", IFERROR(VLOOKUP(DBL_FullList!I1477, ContactsDbl!B:D, 3, FALSE), ""))</f>
        <v>http://www.wycliffe.org</v>
      </c>
      <c r="L1477">
        <f t="shared" si="47"/>
        <v>2</v>
      </c>
    </row>
    <row r="1478" spans="1:12" x14ac:dyDescent="0.25">
      <c r="A1478" t="s">
        <v>7687</v>
      </c>
      <c r="B1478" t="str">
        <f>IF(ISERROR(VLOOKUP(F1478,STEP!A:A, 1, FALSE)), "N", "Y")</f>
        <v>N</v>
      </c>
      <c r="C1478" t="str">
        <f>IF(ISERROR(VLOOKUP(E1478, BibleInEveryLanguageTexts!A:A, 1, FALSE)), "N", "Y")</f>
        <v>N</v>
      </c>
      <c r="D1478" t="str">
        <f t="shared" si="46"/>
        <v>X</v>
      </c>
      <c r="E1478" t="s">
        <v>3072</v>
      </c>
      <c r="F1478" t="s">
        <v>3073</v>
      </c>
      <c r="G1478" t="s">
        <v>3074</v>
      </c>
      <c r="H1478" t="s">
        <v>7688</v>
      </c>
      <c r="I1478" t="s">
        <v>2673</v>
      </c>
      <c r="J1478" t="str">
        <f>IF(0 = IFERROR(VLOOKUP(DBL_FullList!I1478, ContactsDbl!B:D, 2, FALSE), ""), "", IFERROR(VLOOKUP(DBL_FullList!I1478, ContactsDbl!B:D, 2, FALSE), ""))</f>
        <v>gnyirenda@biblesociety-zambia.org</v>
      </c>
      <c r="K1478" t="str">
        <f>IF(0 = IFERROR(VLOOKUP(DBL_FullList!I1478,ContactsDbl!B:D, 3, FALSE), ""), "", IFERROR(VLOOKUP(DBL_FullList!I1478, ContactsDbl!B:D, 3, FALSE), ""))</f>
        <v>www.biblesociety-zambia.org</v>
      </c>
      <c r="L1478">
        <f t="shared" si="47"/>
        <v>2</v>
      </c>
    </row>
    <row r="1479" spans="1:12" x14ac:dyDescent="0.25">
      <c r="A1479" t="s">
        <v>7689</v>
      </c>
      <c r="B1479" t="str">
        <f>IF(ISERROR(VLOOKUP(F1479,STEP!A:A, 1, FALSE)), "N", "Y")</f>
        <v>Y</v>
      </c>
      <c r="C1479" t="str">
        <f>IF(ISERROR(VLOOKUP(E1479, BibleInEveryLanguageTexts!A:A, 1, FALSE)), "N", "Y")</f>
        <v>N</v>
      </c>
      <c r="D1479" t="str">
        <f t="shared" si="46"/>
        <v/>
      </c>
      <c r="E1479" t="s">
        <v>7690</v>
      </c>
      <c r="F1479" t="s">
        <v>7691</v>
      </c>
      <c r="G1479" t="s">
        <v>48</v>
      </c>
      <c r="H1479" t="s">
        <v>7692</v>
      </c>
      <c r="I1479" t="s">
        <v>2661</v>
      </c>
      <c r="J1479" t="str">
        <f>IF(0 = IFERROR(VLOOKUP(DBL_FullList!I1479, ContactsDbl!B:D, 2, FALSE), ""), "", IFERROR(VLOOKUP(DBL_FullList!I1479, ContactsDbl!B:D, 2, FALSE), ""))</f>
        <v>dbladmin_intl@sil.org</v>
      </c>
      <c r="K1479" t="str">
        <f>IF(0 = IFERROR(VLOOKUP(DBL_FullList!I1479,ContactsDbl!B:D, 3, FALSE), ""), "", IFERROR(VLOOKUP(DBL_FullList!I1479, ContactsDbl!B:D, 3, FALSE), ""))</f>
        <v>http://www.wycliffe.org</v>
      </c>
      <c r="L1479">
        <f t="shared" si="47"/>
        <v>2</v>
      </c>
    </row>
    <row r="1480" spans="1:12" x14ac:dyDescent="0.25">
      <c r="A1480" t="s">
        <v>7693</v>
      </c>
      <c r="B1480" t="str">
        <f>IF(ISERROR(VLOOKUP(F1480,STEP!A:A, 1, FALSE)), "N", "Y")</f>
        <v>N</v>
      </c>
      <c r="C1480" t="str">
        <f>IF(ISERROR(VLOOKUP(E1480, BibleInEveryLanguageTexts!A:A, 1, FALSE)), "N", "Y")</f>
        <v>N</v>
      </c>
      <c r="D1480" t="str">
        <f t="shared" si="46"/>
        <v>X</v>
      </c>
      <c r="E1480" t="s">
        <v>7694</v>
      </c>
      <c r="F1480" t="s">
        <v>7695</v>
      </c>
      <c r="G1480" t="s">
        <v>77</v>
      </c>
      <c r="H1480" t="s">
        <v>7696</v>
      </c>
      <c r="I1480" t="s">
        <v>2661</v>
      </c>
      <c r="J1480" t="str">
        <f>IF(0 = IFERROR(VLOOKUP(DBL_FullList!I1480, ContactsDbl!B:D, 2, FALSE), ""), "", IFERROR(VLOOKUP(DBL_FullList!I1480, ContactsDbl!B:D, 2, FALSE), ""))</f>
        <v>dbladmin_intl@sil.org</v>
      </c>
      <c r="K1480" t="str">
        <f>IF(0 = IFERROR(VLOOKUP(DBL_FullList!I1480,ContactsDbl!B:D, 3, FALSE), ""), "", IFERROR(VLOOKUP(DBL_FullList!I1480, ContactsDbl!B:D, 3, FALSE), ""))</f>
        <v>http://www.wycliffe.org</v>
      </c>
      <c r="L1480">
        <f t="shared" si="47"/>
        <v>2</v>
      </c>
    </row>
    <row r="1481" spans="1:12" x14ac:dyDescent="0.25">
      <c r="A1481" t="s">
        <v>7697</v>
      </c>
      <c r="B1481" t="str">
        <f>IF(ISERROR(VLOOKUP(F1481,STEP!A:A, 1, FALSE)), "N", "Y")</f>
        <v>N</v>
      </c>
      <c r="C1481" t="str">
        <f>IF(ISERROR(VLOOKUP(E1481, BibleInEveryLanguageTexts!A:A, 1, FALSE)), "N", "Y")</f>
        <v>N</v>
      </c>
      <c r="D1481" t="str">
        <f t="shared" si="46"/>
        <v>X</v>
      </c>
      <c r="E1481" t="s">
        <v>7698</v>
      </c>
      <c r="F1481" t="s">
        <v>4297</v>
      </c>
      <c r="G1481" t="s">
        <v>268</v>
      </c>
      <c r="H1481" t="s">
        <v>7699</v>
      </c>
      <c r="I1481" t="s">
        <v>2131</v>
      </c>
      <c r="J1481" t="str">
        <f>IF(0 = IFERROR(VLOOKUP(DBL_FullList!I1481, ContactsDbl!B:D, 2, FALSE), ""), "", IFERROR(VLOOKUP(DBL_FullList!I1481, ContactsDbl!B:D, 2, FALSE), ""))</f>
        <v>dbl@biblesociety.ca</v>
      </c>
      <c r="K1481" t="str">
        <f>IF(0 = IFERROR(VLOOKUP(DBL_FullList!I1481,ContactsDbl!B:D, 3, FALSE), ""), "", IFERROR(VLOOKUP(DBL_FullList!I1481, ContactsDbl!B:D, 3, FALSE), ""))</f>
        <v>http://www.biblesociety.ca</v>
      </c>
      <c r="L1481">
        <f t="shared" si="47"/>
        <v>2</v>
      </c>
    </row>
    <row r="1482" spans="1:12" x14ac:dyDescent="0.25">
      <c r="A1482" t="s">
        <v>7700</v>
      </c>
      <c r="B1482" t="str">
        <f>IF(ISERROR(VLOOKUP(F1482,STEP!A:A, 1, FALSE)), "N", "Y")</f>
        <v>Y</v>
      </c>
      <c r="C1482" t="str">
        <f>IF(ISERROR(VLOOKUP(E1482, BibleInEveryLanguageTexts!A:A, 1, FALSE)), "N", "Y")</f>
        <v>N</v>
      </c>
      <c r="D1482" t="str">
        <f t="shared" si="46"/>
        <v/>
      </c>
      <c r="E1482" t="s">
        <v>7701</v>
      </c>
      <c r="F1482" t="s">
        <v>7702</v>
      </c>
      <c r="G1482" t="s">
        <v>48</v>
      </c>
      <c r="H1482" t="s">
        <v>7703</v>
      </c>
      <c r="I1482" t="s">
        <v>2661</v>
      </c>
      <c r="J1482" t="str">
        <f>IF(0 = IFERROR(VLOOKUP(DBL_FullList!I1482, ContactsDbl!B:D, 2, FALSE), ""), "", IFERROR(VLOOKUP(DBL_FullList!I1482, ContactsDbl!B:D, 2, FALSE), ""))</f>
        <v>dbladmin_intl@sil.org</v>
      </c>
      <c r="K1482" t="str">
        <f>IF(0 = IFERROR(VLOOKUP(DBL_FullList!I1482,ContactsDbl!B:D, 3, FALSE), ""), "", IFERROR(VLOOKUP(DBL_FullList!I1482, ContactsDbl!B:D, 3, FALSE), ""))</f>
        <v>http://www.wycliffe.org</v>
      </c>
      <c r="L1482">
        <f t="shared" si="47"/>
        <v>2</v>
      </c>
    </row>
    <row r="1483" spans="1:12" x14ac:dyDescent="0.25">
      <c r="A1483" t="s">
        <v>7704</v>
      </c>
      <c r="B1483" t="str">
        <f>IF(ISERROR(VLOOKUP(F1483,STEP!A:A, 1, FALSE)), "N", "Y")</f>
        <v>N</v>
      </c>
      <c r="C1483" t="str">
        <f>IF(ISERROR(VLOOKUP(E1483, BibleInEveryLanguageTexts!A:A, 1, FALSE)), "N", "Y")</f>
        <v>N</v>
      </c>
      <c r="D1483" t="str">
        <f t="shared" si="46"/>
        <v>X</v>
      </c>
      <c r="E1483" t="s">
        <v>4340</v>
      </c>
      <c r="F1483" t="s">
        <v>4341</v>
      </c>
      <c r="G1483" t="s">
        <v>3663</v>
      </c>
      <c r="H1483" t="s">
        <v>7705</v>
      </c>
      <c r="I1483" t="s">
        <v>2122</v>
      </c>
      <c r="J1483" t="str">
        <f>IF(0 = IFERROR(VLOOKUP(DBL_FullList!I1483, ContactsDbl!B:D, 2, FALSE), ""), "", IFERROR(VLOOKUP(DBL_FullList!I1483, ContactsDbl!B:D, 2, FALSE), ""))</f>
        <v>apostolov@biblesociety.bg</v>
      </c>
      <c r="K1483" t="str">
        <f>IF(0 = IFERROR(VLOOKUP(DBL_FullList!I1483,ContactsDbl!B:D, 3, FALSE), ""), "", IFERROR(VLOOKUP(DBL_FullList!I1483, ContactsDbl!B:D, 3, FALSE), ""))</f>
        <v>www.biblesocety.bg</v>
      </c>
      <c r="L1483">
        <f t="shared" si="47"/>
        <v>2</v>
      </c>
    </row>
    <row r="1484" spans="1:12" x14ac:dyDescent="0.25">
      <c r="A1484" t="s">
        <v>7706</v>
      </c>
      <c r="B1484" t="str">
        <f>IF(ISERROR(VLOOKUP(F1484,STEP!A:A, 1, FALSE)), "N", "Y")</f>
        <v>Y</v>
      </c>
      <c r="C1484" t="str">
        <f>IF(ISERROR(VLOOKUP(E1484, BibleInEveryLanguageTexts!A:A, 1, FALSE)), "N", "Y")</f>
        <v>N</v>
      </c>
      <c r="D1484" t="str">
        <f t="shared" si="46"/>
        <v/>
      </c>
      <c r="E1484" t="s">
        <v>7707</v>
      </c>
      <c r="F1484" t="s">
        <v>7708</v>
      </c>
      <c r="G1484" t="s">
        <v>48</v>
      </c>
      <c r="H1484" t="s">
        <v>7709</v>
      </c>
      <c r="I1484" t="s">
        <v>2661</v>
      </c>
      <c r="J1484" t="str">
        <f>IF(0 = IFERROR(VLOOKUP(DBL_FullList!I1484, ContactsDbl!B:D, 2, FALSE), ""), "", IFERROR(VLOOKUP(DBL_FullList!I1484, ContactsDbl!B:D, 2, FALSE), ""))</f>
        <v>dbladmin_intl@sil.org</v>
      </c>
      <c r="K1484" t="str">
        <f>IF(0 = IFERROR(VLOOKUP(DBL_FullList!I1484,ContactsDbl!B:D, 3, FALSE), ""), "", IFERROR(VLOOKUP(DBL_FullList!I1484, ContactsDbl!B:D, 3, FALSE), ""))</f>
        <v>http://www.wycliffe.org</v>
      </c>
      <c r="L1484">
        <f t="shared" si="47"/>
        <v>2</v>
      </c>
    </row>
    <row r="1485" spans="1:12" x14ac:dyDescent="0.25">
      <c r="A1485" t="s">
        <v>7710</v>
      </c>
      <c r="B1485" t="str">
        <f>IF(ISERROR(VLOOKUP(F1485,STEP!A:A, 1, FALSE)), "N", "Y")</f>
        <v>Y</v>
      </c>
      <c r="C1485" t="str">
        <f>IF(ISERROR(VLOOKUP(E1485, BibleInEveryLanguageTexts!A:A, 1, FALSE)), "N", "Y")</f>
        <v>N</v>
      </c>
      <c r="D1485" t="str">
        <f t="shared" si="46"/>
        <v/>
      </c>
      <c r="E1485" t="s">
        <v>7711</v>
      </c>
      <c r="F1485" t="s">
        <v>7712</v>
      </c>
      <c r="G1485" t="s">
        <v>48</v>
      </c>
      <c r="H1485" t="s">
        <v>7713</v>
      </c>
      <c r="I1485" t="s">
        <v>2661</v>
      </c>
      <c r="J1485" t="str">
        <f>IF(0 = IFERROR(VLOOKUP(DBL_FullList!I1485, ContactsDbl!B:D, 2, FALSE), ""), "", IFERROR(VLOOKUP(DBL_FullList!I1485, ContactsDbl!B:D, 2, FALSE), ""))</f>
        <v>dbladmin_intl@sil.org</v>
      </c>
      <c r="K1485" t="str">
        <f>IF(0 = IFERROR(VLOOKUP(DBL_FullList!I1485,ContactsDbl!B:D, 3, FALSE), ""), "", IFERROR(VLOOKUP(DBL_FullList!I1485, ContactsDbl!B:D, 3, FALSE), ""))</f>
        <v>http://www.wycliffe.org</v>
      </c>
      <c r="L1485">
        <f t="shared" si="47"/>
        <v>2</v>
      </c>
    </row>
    <row r="1486" spans="1:12" x14ac:dyDescent="0.25">
      <c r="A1486" t="s">
        <v>7714</v>
      </c>
      <c r="B1486" t="str">
        <f>IF(ISERROR(VLOOKUP(F1486,STEP!A:A, 1, FALSE)), "N", "Y")</f>
        <v>N</v>
      </c>
      <c r="C1486" t="str">
        <f>IF(ISERROR(VLOOKUP(E1486, BibleInEveryLanguageTexts!A:A, 1, FALSE)), "N", "Y")</f>
        <v>N</v>
      </c>
      <c r="D1486" t="str">
        <f t="shared" si="46"/>
        <v>X</v>
      </c>
      <c r="E1486" t="s">
        <v>7715</v>
      </c>
      <c r="F1486" t="s">
        <v>7716</v>
      </c>
      <c r="G1486" t="s">
        <v>2997</v>
      </c>
      <c r="H1486" t="s">
        <v>7717</v>
      </c>
      <c r="I1486" t="s">
        <v>2661</v>
      </c>
      <c r="J1486" t="str">
        <f>IF(0 = IFERROR(VLOOKUP(DBL_FullList!I1486, ContactsDbl!B:D, 2, FALSE), ""), "", IFERROR(VLOOKUP(DBL_FullList!I1486, ContactsDbl!B:D, 2, FALSE), ""))</f>
        <v>dbladmin_intl@sil.org</v>
      </c>
      <c r="K1486" t="str">
        <f>IF(0 = IFERROR(VLOOKUP(DBL_FullList!I1486,ContactsDbl!B:D, 3, FALSE), ""), "", IFERROR(VLOOKUP(DBL_FullList!I1486, ContactsDbl!B:D, 3, FALSE), ""))</f>
        <v>http://www.wycliffe.org</v>
      </c>
      <c r="L1486">
        <f t="shared" si="47"/>
        <v>2</v>
      </c>
    </row>
    <row r="1487" spans="1:12" x14ac:dyDescent="0.25">
      <c r="A1487" t="s">
        <v>7718</v>
      </c>
      <c r="B1487" t="str">
        <f>IF(ISERROR(VLOOKUP(F1487,STEP!A:A, 1, FALSE)), "N", "Y")</f>
        <v>N</v>
      </c>
      <c r="C1487" t="str">
        <f>IF(ISERROR(VLOOKUP(E1487, BibleInEveryLanguageTexts!A:A, 1, FALSE)), "N", "Y")</f>
        <v>N</v>
      </c>
      <c r="D1487" t="str">
        <f t="shared" si="46"/>
        <v>X</v>
      </c>
      <c r="E1487" t="s">
        <v>7719</v>
      </c>
      <c r="F1487" t="s">
        <v>7720</v>
      </c>
      <c r="G1487" t="s">
        <v>2880</v>
      </c>
      <c r="H1487" t="s">
        <v>7721</v>
      </c>
      <c r="I1487" t="s">
        <v>2661</v>
      </c>
      <c r="J1487" t="str">
        <f>IF(0 = IFERROR(VLOOKUP(DBL_FullList!I1487, ContactsDbl!B:D, 2, FALSE), ""), "", IFERROR(VLOOKUP(DBL_FullList!I1487, ContactsDbl!B:D, 2, FALSE), ""))</f>
        <v>dbladmin_intl@sil.org</v>
      </c>
      <c r="K1487" t="str">
        <f>IF(0 = IFERROR(VLOOKUP(DBL_FullList!I1487,ContactsDbl!B:D, 3, FALSE), ""), "", IFERROR(VLOOKUP(DBL_FullList!I1487, ContactsDbl!B:D, 3, FALSE), ""))</f>
        <v>http://www.wycliffe.org</v>
      </c>
      <c r="L1487">
        <f t="shared" si="47"/>
        <v>2</v>
      </c>
    </row>
    <row r="1488" spans="1:12" x14ac:dyDescent="0.25">
      <c r="A1488" t="s">
        <v>7722</v>
      </c>
      <c r="B1488" t="str">
        <f>IF(ISERROR(VLOOKUP(F1488,STEP!A:A, 1, FALSE)), "N", "Y")</f>
        <v>N</v>
      </c>
      <c r="C1488" t="str">
        <f>IF(ISERROR(VLOOKUP(E1488, BibleInEveryLanguageTexts!A:A, 1, FALSE)), "N", "Y")</f>
        <v>N</v>
      </c>
      <c r="D1488" t="str">
        <f t="shared" si="46"/>
        <v>X</v>
      </c>
      <c r="E1488" t="s">
        <v>7723</v>
      </c>
      <c r="F1488" t="s">
        <v>7724</v>
      </c>
      <c r="G1488" t="s">
        <v>2743</v>
      </c>
      <c r="H1488" t="s">
        <v>7725</v>
      </c>
      <c r="I1488" t="s">
        <v>2661</v>
      </c>
      <c r="J1488" t="str">
        <f>IF(0 = IFERROR(VLOOKUP(DBL_FullList!I1488, ContactsDbl!B:D, 2, FALSE), ""), "", IFERROR(VLOOKUP(DBL_FullList!I1488, ContactsDbl!B:D, 2, FALSE), ""))</f>
        <v>dbladmin_intl@sil.org</v>
      </c>
      <c r="K1488" t="str">
        <f>IF(0 = IFERROR(VLOOKUP(DBL_FullList!I1488,ContactsDbl!B:D, 3, FALSE), ""), "", IFERROR(VLOOKUP(DBL_FullList!I1488, ContactsDbl!B:D, 3, FALSE), ""))</f>
        <v>http://www.wycliffe.org</v>
      </c>
      <c r="L1488">
        <f t="shared" si="47"/>
        <v>2</v>
      </c>
    </row>
    <row r="1489" spans="1:12" x14ac:dyDescent="0.25">
      <c r="A1489" t="s">
        <v>7726</v>
      </c>
      <c r="B1489" t="str">
        <f>IF(ISERROR(VLOOKUP(F1489,STEP!A:A, 1, FALSE)), "N", "Y")</f>
        <v>Y</v>
      </c>
      <c r="C1489" t="str">
        <f>IF(ISERROR(VLOOKUP(E1489, BibleInEveryLanguageTexts!A:A, 1, FALSE)), "N", "Y")</f>
        <v>N</v>
      </c>
      <c r="D1489" t="str">
        <f t="shared" si="46"/>
        <v/>
      </c>
      <c r="E1489" t="s">
        <v>7727</v>
      </c>
      <c r="F1489" t="s">
        <v>7728</v>
      </c>
      <c r="G1489" t="s">
        <v>48</v>
      </c>
      <c r="H1489" t="s">
        <v>7729</v>
      </c>
      <c r="I1489" t="s">
        <v>2661</v>
      </c>
      <c r="J1489" t="str">
        <f>IF(0 = IFERROR(VLOOKUP(DBL_FullList!I1489, ContactsDbl!B:D, 2, FALSE), ""), "", IFERROR(VLOOKUP(DBL_FullList!I1489, ContactsDbl!B:D, 2, FALSE), ""))</f>
        <v>dbladmin_intl@sil.org</v>
      </c>
      <c r="K1489" t="str">
        <f>IF(0 = IFERROR(VLOOKUP(DBL_FullList!I1489,ContactsDbl!B:D, 3, FALSE), ""), "", IFERROR(VLOOKUP(DBL_FullList!I1489, ContactsDbl!B:D, 3, FALSE), ""))</f>
        <v>http://www.wycliffe.org</v>
      </c>
      <c r="L1489">
        <f t="shared" si="47"/>
        <v>2</v>
      </c>
    </row>
    <row r="1490" spans="1:12" x14ac:dyDescent="0.25">
      <c r="A1490" t="s">
        <v>7730</v>
      </c>
      <c r="B1490" t="str">
        <f>IF(ISERROR(VLOOKUP(F1490,STEP!A:A, 1, FALSE)), "N", "Y")</f>
        <v>N</v>
      </c>
      <c r="C1490" t="str">
        <f>IF(ISERROR(VLOOKUP(E1490, BibleInEveryLanguageTexts!A:A, 1, FALSE)), "N", "Y")</f>
        <v>N</v>
      </c>
      <c r="D1490" t="str">
        <f t="shared" si="46"/>
        <v>X</v>
      </c>
      <c r="E1490" t="s">
        <v>7731</v>
      </c>
      <c r="F1490" t="s">
        <v>7732</v>
      </c>
      <c r="G1490" t="s">
        <v>2733</v>
      </c>
      <c r="H1490" t="s">
        <v>7733</v>
      </c>
      <c r="I1490" t="s">
        <v>2661</v>
      </c>
      <c r="J1490" t="str">
        <f>IF(0 = IFERROR(VLOOKUP(DBL_FullList!I1490, ContactsDbl!B:D, 2, FALSE), ""), "", IFERROR(VLOOKUP(DBL_FullList!I1490, ContactsDbl!B:D, 2, FALSE), ""))</f>
        <v>dbladmin_intl@sil.org</v>
      </c>
      <c r="K1490" t="str">
        <f>IF(0 = IFERROR(VLOOKUP(DBL_FullList!I1490,ContactsDbl!B:D, 3, FALSE), ""), "", IFERROR(VLOOKUP(DBL_FullList!I1490, ContactsDbl!B:D, 3, FALSE), ""))</f>
        <v>http://www.wycliffe.org</v>
      </c>
      <c r="L1490">
        <f t="shared" si="47"/>
        <v>2</v>
      </c>
    </row>
    <row r="1491" spans="1:12" x14ac:dyDescent="0.25">
      <c r="A1491" t="s">
        <v>7734</v>
      </c>
      <c r="B1491" t="str">
        <f>IF(ISERROR(VLOOKUP(F1491,STEP!A:A, 1, FALSE)), "N", "Y")</f>
        <v>N</v>
      </c>
      <c r="C1491" t="str">
        <f>IF(ISERROR(VLOOKUP(E1491, BibleInEveryLanguageTexts!A:A, 1, FALSE)), "N", "Y")</f>
        <v>N</v>
      </c>
      <c r="D1491" t="str">
        <f t="shared" si="46"/>
        <v>X</v>
      </c>
      <c r="E1491" t="s">
        <v>7735</v>
      </c>
      <c r="F1491" t="s">
        <v>7736</v>
      </c>
      <c r="G1491" t="s">
        <v>4200</v>
      </c>
      <c r="H1491" t="s">
        <v>7737</v>
      </c>
      <c r="I1491" t="s">
        <v>2452</v>
      </c>
      <c r="J1491" t="str">
        <f>IF(0 = IFERROR(VLOOKUP(DBL_FullList!I1491, ContactsDbl!B:D, 2, FALSE), ""), "", IFERROR(VLOOKUP(DBL_FullList!I1491, ContactsDbl!B:D, 2, FALSE), ""))</f>
        <v>bsmalawi-dbl@biblesocieties.org</v>
      </c>
      <c r="K1491" t="str">
        <f>IF(0 = IFERROR(VLOOKUP(DBL_FullList!I1491,ContactsDbl!B:D, 3, FALSE), ""), "", IFERROR(VLOOKUP(DBL_FullList!I1491, ContactsDbl!B:D, 3, FALSE), ""))</f>
        <v>http://www.biblesociety-malawi.org/</v>
      </c>
      <c r="L1491">
        <f t="shared" si="47"/>
        <v>2</v>
      </c>
    </row>
    <row r="1492" spans="1:12" x14ac:dyDescent="0.25">
      <c r="A1492" t="s">
        <v>7738</v>
      </c>
      <c r="B1492" t="str">
        <f>IF(ISERROR(VLOOKUP(F1492,STEP!A:A, 1, FALSE)), "N", "Y")</f>
        <v>Y</v>
      </c>
      <c r="C1492" t="str">
        <f>IF(ISERROR(VLOOKUP(E1492, BibleInEveryLanguageTexts!A:A, 1, FALSE)), "N", "Y")</f>
        <v>N</v>
      </c>
      <c r="D1492" t="str">
        <f t="shared" si="46"/>
        <v/>
      </c>
      <c r="E1492" t="s">
        <v>3760</v>
      </c>
      <c r="F1492" t="s">
        <v>3761</v>
      </c>
      <c r="G1492" t="s">
        <v>48</v>
      </c>
      <c r="H1492" t="s">
        <v>7739</v>
      </c>
      <c r="I1492" t="s">
        <v>2661</v>
      </c>
      <c r="J1492" t="str">
        <f>IF(0 = IFERROR(VLOOKUP(DBL_FullList!I1492, ContactsDbl!B:D, 2, FALSE), ""), "", IFERROR(VLOOKUP(DBL_FullList!I1492, ContactsDbl!B:D, 2, FALSE), ""))</f>
        <v>dbladmin_intl@sil.org</v>
      </c>
      <c r="K1492" t="str">
        <f>IF(0 = IFERROR(VLOOKUP(DBL_FullList!I1492,ContactsDbl!B:D, 3, FALSE), ""), "", IFERROR(VLOOKUP(DBL_FullList!I1492, ContactsDbl!B:D, 3, FALSE), ""))</f>
        <v>http://www.wycliffe.org</v>
      </c>
      <c r="L1492">
        <f t="shared" si="47"/>
        <v>2</v>
      </c>
    </row>
    <row r="1493" spans="1:12" x14ac:dyDescent="0.25">
      <c r="A1493" t="s">
        <v>7740</v>
      </c>
      <c r="B1493" t="str">
        <f>IF(ISERROR(VLOOKUP(F1493,STEP!A:A, 1, FALSE)), "N", "Y")</f>
        <v>Y</v>
      </c>
      <c r="C1493" t="str">
        <f>IF(ISERROR(VLOOKUP(E1493, BibleInEveryLanguageTexts!A:A, 1, FALSE)), "N", "Y")</f>
        <v>N</v>
      </c>
      <c r="D1493" t="str">
        <f t="shared" si="46"/>
        <v/>
      </c>
      <c r="E1493" t="s">
        <v>7741</v>
      </c>
      <c r="F1493" t="s">
        <v>7742</v>
      </c>
      <c r="G1493" t="s">
        <v>48</v>
      </c>
      <c r="H1493" t="s">
        <v>7743</v>
      </c>
      <c r="I1493" t="s">
        <v>2661</v>
      </c>
      <c r="J1493" t="str">
        <f>IF(0 = IFERROR(VLOOKUP(DBL_FullList!I1493, ContactsDbl!B:D, 2, FALSE), ""), "", IFERROR(VLOOKUP(DBL_FullList!I1493, ContactsDbl!B:D, 2, FALSE), ""))</f>
        <v>dbladmin_intl@sil.org</v>
      </c>
      <c r="K1493" t="str">
        <f>IF(0 = IFERROR(VLOOKUP(DBL_FullList!I1493,ContactsDbl!B:D, 3, FALSE), ""), "", IFERROR(VLOOKUP(DBL_FullList!I1493, ContactsDbl!B:D, 3, FALSE), ""))</f>
        <v>http://www.wycliffe.org</v>
      </c>
      <c r="L1493">
        <f t="shared" si="47"/>
        <v>2</v>
      </c>
    </row>
    <row r="1494" spans="1:12" x14ac:dyDescent="0.25">
      <c r="A1494" t="s">
        <v>7744</v>
      </c>
      <c r="B1494" t="str">
        <f>IF(ISERROR(VLOOKUP(F1494,STEP!A:A, 1, FALSE)), "N", "Y")</f>
        <v>N</v>
      </c>
      <c r="C1494" t="str">
        <f>IF(ISERROR(VLOOKUP(E1494, BibleInEveryLanguageTexts!A:A, 1, FALSE)), "N", "Y")</f>
        <v>Y</v>
      </c>
      <c r="D1494" t="str">
        <f t="shared" si="46"/>
        <v/>
      </c>
      <c r="E1494" t="s">
        <v>320</v>
      </c>
      <c r="F1494" t="s">
        <v>319</v>
      </c>
      <c r="G1494" t="s">
        <v>20</v>
      </c>
      <c r="H1494" t="s">
        <v>7745</v>
      </c>
      <c r="I1494" t="s">
        <v>2329</v>
      </c>
      <c r="J1494" t="str">
        <f>IF(0 = IFERROR(VLOOKUP(DBL_FullList!I1494, ContactsDbl!B:D, 2, FALSE), ""), "", IFERROR(VLOOKUP(DBL_FullList!I1494, ContactsDbl!B:D, 2, FALSE), ""))</f>
        <v/>
      </c>
      <c r="K1494" t="str">
        <f>IF(0 = IFERROR(VLOOKUP(DBL_FullList!I1494,ContactsDbl!B:D, 3, FALSE), ""), "", IFERROR(VLOOKUP(DBL_FullList!I1494, ContactsDbl!B:D, 3, FALSE), ""))</f>
        <v>http://www.bsind.org/</v>
      </c>
      <c r="L1494">
        <f t="shared" si="47"/>
        <v>1</v>
      </c>
    </row>
    <row r="1495" spans="1:12" x14ac:dyDescent="0.25">
      <c r="A1495" s="1" t="s">
        <v>7746</v>
      </c>
      <c r="B1495" t="str">
        <f>IF(ISERROR(VLOOKUP(F1495,STEP!A:A, 1, FALSE)), "N", "Y")</f>
        <v>N</v>
      </c>
      <c r="C1495" t="str">
        <f>IF(ISERROR(VLOOKUP(E1495, BibleInEveryLanguageTexts!A:A, 1, FALSE)), "N", "Y")</f>
        <v>N</v>
      </c>
      <c r="D1495" t="str">
        <f t="shared" si="46"/>
        <v>X</v>
      </c>
      <c r="E1495" t="s">
        <v>4042</v>
      </c>
      <c r="F1495" t="s">
        <v>4043</v>
      </c>
      <c r="G1495" t="s">
        <v>2723</v>
      </c>
      <c r="H1495" t="s">
        <v>7747</v>
      </c>
      <c r="I1495" t="s">
        <v>2502</v>
      </c>
      <c r="J1495" t="str">
        <f>IF(0 = IFERROR(VLOOKUP(DBL_FullList!I1495, ContactsDbl!B:D, 2, FALSE), ""), "", IFERROR(VLOOKUP(DBL_FullList!I1495, ContactsDbl!B:D, 2, FALSE), ""))</f>
        <v/>
      </c>
      <c r="K1495" t="str">
        <f>IF(0 = IFERROR(VLOOKUP(DBL_FullList!I1495,ContactsDbl!B:D, 3, FALSE), ""), "", IFERROR(VLOOKUP(DBL_FullList!I1495, ContactsDbl!B:D, 3, FALSE), ""))</f>
        <v>http://www.sbp.org.pe/</v>
      </c>
      <c r="L1495">
        <f t="shared" si="47"/>
        <v>1</v>
      </c>
    </row>
    <row r="1496" spans="1:12" x14ac:dyDescent="0.25">
      <c r="A1496" t="s">
        <v>7748</v>
      </c>
      <c r="B1496" t="str">
        <f>IF(ISERROR(VLOOKUP(F1496,STEP!A:A, 1, FALSE)), "N", "Y")</f>
        <v>N</v>
      </c>
      <c r="C1496" t="str">
        <f>IF(ISERROR(VLOOKUP(E1496, BibleInEveryLanguageTexts!A:A, 1, FALSE)), "N", "Y")</f>
        <v>N</v>
      </c>
      <c r="D1496" t="str">
        <f t="shared" si="46"/>
        <v>X</v>
      </c>
      <c r="E1496" t="s">
        <v>7749</v>
      </c>
      <c r="F1496" t="s">
        <v>3502</v>
      </c>
      <c r="G1496" t="s">
        <v>3133</v>
      </c>
      <c r="H1496" t="s">
        <v>7750</v>
      </c>
      <c r="I1496" t="s">
        <v>2661</v>
      </c>
      <c r="J1496" t="str">
        <f>IF(0 = IFERROR(VLOOKUP(DBL_FullList!I1496, ContactsDbl!B:D, 2, FALSE), ""), "", IFERROR(VLOOKUP(DBL_FullList!I1496, ContactsDbl!B:D, 2, FALSE), ""))</f>
        <v>dbladmin_intl@sil.org</v>
      </c>
      <c r="K1496" t="str">
        <f>IF(0 = IFERROR(VLOOKUP(DBL_FullList!I1496,ContactsDbl!B:D, 3, FALSE), ""), "", IFERROR(VLOOKUP(DBL_FullList!I1496, ContactsDbl!B:D, 3, FALSE), ""))</f>
        <v>http://www.wycliffe.org</v>
      </c>
      <c r="L1496">
        <f t="shared" si="47"/>
        <v>2</v>
      </c>
    </row>
    <row r="1497" spans="1:12" x14ac:dyDescent="0.25">
      <c r="A1497" t="s">
        <v>7751</v>
      </c>
      <c r="B1497" t="str">
        <f>IF(ISERROR(VLOOKUP(F1497,STEP!A:A, 1, FALSE)), "N", "Y")</f>
        <v>Y</v>
      </c>
      <c r="C1497" t="str">
        <f>IF(ISERROR(VLOOKUP(E1497, BibleInEveryLanguageTexts!A:A, 1, FALSE)), "N", "Y")</f>
        <v>N</v>
      </c>
      <c r="D1497" t="str">
        <f t="shared" si="46"/>
        <v/>
      </c>
      <c r="E1497" t="s">
        <v>7752</v>
      </c>
      <c r="F1497" t="s">
        <v>7753</v>
      </c>
      <c r="G1497" t="s">
        <v>48</v>
      </c>
      <c r="H1497" t="s">
        <v>7754</v>
      </c>
      <c r="I1497" t="s">
        <v>2661</v>
      </c>
      <c r="J1497" t="str">
        <f>IF(0 = IFERROR(VLOOKUP(DBL_FullList!I1497, ContactsDbl!B:D, 2, FALSE), ""), "", IFERROR(VLOOKUP(DBL_FullList!I1497, ContactsDbl!B:D, 2, FALSE), ""))</f>
        <v>dbladmin_intl@sil.org</v>
      </c>
      <c r="K1497" t="str">
        <f>IF(0 = IFERROR(VLOOKUP(DBL_FullList!I1497,ContactsDbl!B:D, 3, FALSE), ""), "", IFERROR(VLOOKUP(DBL_FullList!I1497, ContactsDbl!B:D, 3, FALSE), ""))</f>
        <v>http://www.wycliffe.org</v>
      </c>
      <c r="L1497">
        <f t="shared" si="47"/>
        <v>2</v>
      </c>
    </row>
    <row r="1498" spans="1:12" x14ac:dyDescent="0.25">
      <c r="A1498" t="s">
        <v>7755</v>
      </c>
      <c r="B1498" t="str">
        <f>IF(ISERROR(VLOOKUP(F1498,STEP!A:A, 1, FALSE)), "N", "Y")</f>
        <v>N</v>
      </c>
      <c r="C1498" t="str">
        <f>IF(ISERROR(VLOOKUP(E1498, BibleInEveryLanguageTexts!A:A, 1, FALSE)), "N", "Y")</f>
        <v>N</v>
      </c>
      <c r="D1498" t="str">
        <f t="shared" si="46"/>
        <v>X</v>
      </c>
      <c r="E1498" t="s">
        <v>7756</v>
      </c>
      <c r="F1498" t="s">
        <v>7757</v>
      </c>
      <c r="G1498" t="s">
        <v>3065</v>
      </c>
      <c r="H1498" t="s">
        <v>7758</v>
      </c>
      <c r="I1498" t="s">
        <v>2618</v>
      </c>
      <c r="J1498" t="str">
        <f>IF(0 = IFERROR(VLOOKUP(DBL_FullList!I1498, ContactsDbl!B:D, 2, FALSE), ""), "", IFERROR(VLOOKUP(DBL_FullList!I1498, ContactsDbl!B:D, 2, FALSE), ""))</f>
        <v/>
      </c>
      <c r="K1498" t="str">
        <f>IF(0 = IFERROR(VLOOKUP(DBL_FullList!I1498,ContactsDbl!B:D, 3, FALSE), ""), "", IFERROR(VLOOKUP(DBL_FullList!I1498, ContactsDbl!B:D, 3, FALSE), ""))</f>
        <v/>
      </c>
      <c r="L1498">
        <f t="shared" si="47"/>
        <v>0</v>
      </c>
    </row>
    <row r="1499" spans="1:12" x14ac:dyDescent="0.25">
      <c r="A1499" t="s">
        <v>7759</v>
      </c>
      <c r="B1499" t="str">
        <f>IF(ISERROR(VLOOKUP(F1499,STEP!A:A, 1, FALSE)), "N", "Y")</f>
        <v>N</v>
      </c>
      <c r="C1499" t="str">
        <f>IF(ISERROR(VLOOKUP(E1499, BibleInEveryLanguageTexts!A:A, 1, FALSE)), "N", "Y")</f>
        <v>N</v>
      </c>
      <c r="D1499" t="str">
        <f t="shared" si="46"/>
        <v>X</v>
      </c>
      <c r="E1499" t="s">
        <v>7760</v>
      </c>
      <c r="F1499" t="s">
        <v>7761</v>
      </c>
      <c r="G1499" t="s">
        <v>2880</v>
      </c>
      <c r="H1499" t="s">
        <v>7762</v>
      </c>
      <c r="I1499" t="s">
        <v>2661</v>
      </c>
      <c r="J1499" t="str">
        <f>IF(0 = IFERROR(VLOOKUP(DBL_FullList!I1499, ContactsDbl!B:D, 2, FALSE), ""), "", IFERROR(VLOOKUP(DBL_FullList!I1499, ContactsDbl!B:D, 2, FALSE), ""))</f>
        <v>dbladmin_intl@sil.org</v>
      </c>
      <c r="K1499" t="str">
        <f>IF(0 = IFERROR(VLOOKUP(DBL_FullList!I1499,ContactsDbl!B:D, 3, FALSE), ""), "", IFERROR(VLOOKUP(DBL_FullList!I1499, ContactsDbl!B:D, 3, FALSE), ""))</f>
        <v>http://www.wycliffe.org</v>
      </c>
      <c r="L1499">
        <f t="shared" si="47"/>
        <v>2</v>
      </c>
    </row>
    <row r="1500" spans="1:12" x14ac:dyDescent="0.25">
      <c r="A1500" t="s">
        <v>7763</v>
      </c>
      <c r="B1500" t="str">
        <f>IF(ISERROR(VLOOKUP(F1500,STEP!A:A, 1, FALSE)), "N", "Y")</f>
        <v>Y</v>
      </c>
      <c r="C1500" t="str">
        <f>IF(ISERROR(VLOOKUP(E1500, BibleInEveryLanguageTexts!A:A, 1, FALSE)), "N", "Y")</f>
        <v>N</v>
      </c>
      <c r="D1500" t="str">
        <f t="shared" si="46"/>
        <v/>
      </c>
      <c r="E1500" t="s">
        <v>7764</v>
      </c>
      <c r="F1500" t="s">
        <v>7765</v>
      </c>
      <c r="G1500" t="s">
        <v>48</v>
      </c>
      <c r="H1500" t="s">
        <v>7766</v>
      </c>
      <c r="I1500" t="s">
        <v>2661</v>
      </c>
      <c r="J1500" t="str">
        <f>IF(0 = IFERROR(VLOOKUP(DBL_FullList!I1500, ContactsDbl!B:D, 2, FALSE), ""), "", IFERROR(VLOOKUP(DBL_FullList!I1500, ContactsDbl!B:D, 2, FALSE), ""))</f>
        <v>dbladmin_intl@sil.org</v>
      </c>
      <c r="K1500" t="str">
        <f>IF(0 = IFERROR(VLOOKUP(DBL_FullList!I1500,ContactsDbl!B:D, 3, FALSE), ""), "", IFERROR(VLOOKUP(DBL_FullList!I1500, ContactsDbl!B:D, 3, FALSE), ""))</f>
        <v>http://www.wycliffe.org</v>
      </c>
      <c r="L1500">
        <f t="shared" si="47"/>
        <v>2</v>
      </c>
    </row>
    <row r="1501" spans="1:12" x14ac:dyDescent="0.25">
      <c r="A1501" t="s">
        <v>7767</v>
      </c>
      <c r="B1501" t="str">
        <f>IF(ISERROR(VLOOKUP(F1501,STEP!A:A, 1, FALSE)), "N", "Y")</f>
        <v>Y</v>
      </c>
      <c r="C1501" t="str">
        <f>IF(ISERROR(VLOOKUP(E1501, BibleInEveryLanguageTexts!A:A, 1, FALSE)), "N", "Y")</f>
        <v>N</v>
      </c>
      <c r="D1501" t="str">
        <f t="shared" si="46"/>
        <v/>
      </c>
      <c r="E1501" t="s">
        <v>7768</v>
      </c>
      <c r="F1501" t="s">
        <v>7769</v>
      </c>
      <c r="G1501" t="s">
        <v>48</v>
      </c>
      <c r="H1501" t="s">
        <v>7770</v>
      </c>
      <c r="I1501" t="s">
        <v>2661</v>
      </c>
      <c r="J1501" t="str">
        <f>IF(0 = IFERROR(VLOOKUP(DBL_FullList!I1501, ContactsDbl!B:D, 2, FALSE), ""), "", IFERROR(VLOOKUP(DBL_FullList!I1501, ContactsDbl!B:D, 2, FALSE), ""))</f>
        <v>dbladmin_intl@sil.org</v>
      </c>
      <c r="K1501" t="str">
        <f>IF(0 = IFERROR(VLOOKUP(DBL_FullList!I1501,ContactsDbl!B:D, 3, FALSE), ""), "", IFERROR(VLOOKUP(DBL_FullList!I1501, ContactsDbl!B:D, 3, FALSE), ""))</f>
        <v>http://www.wycliffe.org</v>
      </c>
      <c r="L1501">
        <f t="shared" si="47"/>
        <v>2</v>
      </c>
    </row>
    <row r="1502" spans="1:12" x14ac:dyDescent="0.25">
      <c r="A1502" t="s">
        <v>7771</v>
      </c>
      <c r="B1502" t="str">
        <f>IF(ISERROR(VLOOKUP(F1502,STEP!A:A, 1, FALSE)), "N", "Y")</f>
        <v>N</v>
      </c>
      <c r="C1502" t="str">
        <f>IF(ISERROR(VLOOKUP(E1502, BibleInEveryLanguageTexts!A:A, 1, FALSE)), "N", "Y")</f>
        <v>N</v>
      </c>
      <c r="D1502" t="str">
        <f t="shared" si="46"/>
        <v>X</v>
      </c>
      <c r="E1502" t="s">
        <v>7034</v>
      </c>
      <c r="F1502" t="s">
        <v>7035</v>
      </c>
      <c r="G1502" t="s">
        <v>77</v>
      </c>
      <c r="H1502" t="s">
        <v>7772</v>
      </c>
      <c r="I1502" t="s">
        <v>2657</v>
      </c>
      <c r="J1502" t="str">
        <f>IF(0 = IFERROR(VLOOKUP(DBL_FullList!I1502, ContactsDbl!B:D, 2, FALSE), ""), "", IFERROR(VLOOKUP(DBL_FullList!I1502, ContactsDbl!B:D, 2, FALSE), ""))</f>
        <v>lktam@biblevietnam.org</v>
      </c>
      <c r="K1502" t="str">
        <f>IF(0 = IFERROR(VLOOKUP(DBL_FullList!I1502,ContactsDbl!B:D, 3, FALSE), ""), "", IFERROR(VLOOKUP(DBL_FullList!I1502, ContactsDbl!B:D, 3, FALSE), ""))</f>
        <v>http://www.biblevietnam.org</v>
      </c>
      <c r="L1502">
        <f t="shared" si="47"/>
        <v>2</v>
      </c>
    </row>
    <row r="1503" spans="1:12" x14ac:dyDescent="0.25">
      <c r="A1503" t="s">
        <v>7773</v>
      </c>
      <c r="B1503" t="str">
        <f>IF(ISERROR(VLOOKUP(F1503,STEP!A:A, 1, FALSE)), "N", "Y")</f>
        <v>N</v>
      </c>
      <c r="C1503" t="str">
        <f>IF(ISERROR(VLOOKUP(E1503, BibleInEveryLanguageTexts!A:A, 1, FALSE)), "N", "Y")</f>
        <v>N</v>
      </c>
      <c r="D1503" t="str">
        <f t="shared" si="46"/>
        <v>X</v>
      </c>
      <c r="E1503" t="s">
        <v>7774</v>
      </c>
      <c r="F1503" t="s">
        <v>7775</v>
      </c>
      <c r="G1503" t="s">
        <v>2880</v>
      </c>
      <c r="H1503" t="s">
        <v>7776</v>
      </c>
      <c r="I1503" t="s">
        <v>2661</v>
      </c>
      <c r="J1503" t="str">
        <f>IF(0 = IFERROR(VLOOKUP(DBL_FullList!I1503, ContactsDbl!B:D, 2, FALSE), ""), "", IFERROR(VLOOKUP(DBL_FullList!I1503, ContactsDbl!B:D, 2, FALSE), ""))</f>
        <v>dbladmin_intl@sil.org</v>
      </c>
      <c r="K1503" t="str">
        <f>IF(0 = IFERROR(VLOOKUP(DBL_FullList!I1503,ContactsDbl!B:D, 3, FALSE), ""), "", IFERROR(VLOOKUP(DBL_FullList!I1503, ContactsDbl!B:D, 3, FALSE), ""))</f>
        <v>http://www.wycliffe.org</v>
      </c>
      <c r="L1503">
        <f t="shared" si="47"/>
        <v>2</v>
      </c>
    </row>
    <row r="1504" spans="1:12" x14ac:dyDescent="0.25">
      <c r="A1504" t="s">
        <v>7777</v>
      </c>
      <c r="B1504" t="str">
        <f>IF(ISERROR(VLOOKUP(F1504,STEP!A:A, 1, FALSE)), "N", "Y")</f>
        <v>N</v>
      </c>
      <c r="C1504" t="str">
        <f>IF(ISERROR(VLOOKUP(E1504, BibleInEveryLanguageTexts!A:A, 1, FALSE)), "N", "Y")</f>
        <v>N</v>
      </c>
      <c r="D1504" t="str">
        <f t="shared" si="46"/>
        <v>X</v>
      </c>
      <c r="E1504" t="s">
        <v>7778</v>
      </c>
      <c r="F1504" t="s">
        <v>7779</v>
      </c>
      <c r="G1504" t="s">
        <v>2848</v>
      </c>
      <c r="H1504" t="s">
        <v>7780</v>
      </c>
      <c r="I1504" t="s">
        <v>2661</v>
      </c>
      <c r="J1504" t="str">
        <f>IF(0 = IFERROR(VLOOKUP(DBL_FullList!I1504, ContactsDbl!B:D, 2, FALSE), ""), "", IFERROR(VLOOKUP(DBL_FullList!I1504, ContactsDbl!B:D, 2, FALSE), ""))</f>
        <v>dbladmin_intl@sil.org</v>
      </c>
      <c r="K1504" t="str">
        <f>IF(0 = IFERROR(VLOOKUP(DBL_FullList!I1504,ContactsDbl!B:D, 3, FALSE), ""), "", IFERROR(VLOOKUP(DBL_FullList!I1504, ContactsDbl!B:D, 3, FALSE), ""))</f>
        <v>http://www.wycliffe.org</v>
      </c>
      <c r="L1504">
        <f t="shared" si="47"/>
        <v>2</v>
      </c>
    </row>
    <row r="1505" spans="1:12" x14ac:dyDescent="0.25">
      <c r="A1505" t="s">
        <v>7781</v>
      </c>
      <c r="B1505" t="str">
        <f>IF(ISERROR(VLOOKUP(F1505,STEP!A:A, 1, FALSE)), "N", "Y")</f>
        <v>Y</v>
      </c>
      <c r="C1505" t="str">
        <f>IF(ISERROR(VLOOKUP(E1505, BibleInEveryLanguageTexts!A:A, 1, FALSE)), "N", "Y")</f>
        <v>N</v>
      </c>
      <c r="D1505" t="str">
        <f t="shared" si="46"/>
        <v/>
      </c>
      <c r="E1505" t="s">
        <v>7782</v>
      </c>
      <c r="F1505" t="s">
        <v>7783</v>
      </c>
      <c r="G1505" t="s">
        <v>48</v>
      </c>
      <c r="H1505" t="s">
        <v>7784</v>
      </c>
      <c r="I1505" t="s">
        <v>2661</v>
      </c>
      <c r="J1505" t="str">
        <f>IF(0 = IFERROR(VLOOKUP(DBL_FullList!I1505, ContactsDbl!B:D, 2, FALSE), ""), "", IFERROR(VLOOKUP(DBL_FullList!I1505, ContactsDbl!B:D, 2, FALSE), ""))</f>
        <v>dbladmin_intl@sil.org</v>
      </c>
      <c r="K1505" t="str">
        <f>IF(0 = IFERROR(VLOOKUP(DBL_FullList!I1505,ContactsDbl!B:D, 3, FALSE), ""), "", IFERROR(VLOOKUP(DBL_FullList!I1505, ContactsDbl!B:D, 3, FALSE), ""))</f>
        <v>http://www.wycliffe.org</v>
      </c>
      <c r="L1505">
        <f t="shared" si="47"/>
        <v>2</v>
      </c>
    </row>
    <row r="1506" spans="1:12" x14ac:dyDescent="0.25">
      <c r="A1506" t="s">
        <v>7785</v>
      </c>
      <c r="B1506" t="str">
        <f>IF(ISERROR(VLOOKUP(F1506,STEP!A:A, 1, FALSE)), "N", "Y")</f>
        <v>Y</v>
      </c>
      <c r="C1506" t="str">
        <f>IF(ISERROR(VLOOKUP(E1506, BibleInEveryLanguageTexts!A:A, 1, FALSE)), "N", "Y")</f>
        <v>N</v>
      </c>
      <c r="D1506" t="str">
        <f t="shared" si="46"/>
        <v/>
      </c>
      <c r="E1506" t="s">
        <v>7119</v>
      </c>
      <c r="F1506" t="s">
        <v>7120</v>
      </c>
      <c r="G1506" t="s">
        <v>48</v>
      </c>
      <c r="H1506" t="s">
        <v>7786</v>
      </c>
      <c r="I1506" t="s">
        <v>2661</v>
      </c>
      <c r="J1506" t="str">
        <f>IF(0 = IFERROR(VLOOKUP(DBL_FullList!I1506, ContactsDbl!B:D, 2, FALSE), ""), "", IFERROR(VLOOKUP(DBL_FullList!I1506, ContactsDbl!B:D, 2, FALSE), ""))</f>
        <v>dbladmin_intl@sil.org</v>
      </c>
      <c r="K1506" t="str">
        <f>IF(0 = IFERROR(VLOOKUP(DBL_FullList!I1506,ContactsDbl!B:D, 3, FALSE), ""), "", IFERROR(VLOOKUP(DBL_FullList!I1506, ContactsDbl!B:D, 3, FALSE), ""))</f>
        <v>http://www.wycliffe.org</v>
      </c>
      <c r="L1506">
        <f t="shared" si="47"/>
        <v>2</v>
      </c>
    </row>
    <row r="1507" spans="1:12" x14ac:dyDescent="0.25">
      <c r="A1507" t="s">
        <v>7787</v>
      </c>
      <c r="B1507" t="str">
        <f>IF(ISERROR(VLOOKUP(F1507,STEP!A:A, 1, FALSE)), "N", "Y")</f>
        <v>Y</v>
      </c>
      <c r="C1507" t="str">
        <f>IF(ISERROR(VLOOKUP(E1507, BibleInEveryLanguageTexts!A:A, 1, FALSE)), "N", "Y")</f>
        <v>N</v>
      </c>
      <c r="D1507" t="str">
        <f t="shared" si="46"/>
        <v/>
      </c>
      <c r="E1507" t="s">
        <v>7326</v>
      </c>
      <c r="F1507" t="s">
        <v>7327</v>
      </c>
      <c r="G1507" t="s">
        <v>48</v>
      </c>
      <c r="H1507" t="s">
        <v>7328</v>
      </c>
      <c r="I1507" t="s">
        <v>2661</v>
      </c>
      <c r="J1507" t="str">
        <f>IF(0 = IFERROR(VLOOKUP(DBL_FullList!I1507, ContactsDbl!B:D, 2, FALSE), ""), "", IFERROR(VLOOKUP(DBL_FullList!I1507, ContactsDbl!B:D, 2, FALSE), ""))</f>
        <v>dbladmin_intl@sil.org</v>
      </c>
      <c r="K1507" t="str">
        <f>IF(0 = IFERROR(VLOOKUP(DBL_FullList!I1507,ContactsDbl!B:D, 3, FALSE), ""), "", IFERROR(VLOOKUP(DBL_FullList!I1507, ContactsDbl!B:D, 3, FALSE), ""))</f>
        <v>http://www.wycliffe.org</v>
      </c>
      <c r="L1507">
        <f t="shared" si="47"/>
        <v>2</v>
      </c>
    </row>
    <row r="1508" spans="1:12" x14ac:dyDescent="0.25">
      <c r="A1508" t="s">
        <v>7788</v>
      </c>
      <c r="B1508" t="str">
        <f>IF(ISERROR(VLOOKUP(F1508,STEP!A:A, 1, FALSE)), "N", "Y")</f>
        <v>N</v>
      </c>
      <c r="C1508" t="str">
        <f>IF(ISERROR(VLOOKUP(E1508, BibleInEveryLanguageTexts!A:A, 1, FALSE)), "N", "Y")</f>
        <v>N</v>
      </c>
      <c r="D1508" t="str">
        <f t="shared" si="46"/>
        <v>X</v>
      </c>
      <c r="E1508" t="s">
        <v>7789</v>
      </c>
      <c r="F1508" t="s">
        <v>7790</v>
      </c>
      <c r="G1508" t="s">
        <v>2833</v>
      </c>
      <c r="H1508" t="s">
        <v>7791</v>
      </c>
      <c r="I1508" t="s">
        <v>2647</v>
      </c>
      <c r="J1508" t="str">
        <f>IF(0 = IFERROR(VLOOKUP(DBL_FullList!I1508, ContactsDbl!B:D, 2, FALSE), ""), "", IFERROR(VLOOKUP(DBL_FullList!I1508, ContactsDbl!B:D, 2, FALSE), ""))</f>
        <v>info@biblesociety-uganda.org</v>
      </c>
      <c r="K1508" t="str">
        <f>IF(0 = IFERROR(VLOOKUP(DBL_FullList!I1508,ContactsDbl!B:D, 3, FALSE), ""), "", IFERROR(VLOOKUP(DBL_FullList!I1508, ContactsDbl!B:D, 3, FALSE), ""))</f>
        <v>http://www.biblesociety-uganda.org/</v>
      </c>
      <c r="L1508">
        <f t="shared" si="47"/>
        <v>2</v>
      </c>
    </row>
    <row r="1509" spans="1:12" x14ac:dyDescent="0.25">
      <c r="A1509" t="s">
        <v>7792</v>
      </c>
      <c r="B1509" t="str">
        <f>IF(ISERROR(VLOOKUP(F1509,STEP!A:A, 1, FALSE)), "N", "Y")</f>
        <v>N</v>
      </c>
      <c r="C1509" t="str">
        <f>IF(ISERROR(VLOOKUP(E1509, BibleInEveryLanguageTexts!A:A, 1, FALSE)), "N", "Y")</f>
        <v>N</v>
      </c>
      <c r="D1509" t="str">
        <f t="shared" si="46"/>
        <v>X</v>
      </c>
      <c r="E1509" t="s">
        <v>7793</v>
      </c>
      <c r="F1509" t="s">
        <v>7794</v>
      </c>
      <c r="G1509" t="s">
        <v>2723</v>
      </c>
      <c r="H1509" t="s">
        <v>7795</v>
      </c>
      <c r="I1509" t="s">
        <v>2661</v>
      </c>
      <c r="J1509" t="str">
        <f>IF(0 = IFERROR(VLOOKUP(DBL_FullList!I1509, ContactsDbl!B:D, 2, FALSE), ""), "", IFERROR(VLOOKUP(DBL_FullList!I1509, ContactsDbl!B:D, 2, FALSE), ""))</f>
        <v>dbladmin_intl@sil.org</v>
      </c>
      <c r="K1509" t="str">
        <f>IF(0 = IFERROR(VLOOKUP(DBL_FullList!I1509,ContactsDbl!B:D, 3, FALSE), ""), "", IFERROR(VLOOKUP(DBL_FullList!I1509, ContactsDbl!B:D, 3, FALSE), ""))</f>
        <v>http://www.wycliffe.org</v>
      </c>
      <c r="L1509">
        <f t="shared" si="47"/>
        <v>2</v>
      </c>
    </row>
    <row r="1510" spans="1:12" x14ac:dyDescent="0.25">
      <c r="A1510" t="s">
        <v>7796</v>
      </c>
      <c r="B1510" t="str">
        <f>IF(ISERROR(VLOOKUP(F1510,STEP!A:A, 1, FALSE)), "N", "Y")</f>
        <v>N</v>
      </c>
      <c r="C1510" t="str">
        <f>IF(ISERROR(VLOOKUP(E1510, BibleInEveryLanguageTexts!A:A, 1, FALSE)), "N", "Y")</f>
        <v>N</v>
      </c>
      <c r="D1510" t="str">
        <f t="shared" si="46"/>
        <v>X</v>
      </c>
      <c r="E1510" t="s">
        <v>7797</v>
      </c>
      <c r="F1510" t="s">
        <v>7798</v>
      </c>
      <c r="G1510" t="s">
        <v>3190</v>
      </c>
      <c r="H1510" t="s">
        <v>7799</v>
      </c>
      <c r="I1510" t="s">
        <v>2102</v>
      </c>
      <c r="J1510" t="str">
        <f>IF(0 = IFERROR(VLOOKUP(DBL_FullList!I1510, ContactsDbl!B:D, 2, FALSE), ""), "", IFERROR(VLOOKUP(DBL_FullList!I1510, ContactsDbl!B:D, 2, FALSE), ""))</f>
        <v>mkatonivere@bible.org.fj</v>
      </c>
      <c r="K1510" t="str">
        <f>IF(0 = IFERROR(VLOOKUP(DBL_FullList!I1510,ContactsDbl!B:D, 3, FALSE), ""), "", IFERROR(VLOOKUP(DBL_FullList!I1510, ContactsDbl!B:D, 3, FALSE), ""))</f>
        <v>http://www.bible.org.fj/</v>
      </c>
      <c r="L1510">
        <f t="shared" si="47"/>
        <v>2</v>
      </c>
    </row>
    <row r="1511" spans="1:12" x14ac:dyDescent="0.25">
      <c r="A1511" t="s">
        <v>7800</v>
      </c>
      <c r="B1511" t="str">
        <f>IF(ISERROR(VLOOKUP(F1511,STEP!A:A, 1, FALSE)), "N", "Y")</f>
        <v>N</v>
      </c>
      <c r="C1511" t="str">
        <f>IF(ISERROR(VLOOKUP(E1511, BibleInEveryLanguageTexts!A:A, 1, FALSE)), "N", "Y")</f>
        <v>N</v>
      </c>
      <c r="D1511" t="str">
        <f t="shared" si="46"/>
        <v>X</v>
      </c>
      <c r="E1511" t="s">
        <v>88</v>
      </c>
      <c r="F1511" t="s">
        <v>87</v>
      </c>
      <c r="G1511" t="s">
        <v>6984</v>
      </c>
      <c r="H1511" t="s">
        <v>7801</v>
      </c>
      <c r="I1511" t="s">
        <v>2102</v>
      </c>
      <c r="J1511" t="str">
        <f>IF(0 = IFERROR(VLOOKUP(DBL_FullList!I1511, ContactsDbl!B:D, 2, FALSE), ""), "", IFERROR(VLOOKUP(DBL_FullList!I1511, ContactsDbl!B:D, 2, FALSE), ""))</f>
        <v>mkatonivere@bible.org.fj</v>
      </c>
      <c r="K1511" t="str">
        <f>IF(0 = IFERROR(VLOOKUP(DBL_FullList!I1511,ContactsDbl!B:D, 3, FALSE), ""), "", IFERROR(VLOOKUP(DBL_FullList!I1511, ContactsDbl!B:D, 3, FALSE), ""))</f>
        <v>http://www.bible.org.fj/</v>
      </c>
      <c r="L1511">
        <f t="shared" si="47"/>
        <v>2</v>
      </c>
    </row>
    <row r="1512" spans="1:12" x14ac:dyDescent="0.25">
      <c r="A1512" t="s">
        <v>7802</v>
      </c>
      <c r="B1512" t="str">
        <f>IF(ISERROR(VLOOKUP(F1512,STEP!A:A, 1, FALSE)), "N", "Y")</f>
        <v>N</v>
      </c>
      <c r="C1512" t="str">
        <f>IF(ISERROR(VLOOKUP(E1512, BibleInEveryLanguageTexts!A:A, 1, FALSE)), "N", "Y")</f>
        <v>N</v>
      </c>
      <c r="D1512" t="str">
        <f t="shared" si="46"/>
        <v>X</v>
      </c>
      <c r="E1512" t="s">
        <v>7803</v>
      </c>
      <c r="F1512" t="s">
        <v>7804</v>
      </c>
      <c r="G1512" t="s">
        <v>2843</v>
      </c>
      <c r="H1512" t="s">
        <v>7805</v>
      </c>
      <c r="I1512" t="s">
        <v>2661</v>
      </c>
      <c r="J1512" t="str">
        <f>IF(0 = IFERROR(VLOOKUP(DBL_FullList!I1512, ContactsDbl!B:D, 2, FALSE), ""), "", IFERROR(VLOOKUP(DBL_FullList!I1512, ContactsDbl!B:D, 2, FALSE), ""))</f>
        <v>dbladmin_intl@sil.org</v>
      </c>
      <c r="K1512" t="str">
        <f>IF(0 = IFERROR(VLOOKUP(DBL_FullList!I1512,ContactsDbl!B:D, 3, FALSE), ""), "", IFERROR(VLOOKUP(DBL_FullList!I1512, ContactsDbl!B:D, 3, FALSE), ""))</f>
        <v>http://www.wycliffe.org</v>
      </c>
      <c r="L1512">
        <f t="shared" si="47"/>
        <v>2</v>
      </c>
    </row>
    <row r="1513" spans="1:12" x14ac:dyDescent="0.25">
      <c r="A1513" t="s">
        <v>7806</v>
      </c>
      <c r="B1513" t="str">
        <f>IF(ISERROR(VLOOKUP(F1513,STEP!A:A, 1, FALSE)), "N", "Y")</f>
        <v>N</v>
      </c>
      <c r="C1513" t="str">
        <f>IF(ISERROR(VLOOKUP(E1513, BibleInEveryLanguageTexts!A:A, 1, FALSE)), "N", "Y")</f>
        <v>N</v>
      </c>
      <c r="D1513" t="str">
        <f t="shared" si="46"/>
        <v>X</v>
      </c>
      <c r="E1513" t="s">
        <v>7807</v>
      </c>
      <c r="F1513" t="s">
        <v>7808</v>
      </c>
      <c r="G1513" t="s">
        <v>3984</v>
      </c>
      <c r="H1513" t="s">
        <v>7809</v>
      </c>
      <c r="I1513" t="s">
        <v>2661</v>
      </c>
      <c r="J1513" t="str">
        <f>IF(0 = IFERROR(VLOOKUP(DBL_FullList!I1513, ContactsDbl!B:D, 2, FALSE), ""), "", IFERROR(VLOOKUP(DBL_FullList!I1513, ContactsDbl!B:D, 2, FALSE), ""))</f>
        <v>dbladmin_intl@sil.org</v>
      </c>
      <c r="K1513" t="str">
        <f>IF(0 = IFERROR(VLOOKUP(DBL_FullList!I1513,ContactsDbl!B:D, 3, FALSE), ""), "", IFERROR(VLOOKUP(DBL_FullList!I1513, ContactsDbl!B:D, 3, FALSE), ""))</f>
        <v>http://www.wycliffe.org</v>
      </c>
      <c r="L1513">
        <f t="shared" si="47"/>
        <v>2</v>
      </c>
    </row>
    <row r="1514" spans="1:12" x14ac:dyDescent="0.25">
      <c r="A1514" t="s">
        <v>7810</v>
      </c>
      <c r="B1514" t="str">
        <f>IF(ISERROR(VLOOKUP(F1514,STEP!A:A, 1, FALSE)), "N", "Y")</f>
        <v>N</v>
      </c>
      <c r="C1514" t="str">
        <f>IF(ISERROR(VLOOKUP(E1514, BibleInEveryLanguageTexts!A:A, 1, FALSE)), "N", "Y")</f>
        <v>Y</v>
      </c>
      <c r="D1514" t="str">
        <f t="shared" si="46"/>
        <v/>
      </c>
      <c r="E1514" t="s">
        <v>155</v>
      </c>
      <c r="F1514" t="s">
        <v>154</v>
      </c>
      <c r="G1514" t="s">
        <v>20</v>
      </c>
      <c r="H1514" t="s">
        <v>7811</v>
      </c>
      <c r="I1514" t="s">
        <v>2329</v>
      </c>
      <c r="J1514" t="str">
        <f>IF(0 = IFERROR(VLOOKUP(DBL_FullList!I1514, ContactsDbl!B:D, 2, FALSE), ""), "", IFERROR(VLOOKUP(DBL_FullList!I1514, ContactsDbl!B:D, 2, FALSE), ""))</f>
        <v/>
      </c>
      <c r="K1514" t="str">
        <f>IF(0 = IFERROR(VLOOKUP(DBL_FullList!I1514,ContactsDbl!B:D, 3, FALSE), ""), "", IFERROR(VLOOKUP(DBL_FullList!I1514, ContactsDbl!B:D, 3, FALSE), ""))</f>
        <v>http://www.bsind.org/</v>
      </c>
      <c r="L1514">
        <f t="shared" si="47"/>
        <v>1</v>
      </c>
    </row>
    <row r="1515" spans="1:12" x14ac:dyDescent="0.25">
      <c r="A1515" t="s">
        <v>7812</v>
      </c>
      <c r="B1515" t="str">
        <f>IF(ISERROR(VLOOKUP(F1515,STEP!A:A, 1, FALSE)), "N", "Y")</f>
        <v>N</v>
      </c>
      <c r="C1515" t="str">
        <f>IF(ISERROR(VLOOKUP(E1515, BibleInEveryLanguageTexts!A:A, 1, FALSE)), "N", "Y")</f>
        <v>N</v>
      </c>
      <c r="D1515" t="str">
        <f t="shared" si="46"/>
        <v>X</v>
      </c>
      <c r="E1515" t="s">
        <v>7813</v>
      </c>
      <c r="F1515" t="s">
        <v>7814</v>
      </c>
      <c r="G1515" t="s">
        <v>115</v>
      </c>
      <c r="H1515" t="s">
        <v>7815</v>
      </c>
      <c r="I1515" t="s">
        <v>2623</v>
      </c>
      <c r="J1515" t="str">
        <f>IF(0 = IFERROR(VLOOKUP(DBL_FullList!I1515, ContactsDbl!B:D, 2, FALSE), ""), "", IFERROR(VLOOKUP(DBL_FullList!I1515, ContactsDbl!B:D, 2, FALSE), ""))</f>
        <v>seree@thaibible.or.th</v>
      </c>
      <c r="K1515" t="str">
        <f>IF(0 = IFERROR(VLOOKUP(DBL_FullList!I1515,ContactsDbl!B:D, 3, FALSE), ""), "", IFERROR(VLOOKUP(DBL_FullList!I1515, ContactsDbl!B:D, 3, FALSE), ""))</f>
        <v>http://www.thaibible.or.th/</v>
      </c>
      <c r="L1515">
        <f t="shared" si="47"/>
        <v>2</v>
      </c>
    </row>
    <row r="1516" spans="1:12" x14ac:dyDescent="0.25">
      <c r="A1516" t="s">
        <v>7816</v>
      </c>
      <c r="B1516" t="str">
        <f>IF(ISERROR(VLOOKUP(F1516,STEP!A:A, 1, FALSE)), "N", "Y")</f>
        <v>N</v>
      </c>
      <c r="C1516" t="str">
        <f>IF(ISERROR(VLOOKUP(E1516, BibleInEveryLanguageTexts!A:A, 1, FALSE)), "N", "Y")</f>
        <v>N</v>
      </c>
      <c r="D1516" t="str">
        <f t="shared" si="46"/>
        <v>X</v>
      </c>
      <c r="E1516" t="s">
        <v>7817</v>
      </c>
      <c r="F1516" t="s">
        <v>7818</v>
      </c>
      <c r="G1516" t="s">
        <v>3065</v>
      </c>
      <c r="H1516" t="s">
        <v>7819</v>
      </c>
      <c r="I1516" t="s">
        <v>2618</v>
      </c>
      <c r="J1516" t="str">
        <f>IF(0 = IFERROR(VLOOKUP(DBL_FullList!I1516, ContactsDbl!B:D, 2, FALSE), ""), "", IFERROR(VLOOKUP(DBL_FullList!I1516, ContactsDbl!B:D, 2, FALSE), ""))</f>
        <v/>
      </c>
      <c r="K1516" t="str">
        <f>IF(0 = IFERROR(VLOOKUP(DBL_FullList!I1516,ContactsDbl!B:D, 3, FALSE), ""), "", IFERROR(VLOOKUP(DBL_FullList!I1516, ContactsDbl!B:D, 3, FALSE), ""))</f>
        <v/>
      </c>
      <c r="L1516">
        <f t="shared" si="47"/>
        <v>0</v>
      </c>
    </row>
    <row r="1517" spans="1:12" x14ac:dyDescent="0.25">
      <c r="A1517" t="s">
        <v>7820</v>
      </c>
      <c r="B1517" t="str">
        <f>IF(ISERROR(VLOOKUP(F1517,STEP!A:A, 1, FALSE)), "N", "Y")</f>
        <v>N</v>
      </c>
      <c r="C1517" t="str">
        <f>IF(ISERROR(VLOOKUP(E1517, BibleInEveryLanguageTexts!A:A, 1, FALSE)), "N", "Y")</f>
        <v>N</v>
      </c>
      <c r="D1517" t="str">
        <f t="shared" si="46"/>
        <v>X</v>
      </c>
      <c r="E1517" t="s">
        <v>7821</v>
      </c>
      <c r="F1517" t="s">
        <v>7822</v>
      </c>
      <c r="G1517" t="s">
        <v>2733</v>
      </c>
      <c r="H1517" t="s">
        <v>7823</v>
      </c>
      <c r="I1517" t="s">
        <v>2661</v>
      </c>
      <c r="J1517" t="str">
        <f>IF(0 = IFERROR(VLOOKUP(DBL_FullList!I1517, ContactsDbl!B:D, 2, FALSE), ""), "", IFERROR(VLOOKUP(DBL_FullList!I1517, ContactsDbl!B:D, 2, FALSE), ""))</f>
        <v>dbladmin_intl@sil.org</v>
      </c>
      <c r="K1517" t="str">
        <f>IF(0 = IFERROR(VLOOKUP(DBL_FullList!I1517,ContactsDbl!B:D, 3, FALSE), ""), "", IFERROR(VLOOKUP(DBL_FullList!I1517, ContactsDbl!B:D, 3, FALSE), ""))</f>
        <v>http://www.wycliffe.org</v>
      </c>
      <c r="L1517">
        <f t="shared" si="47"/>
        <v>2</v>
      </c>
    </row>
    <row r="1518" spans="1:12" x14ac:dyDescent="0.25">
      <c r="A1518" t="s">
        <v>7824</v>
      </c>
      <c r="B1518" t="str">
        <f>IF(ISERROR(VLOOKUP(F1518,STEP!A:A, 1, FALSE)), "N", "Y")</f>
        <v>N</v>
      </c>
      <c r="C1518" t="str">
        <f>IF(ISERROR(VLOOKUP(E1518, BibleInEveryLanguageTexts!A:A, 1, FALSE)), "N", "Y")</f>
        <v>N</v>
      </c>
      <c r="D1518" t="str">
        <f t="shared" si="46"/>
        <v>X</v>
      </c>
      <c r="E1518" t="s">
        <v>7825</v>
      </c>
      <c r="F1518" t="s">
        <v>7826</v>
      </c>
      <c r="G1518" t="s">
        <v>2756</v>
      </c>
      <c r="H1518" t="s">
        <v>7827</v>
      </c>
      <c r="I1518" t="s">
        <v>2661</v>
      </c>
      <c r="J1518" t="str">
        <f>IF(0 = IFERROR(VLOOKUP(DBL_FullList!I1518, ContactsDbl!B:D, 2, FALSE), ""), "", IFERROR(VLOOKUP(DBL_FullList!I1518, ContactsDbl!B:D, 2, FALSE), ""))</f>
        <v>dbladmin_intl@sil.org</v>
      </c>
      <c r="K1518" t="str">
        <f>IF(0 = IFERROR(VLOOKUP(DBL_FullList!I1518,ContactsDbl!B:D, 3, FALSE), ""), "", IFERROR(VLOOKUP(DBL_FullList!I1518, ContactsDbl!B:D, 3, FALSE), ""))</f>
        <v>http://www.wycliffe.org</v>
      </c>
      <c r="L1518">
        <f t="shared" si="47"/>
        <v>2</v>
      </c>
    </row>
    <row r="1519" spans="1:12" x14ac:dyDescent="0.25">
      <c r="A1519" t="s">
        <v>7828</v>
      </c>
      <c r="B1519" t="str">
        <f>IF(ISERROR(VLOOKUP(F1519,STEP!A:A, 1, FALSE)), "N", "Y")</f>
        <v>Y</v>
      </c>
      <c r="C1519" t="str">
        <f>IF(ISERROR(VLOOKUP(E1519, BibleInEveryLanguageTexts!A:A, 1, FALSE)), "N", "Y")</f>
        <v>N</v>
      </c>
      <c r="D1519" t="str">
        <f t="shared" si="46"/>
        <v/>
      </c>
      <c r="E1519" t="s">
        <v>7829</v>
      </c>
      <c r="F1519" t="s">
        <v>7830</v>
      </c>
      <c r="G1519" t="s">
        <v>48</v>
      </c>
      <c r="H1519" t="s">
        <v>7831</v>
      </c>
      <c r="I1519" t="s">
        <v>2661</v>
      </c>
      <c r="J1519" t="str">
        <f>IF(0 = IFERROR(VLOOKUP(DBL_FullList!I1519, ContactsDbl!B:D, 2, FALSE), ""), "", IFERROR(VLOOKUP(DBL_FullList!I1519, ContactsDbl!B:D, 2, FALSE), ""))</f>
        <v>dbladmin_intl@sil.org</v>
      </c>
      <c r="K1519" t="str">
        <f>IF(0 = IFERROR(VLOOKUP(DBL_FullList!I1519,ContactsDbl!B:D, 3, FALSE), ""), "", IFERROR(VLOOKUP(DBL_FullList!I1519, ContactsDbl!B:D, 3, FALSE), ""))</f>
        <v>http://www.wycliffe.org</v>
      </c>
      <c r="L1519">
        <f t="shared" si="47"/>
        <v>2</v>
      </c>
    </row>
    <row r="1520" spans="1:12" x14ac:dyDescent="0.25">
      <c r="A1520" t="s">
        <v>7832</v>
      </c>
      <c r="B1520" t="str">
        <f>IF(ISERROR(VLOOKUP(F1520,STEP!A:A, 1, FALSE)), "N", "Y")</f>
        <v>N</v>
      </c>
      <c r="C1520" t="str">
        <f>IF(ISERROR(VLOOKUP(E1520, BibleInEveryLanguageTexts!A:A, 1, FALSE)), "N", "Y")</f>
        <v>N</v>
      </c>
      <c r="D1520" t="str">
        <f t="shared" si="46"/>
        <v>X</v>
      </c>
      <c r="E1520" t="s">
        <v>7833</v>
      </c>
      <c r="F1520" t="s">
        <v>7834</v>
      </c>
      <c r="G1520" t="s">
        <v>2848</v>
      </c>
      <c r="H1520" t="s">
        <v>7835</v>
      </c>
      <c r="I1520" t="s">
        <v>2661</v>
      </c>
      <c r="J1520" t="str">
        <f>IF(0 = IFERROR(VLOOKUP(DBL_FullList!I1520, ContactsDbl!B:D, 2, FALSE), ""), "", IFERROR(VLOOKUP(DBL_FullList!I1520, ContactsDbl!B:D, 2, FALSE), ""))</f>
        <v>dbladmin_intl@sil.org</v>
      </c>
      <c r="K1520" t="str">
        <f>IF(0 = IFERROR(VLOOKUP(DBL_FullList!I1520,ContactsDbl!B:D, 3, FALSE), ""), "", IFERROR(VLOOKUP(DBL_FullList!I1520, ContactsDbl!B:D, 3, FALSE), ""))</f>
        <v>http://www.wycliffe.org</v>
      </c>
      <c r="L1520">
        <f t="shared" si="47"/>
        <v>2</v>
      </c>
    </row>
    <row r="1521" spans="1:12" x14ac:dyDescent="0.25">
      <c r="A1521" t="s">
        <v>7836</v>
      </c>
      <c r="B1521" t="str">
        <f>IF(ISERROR(VLOOKUP(F1521,STEP!A:A, 1, FALSE)), "N", "Y")</f>
        <v>Y</v>
      </c>
      <c r="C1521" t="str">
        <f>IF(ISERROR(VLOOKUP(E1521, BibleInEveryLanguageTexts!A:A, 1, FALSE)), "N", "Y")</f>
        <v>N</v>
      </c>
      <c r="D1521" t="str">
        <f t="shared" si="46"/>
        <v/>
      </c>
      <c r="E1521" t="s">
        <v>7837</v>
      </c>
      <c r="F1521" t="s">
        <v>7838</v>
      </c>
      <c r="G1521" t="s">
        <v>48</v>
      </c>
      <c r="H1521" t="s">
        <v>7839</v>
      </c>
      <c r="I1521" t="s">
        <v>2661</v>
      </c>
      <c r="J1521" t="str">
        <f>IF(0 = IFERROR(VLOOKUP(DBL_FullList!I1521, ContactsDbl!B:D, 2, FALSE), ""), "", IFERROR(VLOOKUP(DBL_FullList!I1521, ContactsDbl!B:D, 2, FALSE), ""))</f>
        <v>dbladmin_intl@sil.org</v>
      </c>
      <c r="K1521" t="str">
        <f>IF(0 = IFERROR(VLOOKUP(DBL_FullList!I1521,ContactsDbl!B:D, 3, FALSE), ""), "", IFERROR(VLOOKUP(DBL_FullList!I1521, ContactsDbl!B:D, 3, FALSE), ""))</f>
        <v>http://www.wycliffe.org</v>
      </c>
      <c r="L1521">
        <f t="shared" si="47"/>
        <v>2</v>
      </c>
    </row>
    <row r="1522" spans="1:12" x14ac:dyDescent="0.25">
      <c r="A1522" t="s">
        <v>7840</v>
      </c>
      <c r="B1522" t="str">
        <f>IF(ISERROR(VLOOKUP(F1522,STEP!A:A, 1, FALSE)), "N", "Y")</f>
        <v>N</v>
      </c>
      <c r="C1522" t="str">
        <f>IF(ISERROR(VLOOKUP(E1522, BibleInEveryLanguageTexts!A:A, 1, FALSE)), "N", "Y")</f>
        <v>N</v>
      </c>
      <c r="D1522" t="str">
        <f t="shared" si="46"/>
        <v>X</v>
      </c>
      <c r="E1522" t="s">
        <v>5881</v>
      </c>
      <c r="F1522" t="s">
        <v>5882</v>
      </c>
      <c r="G1522" t="s">
        <v>2880</v>
      </c>
      <c r="H1522" t="s">
        <v>7841</v>
      </c>
      <c r="I1522" t="s">
        <v>2661</v>
      </c>
      <c r="J1522" t="str">
        <f>IF(0 = IFERROR(VLOOKUP(DBL_FullList!I1522, ContactsDbl!B:D, 2, FALSE), ""), "", IFERROR(VLOOKUP(DBL_FullList!I1522, ContactsDbl!B:D, 2, FALSE), ""))</f>
        <v>dbladmin_intl@sil.org</v>
      </c>
      <c r="K1522" t="str">
        <f>IF(0 = IFERROR(VLOOKUP(DBL_FullList!I1522,ContactsDbl!B:D, 3, FALSE), ""), "", IFERROR(VLOOKUP(DBL_FullList!I1522, ContactsDbl!B:D, 3, FALSE), ""))</f>
        <v>http://www.wycliffe.org</v>
      </c>
      <c r="L1522">
        <f t="shared" si="47"/>
        <v>2</v>
      </c>
    </row>
    <row r="1523" spans="1:12" x14ac:dyDescent="0.25">
      <c r="A1523" t="s">
        <v>7842</v>
      </c>
      <c r="B1523" t="str">
        <f>IF(ISERROR(VLOOKUP(F1523,STEP!A:A, 1, FALSE)), "N", "Y")</f>
        <v>N</v>
      </c>
      <c r="C1523" t="str">
        <f>IF(ISERROR(VLOOKUP(E1523, BibleInEveryLanguageTexts!A:A, 1, FALSE)), "N", "Y")</f>
        <v>N</v>
      </c>
      <c r="D1523" t="str">
        <f t="shared" si="46"/>
        <v>X</v>
      </c>
      <c r="E1523" t="s">
        <v>7843</v>
      </c>
      <c r="F1523" t="s">
        <v>7844</v>
      </c>
      <c r="G1523" t="s">
        <v>2824</v>
      </c>
      <c r="H1523" t="s">
        <v>7845</v>
      </c>
      <c r="I1523" t="s">
        <v>2661</v>
      </c>
      <c r="J1523" t="str">
        <f>IF(0 = IFERROR(VLOOKUP(DBL_FullList!I1523, ContactsDbl!B:D, 2, FALSE), ""), "", IFERROR(VLOOKUP(DBL_FullList!I1523, ContactsDbl!B:D, 2, FALSE), ""))</f>
        <v>dbladmin_intl@sil.org</v>
      </c>
      <c r="K1523" t="str">
        <f>IF(0 = IFERROR(VLOOKUP(DBL_FullList!I1523,ContactsDbl!B:D, 3, FALSE), ""), "", IFERROR(VLOOKUP(DBL_FullList!I1523, ContactsDbl!B:D, 3, FALSE), ""))</f>
        <v>http://www.wycliffe.org</v>
      </c>
      <c r="L1523">
        <f t="shared" si="47"/>
        <v>2</v>
      </c>
    </row>
    <row r="1524" spans="1:12" x14ac:dyDescent="0.25">
      <c r="A1524" t="s">
        <v>7846</v>
      </c>
      <c r="B1524" t="str">
        <f>IF(ISERROR(VLOOKUP(F1524,STEP!A:A, 1, FALSE)), "N", "Y")</f>
        <v>N</v>
      </c>
      <c r="C1524" t="str">
        <f>IF(ISERROR(VLOOKUP(E1524, BibleInEveryLanguageTexts!A:A, 1, FALSE)), "N", "Y")</f>
        <v>N</v>
      </c>
      <c r="D1524" t="str">
        <f t="shared" si="46"/>
        <v>X</v>
      </c>
      <c r="E1524" t="s">
        <v>5049</v>
      </c>
      <c r="F1524" t="s">
        <v>5050</v>
      </c>
      <c r="G1524" t="s">
        <v>3133</v>
      </c>
      <c r="H1524" t="s">
        <v>7847</v>
      </c>
      <c r="I1524" t="s">
        <v>2661</v>
      </c>
      <c r="J1524" t="str">
        <f>IF(0 = IFERROR(VLOOKUP(DBL_FullList!I1524, ContactsDbl!B:D, 2, FALSE), ""), "", IFERROR(VLOOKUP(DBL_FullList!I1524, ContactsDbl!B:D, 2, FALSE), ""))</f>
        <v>dbladmin_intl@sil.org</v>
      </c>
      <c r="K1524" t="str">
        <f>IF(0 = IFERROR(VLOOKUP(DBL_FullList!I1524,ContactsDbl!B:D, 3, FALSE), ""), "", IFERROR(VLOOKUP(DBL_FullList!I1524, ContactsDbl!B:D, 3, FALSE), ""))</f>
        <v>http://www.wycliffe.org</v>
      </c>
      <c r="L1524">
        <f t="shared" si="47"/>
        <v>2</v>
      </c>
    </row>
    <row r="1525" spans="1:12" x14ac:dyDescent="0.25">
      <c r="A1525" t="s">
        <v>7848</v>
      </c>
      <c r="B1525" t="str">
        <f>IF(ISERROR(VLOOKUP(F1525,STEP!A:A, 1, FALSE)), "N", "Y")</f>
        <v>Y</v>
      </c>
      <c r="C1525" t="str">
        <f>IF(ISERROR(VLOOKUP(E1525, BibleInEveryLanguageTexts!A:A, 1, FALSE)), "N", "Y")</f>
        <v>N</v>
      </c>
      <c r="D1525" t="str">
        <f t="shared" si="46"/>
        <v/>
      </c>
      <c r="E1525" t="s">
        <v>7849</v>
      </c>
      <c r="F1525" t="s">
        <v>7850</v>
      </c>
      <c r="G1525" t="s">
        <v>48</v>
      </c>
      <c r="H1525" t="s">
        <v>7851</v>
      </c>
      <c r="I1525" t="s">
        <v>2661</v>
      </c>
      <c r="J1525" t="str">
        <f>IF(0 = IFERROR(VLOOKUP(DBL_FullList!I1525, ContactsDbl!B:D, 2, FALSE), ""), "", IFERROR(VLOOKUP(DBL_FullList!I1525, ContactsDbl!B:D, 2, FALSE), ""))</f>
        <v>dbladmin_intl@sil.org</v>
      </c>
      <c r="K1525" t="str">
        <f>IF(0 = IFERROR(VLOOKUP(DBL_FullList!I1525,ContactsDbl!B:D, 3, FALSE), ""), "", IFERROR(VLOOKUP(DBL_FullList!I1525, ContactsDbl!B:D, 3, FALSE), ""))</f>
        <v>http://www.wycliffe.org</v>
      </c>
      <c r="L1525">
        <f t="shared" si="47"/>
        <v>2</v>
      </c>
    </row>
    <row r="1526" spans="1:12" x14ac:dyDescent="0.25">
      <c r="A1526" t="s">
        <v>7852</v>
      </c>
      <c r="B1526" t="str">
        <f>IF(ISERROR(VLOOKUP(F1526,STEP!A:A, 1, FALSE)), "N", "Y")</f>
        <v>N</v>
      </c>
      <c r="C1526" t="str">
        <f>IF(ISERROR(VLOOKUP(E1526, BibleInEveryLanguageTexts!A:A, 1, FALSE)), "N", "Y")</f>
        <v>Y</v>
      </c>
      <c r="D1526" t="str">
        <f t="shared" si="46"/>
        <v/>
      </c>
      <c r="E1526" t="s">
        <v>365</v>
      </c>
      <c r="F1526" t="s">
        <v>364</v>
      </c>
      <c r="G1526" t="s">
        <v>20</v>
      </c>
      <c r="H1526" t="s">
        <v>7853</v>
      </c>
      <c r="I1526" t="s">
        <v>2329</v>
      </c>
      <c r="J1526" t="str">
        <f>IF(0 = IFERROR(VLOOKUP(DBL_FullList!I1526, ContactsDbl!B:D, 2, FALSE), ""), "", IFERROR(VLOOKUP(DBL_FullList!I1526, ContactsDbl!B:D, 2, FALSE), ""))</f>
        <v/>
      </c>
      <c r="K1526" t="str">
        <f>IF(0 = IFERROR(VLOOKUP(DBL_FullList!I1526,ContactsDbl!B:D, 3, FALSE), ""), "", IFERROR(VLOOKUP(DBL_FullList!I1526, ContactsDbl!B:D, 3, FALSE), ""))</f>
        <v>http://www.bsind.org/</v>
      </c>
      <c r="L1526">
        <f t="shared" si="47"/>
        <v>1</v>
      </c>
    </row>
    <row r="1527" spans="1:12" x14ac:dyDescent="0.25">
      <c r="A1527" t="s">
        <v>7854</v>
      </c>
      <c r="B1527" t="str">
        <f>IF(ISERROR(VLOOKUP(F1527,STEP!A:A, 1, FALSE)), "N", "Y")</f>
        <v>N</v>
      </c>
      <c r="C1527" t="str">
        <f>IF(ISERROR(VLOOKUP(E1527, BibleInEveryLanguageTexts!A:A, 1, FALSE)), "N", "Y")</f>
        <v>N</v>
      </c>
      <c r="D1527" t="str">
        <f t="shared" si="46"/>
        <v>X</v>
      </c>
      <c r="E1527" t="s">
        <v>7855</v>
      </c>
      <c r="F1527" t="s">
        <v>7856</v>
      </c>
      <c r="G1527" t="s">
        <v>2723</v>
      </c>
      <c r="H1527" t="s">
        <v>7857</v>
      </c>
      <c r="I1527" t="s">
        <v>2661</v>
      </c>
      <c r="J1527" t="str">
        <f>IF(0 = IFERROR(VLOOKUP(DBL_FullList!I1527, ContactsDbl!B:D, 2, FALSE), ""), "", IFERROR(VLOOKUP(DBL_FullList!I1527, ContactsDbl!B:D, 2, FALSE), ""))</f>
        <v>dbladmin_intl@sil.org</v>
      </c>
      <c r="K1527" t="str">
        <f>IF(0 = IFERROR(VLOOKUP(DBL_FullList!I1527,ContactsDbl!B:D, 3, FALSE), ""), "", IFERROR(VLOOKUP(DBL_FullList!I1527, ContactsDbl!B:D, 3, FALSE), ""))</f>
        <v>http://www.wycliffe.org</v>
      </c>
      <c r="L1527">
        <f t="shared" si="47"/>
        <v>2</v>
      </c>
    </row>
    <row r="1528" spans="1:12" x14ac:dyDescent="0.25">
      <c r="A1528" t="s">
        <v>7858</v>
      </c>
      <c r="B1528" t="str">
        <f>IF(ISERROR(VLOOKUP(F1528,STEP!A:A, 1, FALSE)), "N", "Y")</f>
        <v>N</v>
      </c>
      <c r="C1528" t="str">
        <f>IF(ISERROR(VLOOKUP(E1528, BibleInEveryLanguageTexts!A:A, 1, FALSE)), "N", "Y")</f>
        <v>N</v>
      </c>
      <c r="D1528" t="str">
        <f t="shared" si="46"/>
        <v>X</v>
      </c>
      <c r="E1528" t="s">
        <v>2921</v>
      </c>
      <c r="F1528" t="s">
        <v>2922</v>
      </c>
      <c r="G1528" t="s">
        <v>2923</v>
      </c>
      <c r="H1528" t="s">
        <v>7859</v>
      </c>
      <c r="I1528" t="s">
        <v>2091</v>
      </c>
      <c r="J1528" t="str">
        <f>IF(0 = IFERROR(VLOOKUP(DBL_FullList!I1528, ContactsDbl!B:D, 2, FALSE), ""), "", IFERROR(VLOOKUP(DBL_FullList!I1528, ContactsDbl!B:D, 2, FALSE), ""))</f>
        <v>geldenhuys@biblesociety.co.za</v>
      </c>
      <c r="K1528" t="str">
        <f>IF(0 = IFERROR(VLOOKUP(DBL_FullList!I1528,ContactsDbl!B:D, 3, FALSE), ""), "", IFERROR(VLOOKUP(DBL_FullList!I1528, ContactsDbl!B:D, 3, FALSE), ""))</f>
        <v>http://www.biblesociety.co.za/</v>
      </c>
      <c r="L1528">
        <f t="shared" si="47"/>
        <v>2</v>
      </c>
    </row>
    <row r="1529" spans="1:12" x14ac:dyDescent="0.25">
      <c r="A1529" t="s">
        <v>7860</v>
      </c>
      <c r="B1529" t="str">
        <f>IF(ISERROR(VLOOKUP(F1529,STEP!A:A, 1, FALSE)), "N", "Y")</f>
        <v>N</v>
      </c>
      <c r="C1529" t="str">
        <f>IF(ISERROR(VLOOKUP(E1529, BibleInEveryLanguageTexts!A:A, 1, FALSE)), "N", "Y")</f>
        <v>N</v>
      </c>
      <c r="D1529" t="str">
        <f t="shared" si="46"/>
        <v>X</v>
      </c>
      <c r="E1529" t="s">
        <v>7861</v>
      </c>
      <c r="F1529" t="s">
        <v>7862</v>
      </c>
      <c r="G1529" t="s">
        <v>2723</v>
      </c>
      <c r="H1529" t="s">
        <v>7863</v>
      </c>
      <c r="I1529" t="s">
        <v>2661</v>
      </c>
      <c r="J1529" t="str">
        <f>IF(0 = IFERROR(VLOOKUP(DBL_FullList!I1529, ContactsDbl!B:D, 2, FALSE), ""), "", IFERROR(VLOOKUP(DBL_FullList!I1529, ContactsDbl!B:D, 2, FALSE), ""))</f>
        <v>dbladmin_intl@sil.org</v>
      </c>
      <c r="K1529" t="str">
        <f>IF(0 = IFERROR(VLOOKUP(DBL_FullList!I1529,ContactsDbl!B:D, 3, FALSE), ""), "", IFERROR(VLOOKUP(DBL_FullList!I1529, ContactsDbl!B:D, 3, FALSE), ""))</f>
        <v>http://www.wycliffe.org</v>
      </c>
      <c r="L1529">
        <f t="shared" si="47"/>
        <v>2</v>
      </c>
    </row>
    <row r="1530" spans="1:12" x14ac:dyDescent="0.25">
      <c r="A1530" t="s">
        <v>7864</v>
      </c>
      <c r="B1530" t="str">
        <f>IF(ISERROR(VLOOKUP(F1530,STEP!A:A, 1, FALSE)), "N", "Y")</f>
        <v>Y</v>
      </c>
      <c r="C1530" t="str">
        <f>IF(ISERROR(VLOOKUP(E1530, BibleInEveryLanguageTexts!A:A, 1, FALSE)), "N", "Y")</f>
        <v>N</v>
      </c>
      <c r="D1530" t="str">
        <f t="shared" si="46"/>
        <v/>
      </c>
      <c r="E1530" t="s">
        <v>5684</v>
      </c>
      <c r="F1530" t="s">
        <v>5685</v>
      </c>
      <c r="G1530" t="s">
        <v>48</v>
      </c>
      <c r="H1530" t="s">
        <v>7865</v>
      </c>
      <c r="I1530" t="s">
        <v>2661</v>
      </c>
      <c r="J1530" t="str">
        <f>IF(0 = IFERROR(VLOOKUP(DBL_FullList!I1530, ContactsDbl!B:D, 2, FALSE), ""), "", IFERROR(VLOOKUP(DBL_FullList!I1530, ContactsDbl!B:D, 2, FALSE), ""))</f>
        <v>dbladmin_intl@sil.org</v>
      </c>
      <c r="K1530" t="str">
        <f>IF(0 = IFERROR(VLOOKUP(DBL_FullList!I1530,ContactsDbl!B:D, 3, FALSE), ""), "", IFERROR(VLOOKUP(DBL_FullList!I1530, ContactsDbl!B:D, 3, FALSE), ""))</f>
        <v>http://www.wycliffe.org</v>
      </c>
      <c r="L1530">
        <f t="shared" si="47"/>
        <v>2</v>
      </c>
    </row>
    <row r="1531" spans="1:12" x14ac:dyDescent="0.25">
      <c r="A1531" t="s">
        <v>7866</v>
      </c>
      <c r="B1531" t="str">
        <f>IF(ISERROR(VLOOKUP(F1531,STEP!A:A, 1, FALSE)), "N", "Y")</f>
        <v>N</v>
      </c>
      <c r="C1531" t="str">
        <f>IF(ISERROR(VLOOKUP(E1531, BibleInEveryLanguageTexts!A:A, 1, FALSE)), "N", "Y")</f>
        <v>N</v>
      </c>
      <c r="D1531" t="str">
        <f t="shared" si="46"/>
        <v>X</v>
      </c>
      <c r="E1531" t="s">
        <v>4804</v>
      </c>
      <c r="F1531" t="s">
        <v>4805</v>
      </c>
      <c r="G1531" t="s">
        <v>3074</v>
      </c>
      <c r="H1531" t="s">
        <v>7867</v>
      </c>
      <c r="I1531" t="s">
        <v>2673</v>
      </c>
      <c r="J1531" t="str">
        <f>IF(0 = IFERROR(VLOOKUP(DBL_FullList!I1531, ContactsDbl!B:D, 2, FALSE), ""), "", IFERROR(VLOOKUP(DBL_FullList!I1531, ContactsDbl!B:D, 2, FALSE), ""))</f>
        <v>gnyirenda@biblesociety-zambia.org</v>
      </c>
      <c r="K1531" t="str">
        <f>IF(0 = IFERROR(VLOOKUP(DBL_FullList!I1531,ContactsDbl!B:D, 3, FALSE), ""), "", IFERROR(VLOOKUP(DBL_FullList!I1531, ContactsDbl!B:D, 3, FALSE), ""))</f>
        <v>www.biblesociety-zambia.org</v>
      </c>
      <c r="L1531">
        <f t="shared" si="47"/>
        <v>2</v>
      </c>
    </row>
    <row r="1532" spans="1:12" x14ac:dyDescent="0.25">
      <c r="A1532" t="s">
        <v>7868</v>
      </c>
      <c r="B1532" t="str">
        <f>IF(ISERROR(VLOOKUP(F1532,STEP!A:A, 1, FALSE)), "N", "Y")</f>
        <v>N</v>
      </c>
      <c r="C1532" t="str">
        <f>IF(ISERROR(VLOOKUP(E1532, BibleInEveryLanguageTexts!A:A, 1, FALSE)), "N", "Y")</f>
        <v>N</v>
      </c>
      <c r="D1532" t="str">
        <f t="shared" si="46"/>
        <v>X</v>
      </c>
      <c r="E1532" t="s">
        <v>7869</v>
      </c>
      <c r="F1532" t="s">
        <v>7870</v>
      </c>
      <c r="G1532" t="s">
        <v>2880</v>
      </c>
      <c r="H1532" t="s">
        <v>7871</v>
      </c>
      <c r="I1532" t="s">
        <v>2661</v>
      </c>
      <c r="J1532" t="str">
        <f>IF(0 = IFERROR(VLOOKUP(DBL_FullList!I1532, ContactsDbl!B:D, 2, FALSE), ""), "", IFERROR(VLOOKUP(DBL_FullList!I1532, ContactsDbl!B:D, 2, FALSE), ""))</f>
        <v>dbladmin_intl@sil.org</v>
      </c>
      <c r="K1532" t="str">
        <f>IF(0 = IFERROR(VLOOKUP(DBL_FullList!I1532,ContactsDbl!B:D, 3, FALSE), ""), "", IFERROR(VLOOKUP(DBL_FullList!I1532, ContactsDbl!B:D, 3, FALSE), ""))</f>
        <v>http://www.wycliffe.org</v>
      </c>
      <c r="L1532">
        <f t="shared" si="47"/>
        <v>2</v>
      </c>
    </row>
    <row r="1533" spans="1:12" x14ac:dyDescent="0.25">
      <c r="A1533" t="s">
        <v>7872</v>
      </c>
      <c r="B1533" t="str">
        <f>IF(ISERROR(VLOOKUP(F1533,STEP!A:A, 1, FALSE)), "N", "Y")</f>
        <v>N</v>
      </c>
      <c r="C1533" t="str">
        <f>IF(ISERROR(VLOOKUP(E1533, BibleInEveryLanguageTexts!A:A, 1, FALSE)), "N", "Y")</f>
        <v>N</v>
      </c>
      <c r="D1533" t="str">
        <f t="shared" si="46"/>
        <v>X</v>
      </c>
      <c r="E1533" t="s">
        <v>7873</v>
      </c>
      <c r="F1533" t="s">
        <v>7874</v>
      </c>
      <c r="G1533" t="s">
        <v>11</v>
      </c>
      <c r="H1533" t="s">
        <v>7875</v>
      </c>
      <c r="I1533" t="s">
        <v>2661</v>
      </c>
      <c r="J1533" t="str">
        <f>IF(0 = IFERROR(VLOOKUP(DBL_FullList!I1533, ContactsDbl!B:D, 2, FALSE), ""), "", IFERROR(VLOOKUP(DBL_FullList!I1533, ContactsDbl!B:D, 2, FALSE), ""))</f>
        <v>dbladmin_intl@sil.org</v>
      </c>
      <c r="K1533" t="str">
        <f>IF(0 = IFERROR(VLOOKUP(DBL_FullList!I1533,ContactsDbl!B:D, 3, FALSE), ""), "", IFERROR(VLOOKUP(DBL_FullList!I1533, ContactsDbl!B:D, 3, FALSE), ""))</f>
        <v>http://www.wycliffe.org</v>
      </c>
      <c r="L1533">
        <f t="shared" si="47"/>
        <v>2</v>
      </c>
    </row>
    <row r="1534" spans="1:12" x14ac:dyDescent="0.25">
      <c r="A1534" t="s">
        <v>7876</v>
      </c>
      <c r="B1534" t="str">
        <f>IF(ISERROR(VLOOKUP(F1534,STEP!A:A, 1, FALSE)), "N", "Y")</f>
        <v>N</v>
      </c>
      <c r="C1534" t="str">
        <f>IF(ISERROR(VLOOKUP(E1534, BibleInEveryLanguageTexts!A:A, 1, FALSE)), "N", "Y")</f>
        <v>N</v>
      </c>
      <c r="D1534" t="str">
        <f t="shared" si="46"/>
        <v>X</v>
      </c>
      <c r="E1534" t="s">
        <v>7877</v>
      </c>
      <c r="F1534" t="s">
        <v>7878</v>
      </c>
      <c r="G1534" t="s">
        <v>2723</v>
      </c>
      <c r="H1534" t="s">
        <v>7879</v>
      </c>
      <c r="I1534" t="s">
        <v>2661</v>
      </c>
      <c r="J1534" t="str">
        <f>IF(0 = IFERROR(VLOOKUP(DBL_FullList!I1534, ContactsDbl!B:D, 2, FALSE), ""), "", IFERROR(VLOOKUP(DBL_FullList!I1534, ContactsDbl!B:D, 2, FALSE), ""))</f>
        <v>dbladmin_intl@sil.org</v>
      </c>
      <c r="K1534" t="str">
        <f>IF(0 = IFERROR(VLOOKUP(DBL_FullList!I1534,ContactsDbl!B:D, 3, FALSE), ""), "", IFERROR(VLOOKUP(DBL_FullList!I1534, ContactsDbl!B:D, 3, FALSE), ""))</f>
        <v>http://www.wycliffe.org</v>
      </c>
      <c r="L1534">
        <f t="shared" si="47"/>
        <v>2</v>
      </c>
    </row>
    <row r="1535" spans="1:12" x14ac:dyDescent="0.25">
      <c r="A1535" t="s">
        <v>7880</v>
      </c>
      <c r="B1535" t="str">
        <f>IF(ISERROR(VLOOKUP(F1535,STEP!A:A, 1, FALSE)), "N", "Y")</f>
        <v>N</v>
      </c>
      <c r="C1535" t="str">
        <f>IF(ISERROR(VLOOKUP(E1535, BibleInEveryLanguageTexts!A:A, 1, FALSE)), "N", "Y")</f>
        <v>N</v>
      </c>
      <c r="D1535" t="str">
        <f t="shared" si="46"/>
        <v>X</v>
      </c>
      <c r="E1535" t="s">
        <v>7881</v>
      </c>
      <c r="F1535" t="s">
        <v>7882</v>
      </c>
      <c r="G1535" t="s">
        <v>268</v>
      </c>
      <c r="H1535" t="s">
        <v>7883</v>
      </c>
      <c r="I1535" t="s">
        <v>2131</v>
      </c>
      <c r="J1535" t="str">
        <f>IF(0 = IFERROR(VLOOKUP(DBL_FullList!I1535, ContactsDbl!B:D, 2, FALSE), ""), "", IFERROR(VLOOKUP(DBL_FullList!I1535, ContactsDbl!B:D, 2, FALSE), ""))</f>
        <v>dbl@biblesociety.ca</v>
      </c>
      <c r="K1535" t="str">
        <f>IF(0 = IFERROR(VLOOKUP(DBL_FullList!I1535,ContactsDbl!B:D, 3, FALSE), ""), "", IFERROR(VLOOKUP(DBL_FullList!I1535, ContactsDbl!B:D, 3, FALSE), ""))</f>
        <v>http://www.biblesociety.ca</v>
      </c>
      <c r="L1535">
        <f t="shared" si="47"/>
        <v>2</v>
      </c>
    </row>
    <row r="1536" spans="1:12" x14ac:dyDescent="0.25">
      <c r="A1536" t="s">
        <v>7884</v>
      </c>
      <c r="B1536" t="str">
        <f>IF(ISERROR(VLOOKUP(F1536,STEP!A:A, 1, FALSE)), "N", "Y")</f>
        <v>Y</v>
      </c>
      <c r="C1536" t="str">
        <f>IF(ISERROR(VLOOKUP(E1536, BibleInEveryLanguageTexts!A:A, 1, FALSE)), "N", "Y")</f>
        <v>N</v>
      </c>
      <c r="D1536" t="str">
        <f t="shared" si="46"/>
        <v/>
      </c>
      <c r="E1536" t="s">
        <v>7885</v>
      </c>
      <c r="F1536" t="s">
        <v>7886</v>
      </c>
      <c r="G1536" t="s">
        <v>48</v>
      </c>
      <c r="H1536" t="s">
        <v>7887</v>
      </c>
      <c r="I1536" t="s">
        <v>2661</v>
      </c>
      <c r="J1536" t="str">
        <f>IF(0 = IFERROR(VLOOKUP(DBL_FullList!I1536, ContactsDbl!B:D, 2, FALSE), ""), "", IFERROR(VLOOKUP(DBL_FullList!I1536, ContactsDbl!B:D, 2, FALSE), ""))</f>
        <v>dbladmin_intl@sil.org</v>
      </c>
      <c r="K1536" t="str">
        <f>IF(0 = IFERROR(VLOOKUP(DBL_FullList!I1536,ContactsDbl!B:D, 3, FALSE), ""), "", IFERROR(VLOOKUP(DBL_FullList!I1536, ContactsDbl!B:D, 3, FALSE), ""))</f>
        <v>http://www.wycliffe.org</v>
      </c>
      <c r="L1536">
        <f t="shared" si="47"/>
        <v>2</v>
      </c>
    </row>
    <row r="1537" spans="1:12" x14ac:dyDescent="0.25">
      <c r="A1537" t="s">
        <v>7888</v>
      </c>
      <c r="B1537" t="str">
        <f>IF(ISERROR(VLOOKUP(F1537,STEP!A:A, 1, FALSE)), "N", "Y")</f>
        <v>N</v>
      </c>
      <c r="C1537" t="str">
        <f>IF(ISERROR(VLOOKUP(E1537, BibleInEveryLanguageTexts!A:A, 1, FALSE)), "N", "Y")</f>
        <v>N</v>
      </c>
      <c r="D1537" t="str">
        <f t="shared" si="46"/>
        <v>X</v>
      </c>
      <c r="E1537" t="s">
        <v>7889</v>
      </c>
      <c r="F1537" t="s">
        <v>5050</v>
      </c>
      <c r="G1537" t="s">
        <v>3133</v>
      </c>
      <c r="H1537" t="s">
        <v>7890</v>
      </c>
      <c r="I1537" t="s">
        <v>2661</v>
      </c>
      <c r="J1537" t="str">
        <f>IF(0 = IFERROR(VLOOKUP(DBL_FullList!I1537, ContactsDbl!B:D, 2, FALSE), ""), "", IFERROR(VLOOKUP(DBL_FullList!I1537, ContactsDbl!B:D, 2, FALSE), ""))</f>
        <v>dbladmin_intl@sil.org</v>
      </c>
      <c r="K1537" t="str">
        <f>IF(0 = IFERROR(VLOOKUP(DBL_FullList!I1537,ContactsDbl!B:D, 3, FALSE), ""), "", IFERROR(VLOOKUP(DBL_FullList!I1537, ContactsDbl!B:D, 3, FALSE), ""))</f>
        <v>http://www.wycliffe.org</v>
      </c>
      <c r="L1537">
        <f t="shared" si="47"/>
        <v>2</v>
      </c>
    </row>
    <row r="1538" spans="1:12" x14ac:dyDescent="0.25">
      <c r="A1538" t="s">
        <v>7891</v>
      </c>
      <c r="B1538" t="str">
        <f>IF(ISERROR(VLOOKUP(F1538,STEP!A:A, 1, FALSE)), "N", "Y")</f>
        <v>Y</v>
      </c>
      <c r="C1538" t="str">
        <f>IF(ISERROR(VLOOKUP(E1538, BibleInEveryLanguageTexts!A:A, 1, FALSE)), "N", "Y")</f>
        <v>N</v>
      </c>
      <c r="D1538" t="str">
        <f t="shared" si="46"/>
        <v/>
      </c>
      <c r="E1538" t="s">
        <v>7892</v>
      </c>
      <c r="F1538" t="s">
        <v>7893</v>
      </c>
      <c r="G1538" t="s">
        <v>48</v>
      </c>
      <c r="H1538" t="s">
        <v>7894</v>
      </c>
      <c r="I1538" t="s">
        <v>2661</v>
      </c>
      <c r="J1538" t="str">
        <f>IF(0 = IFERROR(VLOOKUP(DBL_FullList!I1538, ContactsDbl!B:D, 2, FALSE), ""), "", IFERROR(VLOOKUP(DBL_FullList!I1538, ContactsDbl!B:D, 2, FALSE), ""))</f>
        <v>dbladmin_intl@sil.org</v>
      </c>
      <c r="K1538" t="str">
        <f>IF(0 = IFERROR(VLOOKUP(DBL_FullList!I1538,ContactsDbl!B:D, 3, FALSE), ""), "", IFERROR(VLOOKUP(DBL_FullList!I1538, ContactsDbl!B:D, 3, FALSE), ""))</f>
        <v>http://www.wycliffe.org</v>
      </c>
      <c r="L1538">
        <f t="shared" si="47"/>
        <v>2</v>
      </c>
    </row>
    <row r="1539" spans="1:12" x14ac:dyDescent="0.25">
      <c r="A1539" t="s">
        <v>7895</v>
      </c>
      <c r="B1539" t="str">
        <f>IF(ISERROR(VLOOKUP(F1539,STEP!A:A, 1, FALSE)), "N", "Y")</f>
        <v>N</v>
      </c>
      <c r="C1539" t="str">
        <f>IF(ISERROR(VLOOKUP(E1539, BibleInEveryLanguageTexts!A:A, 1, FALSE)), "N", "Y")</f>
        <v>N</v>
      </c>
      <c r="D1539" t="str">
        <f t="shared" ref="D1539:D1602" si="48">IF(AND("N" = B1539, "N" = C1539), "X", "")</f>
        <v>X</v>
      </c>
      <c r="E1539" t="s">
        <v>7896</v>
      </c>
      <c r="F1539" t="s">
        <v>7897</v>
      </c>
      <c r="G1539" t="s">
        <v>2733</v>
      </c>
      <c r="H1539" t="s">
        <v>7898</v>
      </c>
      <c r="I1539" t="s">
        <v>2661</v>
      </c>
      <c r="J1539" t="str">
        <f>IF(0 = IFERROR(VLOOKUP(DBL_FullList!I1539, ContactsDbl!B:D, 2, FALSE), ""), "", IFERROR(VLOOKUP(DBL_FullList!I1539, ContactsDbl!B:D, 2, FALSE), ""))</f>
        <v>dbladmin_intl@sil.org</v>
      </c>
      <c r="K1539" t="str">
        <f>IF(0 = IFERROR(VLOOKUP(DBL_FullList!I1539,ContactsDbl!B:D, 3, FALSE), ""), "", IFERROR(VLOOKUP(DBL_FullList!I1539, ContactsDbl!B:D, 3, FALSE), ""))</f>
        <v>http://www.wycliffe.org</v>
      </c>
      <c r="L1539">
        <f t="shared" ref="L1539:L1602" si="49">IF("" &lt;&gt; J1539, 2, IF("" &lt;&gt; K1539, 1, 0))</f>
        <v>2</v>
      </c>
    </row>
    <row r="1540" spans="1:12" x14ac:dyDescent="0.25">
      <c r="A1540" t="s">
        <v>7899</v>
      </c>
      <c r="B1540" t="str">
        <f>IF(ISERROR(VLOOKUP(F1540,STEP!A:A, 1, FALSE)), "N", "Y")</f>
        <v>Y</v>
      </c>
      <c r="C1540" t="str">
        <f>IF(ISERROR(VLOOKUP(E1540, BibleInEveryLanguageTexts!A:A, 1, FALSE)), "N", "Y")</f>
        <v>N</v>
      </c>
      <c r="D1540" t="str">
        <f t="shared" si="48"/>
        <v/>
      </c>
      <c r="E1540" t="s">
        <v>7900</v>
      </c>
      <c r="F1540" t="s">
        <v>7901</v>
      </c>
      <c r="G1540" t="s">
        <v>48</v>
      </c>
      <c r="H1540" t="s">
        <v>7902</v>
      </c>
      <c r="I1540" t="s">
        <v>2661</v>
      </c>
      <c r="J1540" t="str">
        <f>IF(0 = IFERROR(VLOOKUP(DBL_FullList!I1540, ContactsDbl!B:D, 2, FALSE), ""), "", IFERROR(VLOOKUP(DBL_FullList!I1540, ContactsDbl!B:D, 2, FALSE), ""))</f>
        <v>dbladmin_intl@sil.org</v>
      </c>
      <c r="K1540" t="str">
        <f>IF(0 = IFERROR(VLOOKUP(DBL_FullList!I1540,ContactsDbl!B:D, 3, FALSE), ""), "", IFERROR(VLOOKUP(DBL_FullList!I1540, ContactsDbl!B:D, 3, FALSE), ""))</f>
        <v>http://www.wycliffe.org</v>
      </c>
      <c r="L1540">
        <f t="shared" si="49"/>
        <v>2</v>
      </c>
    </row>
    <row r="1541" spans="1:12" x14ac:dyDescent="0.25">
      <c r="A1541" t="s">
        <v>7903</v>
      </c>
      <c r="B1541" t="str">
        <f>IF(ISERROR(VLOOKUP(F1541,STEP!A:A, 1, FALSE)), "N", "Y")</f>
        <v>Y</v>
      </c>
      <c r="C1541" t="str">
        <f>IF(ISERROR(VLOOKUP(E1541, BibleInEveryLanguageTexts!A:A, 1, FALSE)), "N", "Y")</f>
        <v>N</v>
      </c>
      <c r="D1541" t="str">
        <f t="shared" si="48"/>
        <v/>
      </c>
      <c r="E1541" t="s">
        <v>7904</v>
      </c>
      <c r="F1541" t="s">
        <v>7905</v>
      </c>
      <c r="G1541" t="s">
        <v>48</v>
      </c>
      <c r="H1541" t="s">
        <v>7906</v>
      </c>
      <c r="I1541" t="s">
        <v>2661</v>
      </c>
      <c r="J1541" t="str">
        <f>IF(0 = IFERROR(VLOOKUP(DBL_FullList!I1541, ContactsDbl!B:D, 2, FALSE), ""), "", IFERROR(VLOOKUP(DBL_FullList!I1541, ContactsDbl!B:D, 2, FALSE), ""))</f>
        <v>dbladmin_intl@sil.org</v>
      </c>
      <c r="K1541" t="str">
        <f>IF(0 = IFERROR(VLOOKUP(DBL_FullList!I1541,ContactsDbl!B:D, 3, FALSE), ""), "", IFERROR(VLOOKUP(DBL_FullList!I1541, ContactsDbl!B:D, 3, FALSE), ""))</f>
        <v>http://www.wycliffe.org</v>
      </c>
      <c r="L1541">
        <f t="shared" si="49"/>
        <v>2</v>
      </c>
    </row>
    <row r="1542" spans="1:12" x14ac:dyDescent="0.25">
      <c r="A1542" t="s">
        <v>7907</v>
      </c>
      <c r="B1542" t="str">
        <f>IF(ISERROR(VLOOKUP(F1542,STEP!A:A, 1, FALSE)), "N", "Y")</f>
        <v>N</v>
      </c>
      <c r="C1542" t="str">
        <f>IF(ISERROR(VLOOKUP(E1542, BibleInEveryLanguageTexts!A:A, 1, FALSE)), "N", "Y")</f>
        <v>N</v>
      </c>
      <c r="D1542" t="str">
        <f t="shared" si="48"/>
        <v>X</v>
      </c>
      <c r="E1542" t="s">
        <v>3782</v>
      </c>
      <c r="F1542" t="s">
        <v>3783</v>
      </c>
      <c r="G1542" t="s">
        <v>77</v>
      </c>
      <c r="H1542" t="s">
        <v>7908</v>
      </c>
      <c r="I1542" t="s">
        <v>2657</v>
      </c>
      <c r="J1542" t="str">
        <f>IF(0 = IFERROR(VLOOKUP(DBL_FullList!I1542, ContactsDbl!B:D, 2, FALSE), ""), "", IFERROR(VLOOKUP(DBL_FullList!I1542, ContactsDbl!B:D, 2, FALSE), ""))</f>
        <v>lktam@biblevietnam.org</v>
      </c>
      <c r="K1542" t="str">
        <f>IF(0 = IFERROR(VLOOKUP(DBL_FullList!I1542,ContactsDbl!B:D, 3, FALSE), ""), "", IFERROR(VLOOKUP(DBL_FullList!I1542, ContactsDbl!B:D, 3, FALSE), ""))</f>
        <v>http://www.biblevietnam.org</v>
      </c>
      <c r="L1542">
        <f t="shared" si="49"/>
        <v>2</v>
      </c>
    </row>
    <row r="1543" spans="1:12" x14ac:dyDescent="0.25">
      <c r="A1543" t="s">
        <v>7909</v>
      </c>
      <c r="B1543" t="str">
        <f>IF(ISERROR(VLOOKUP(F1543,STEP!A:A, 1, FALSE)), "N", "Y")</f>
        <v>Y</v>
      </c>
      <c r="C1543" t="str">
        <f>IF(ISERROR(VLOOKUP(E1543, BibleInEveryLanguageTexts!A:A, 1, FALSE)), "N", "Y")</f>
        <v>N</v>
      </c>
      <c r="D1543" t="str">
        <f t="shared" si="48"/>
        <v/>
      </c>
      <c r="E1543" t="s">
        <v>7910</v>
      </c>
      <c r="F1543" t="s">
        <v>7911</v>
      </c>
      <c r="G1543" t="s">
        <v>48</v>
      </c>
      <c r="H1543" t="s">
        <v>7912</v>
      </c>
      <c r="I1543" t="s">
        <v>2661</v>
      </c>
      <c r="J1543" t="str">
        <f>IF(0 = IFERROR(VLOOKUP(DBL_FullList!I1543, ContactsDbl!B:D, 2, FALSE), ""), "", IFERROR(VLOOKUP(DBL_FullList!I1543, ContactsDbl!B:D, 2, FALSE), ""))</f>
        <v>dbladmin_intl@sil.org</v>
      </c>
      <c r="K1543" t="str">
        <f>IF(0 = IFERROR(VLOOKUP(DBL_FullList!I1543,ContactsDbl!B:D, 3, FALSE), ""), "", IFERROR(VLOOKUP(DBL_FullList!I1543, ContactsDbl!B:D, 3, FALSE), ""))</f>
        <v>http://www.wycliffe.org</v>
      </c>
      <c r="L1543">
        <f t="shared" si="49"/>
        <v>2</v>
      </c>
    </row>
    <row r="1544" spans="1:12" x14ac:dyDescent="0.25">
      <c r="A1544" t="s">
        <v>7913</v>
      </c>
      <c r="B1544" t="str">
        <f>IF(ISERROR(VLOOKUP(F1544,STEP!A:A, 1, FALSE)), "N", "Y")</f>
        <v>Y</v>
      </c>
      <c r="C1544" t="str">
        <f>IF(ISERROR(VLOOKUP(E1544, BibleInEveryLanguageTexts!A:A, 1, FALSE)), "N", "Y")</f>
        <v>N</v>
      </c>
      <c r="D1544" t="str">
        <f t="shared" si="48"/>
        <v/>
      </c>
      <c r="E1544" t="s">
        <v>7914</v>
      </c>
      <c r="F1544" t="s">
        <v>7915</v>
      </c>
      <c r="G1544" t="s">
        <v>48</v>
      </c>
      <c r="H1544" t="s">
        <v>7916</v>
      </c>
      <c r="I1544" t="s">
        <v>2661</v>
      </c>
      <c r="J1544" t="str">
        <f>IF(0 = IFERROR(VLOOKUP(DBL_FullList!I1544, ContactsDbl!B:D, 2, FALSE), ""), "", IFERROR(VLOOKUP(DBL_FullList!I1544, ContactsDbl!B:D, 2, FALSE), ""))</f>
        <v>dbladmin_intl@sil.org</v>
      </c>
      <c r="K1544" t="str">
        <f>IF(0 = IFERROR(VLOOKUP(DBL_FullList!I1544,ContactsDbl!B:D, 3, FALSE), ""), "", IFERROR(VLOOKUP(DBL_FullList!I1544, ContactsDbl!B:D, 3, FALSE), ""))</f>
        <v>http://www.wycliffe.org</v>
      </c>
      <c r="L1544">
        <f t="shared" si="49"/>
        <v>2</v>
      </c>
    </row>
    <row r="1545" spans="1:12" x14ac:dyDescent="0.25">
      <c r="A1545" t="s">
        <v>7917</v>
      </c>
      <c r="B1545" t="str">
        <f>IF(ISERROR(VLOOKUP(F1545,STEP!A:A, 1, FALSE)), "N", "Y")</f>
        <v>N</v>
      </c>
      <c r="C1545" t="str">
        <f>IF(ISERROR(VLOOKUP(E1545, BibleInEveryLanguageTexts!A:A, 1, FALSE)), "N", "Y")</f>
        <v>N</v>
      </c>
      <c r="D1545" t="str">
        <f t="shared" si="48"/>
        <v>X</v>
      </c>
      <c r="E1545" t="s">
        <v>7918</v>
      </c>
      <c r="F1545" t="s">
        <v>7919</v>
      </c>
      <c r="G1545" t="s">
        <v>2880</v>
      </c>
      <c r="H1545" t="s">
        <v>7920</v>
      </c>
      <c r="I1545" t="s">
        <v>2661</v>
      </c>
      <c r="J1545" t="str">
        <f>IF(0 = IFERROR(VLOOKUP(DBL_FullList!I1545, ContactsDbl!B:D, 2, FALSE), ""), "", IFERROR(VLOOKUP(DBL_FullList!I1545, ContactsDbl!B:D, 2, FALSE), ""))</f>
        <v>dbladmin_intl@sil.org</v>
      </c>
      <c r="K1545" t="str">
        <f>IF(0 = IFERROR(VLOOKUP(DBL_FullList!I1545,ContactsDbl!B:D, 3, FALSE), ""), "", IFERROR(VLOOKUP(DBL_FullList!I1545, ContactsDbl!B:D, 3, FALSE), ""))</f>
        <v>http://www.wycliffe.org</v>
      </c>
      <c r="L1545">
        <f t="shared" si="49"/>
        <v>2</v>
      </c>
    </row>
    <row r="1546" spans="1:12" x14ac:dyDescent="0.25">
      <c r="A1546" t="s">
        <v>7921</v>
      </c>
      <c r="B1546" t="str">
        <f>IF(ISERROR(VLOOKUP(F1546,STEP!A:A, 1, FALSE)), "N", "Y")</f>
        <v>Y</v>
      </c>
      <c r="C1546" t="str">
        <f>IF(ISERROR(VLOOKUP(E1546, BibleInEveryLanguageTexts!A:A, 1, FALSE)), "N", "Y")</f>
        <v>N</v>
      </c>
      <c r="D1546" t="str">
        <f t="shared" si="48"/>
        <v/>
      </c>
      <c r="E1546" t="s">
        <v>7922</v>
      </c>
      <c r="F1546" t="s">
        <v>7923</v>
      </c>
      <c r="G1546" t="s">
        <v>48</v>
      </c>
      <c r="H1546" t="s">
        <v>7924</v>
      </c>
      <c r="I1546" t="s">
        <v>2661</v>
      </c>
      <c r="J1546" t="str">
        <f>IF(0 = IFERROR(VLOOKUP(DBL_FullList!I1546, ContactsDbl!B:D, 2, FALSE), ""), "", IFERROR(VLOOKUP(DBL_FullList!I1546, ContactsDbl!B:D, 2, FALSE), ""))</f>
        <v>dbladmin_intl@sil.org</v>
      </c>
      <c r="K1546" t="str">
        <f>IF(0 = IFERROR(VLOOKUP(DBL_FullList!I1546,ContactsDbl!B:D, 3, FALSE), ""), "", IFERROR(VLOOKUP(DBL_FullList!I1546, ContactsDbl!B:D, 3, FALSE), ""))</f>
        <v>http://www.wycliffe.org</v>
      </c>
      <c r="L1546">
        <f t="shared" si="49"/>
        <v>2</v>
      </c>
    </row>
    <row r="1547" spans="1:12" x14ac:dyDescent="0.25">
      <c r="A1547" t="s">
        <v>7925</v>
      </c>
      <c r="B1547" t="str">
        <f>IF(ISERROR(VLOOKUP(F1547,STEP!A:A, 1, FALSE)), "N", "Y")</f>
        <v>N</v>
      </c>
      <c r="C1547" t="str">
        <f>IF(ISERROR(VLOOKUP(E1547, BibleInEveryLanguageTexts!A:A, 1, FALSE)), "N", "Y")</f>
        <v>N</v>
      </c>
      <c r="D1547" t="str">
        <f t="shared" si="48"/>
        <v>X</v>
      </c>
      <c r="E1547" t="s">
        <v>3737</v>
      </c>
      <c r="F1547" t="s">
        <v>3738</v>
      </c>
      <c r="G1547" t="s">
        <v>102</v>
      </c>
      <c r="H1547" t="s">
        <v>7926</v>
      </c>
      <c r="I1547" t="s">
        <v>2267</v>
      </c>
      <c r="J1547" t="str">
        <f>IF(0 = IFERROR(VLOOKUP(DBL_FullList!I1547, ContactsDbl!B:D, 2, FALSE), ""), "", IFERROR(VLOOKUP(DBL_FullList!I1547, ContactsDbl!B:D, 2, FALSE), ""))</f>
        <v>alliancegn@yahoo.com</v>
      </c>
      <c r="K1547" t="str">
        <f>IF(0 = IFERROR(VLOOKUP(DBL_FullList!I1547,ContactsDbl!B:D, 3, FALSE), ""), "", IFERROR(VLOOKUP(DBL_FullList!I1547, ContactsDbl!B:D, 3, FALSE), ""))</f>
        <v/>
      </c>
      <c r="L1547">
        <f t="shared" si="49"/>
        <v>2</v>
      </c>
    </row>
    <row r="1548" spans="1:12" x14ac:dyDescent="0.25">
      <c r="A1548" t="s">
        <v>7927</v>
      </c>
      <c r="B1548" t="str">
        <f>IF(ISERROR(VLOOKUP(F1548,STEP!A:A, 1, FALSE)), "N", "Y")</f>
        <v>N</v>
      </c>
      <c r="C1548" t="str">
        <f>IF(ISERROR(VLOOKUP(E1548, BibleInEveryLanguageTexts!A:A, 1, FALSE)), "N", "Y")</f>
        <v>N</v>
      </c>
      <c r="D1548" t="str">
        <f t="shared" si="48"/>
        <v>X</v>
      </c>
      <c r="E1548" t="s">
        <v>7928</v>
      </c>
      <c r="F1548" t="s">
        <v>7929</v>
      </c>
      <c r="G1548" t="s">
        <v>2838</v>
      </c>
      <c r="H1548" t="s">
        <v>7930</v>
      </c>
      <c r="I1548" t="s">
        <v>2576</v>
      </c>
      <c r="J1548" t="str">
        <f>IF(0 = IFERROR(VLOOKUP(DBL_FullList!I1548, ContactsDbl!B:D, 2, FALSE), ""), "", IFERROR(VLOOKUP(DBL_FullList!I1548, ContactsDbl!B:D, 2, FALSE), ""))</f>
        <v>pierre.barassounon@sim.org</v>
      </c>
      <c r="K1548" t="str">
        <f>IF(0 = IFERROR(VLOOKUP(DBL_FullList!I1548,ContactsDbl!B:D, 3, FALSE), ""), "", IFERROR(VLOOKUP(DBL_FullList!I1548, ContactsDbl!B:D, 3, FALSE), ""))</f>
        <v>www.sim.org</v>
      </c>
      <c r="L1548">
        <f t="shared" si="49"/>
        <v>2</v>
      </c>
    </row>
    <row r="1549" spans="1:12" x14ac:dyDescent="0.25">
      <c r="A1549" t="s">
        <v>7931</v>
      </c>
      <c r="B1549" t="str">
        <f>IF(ISERROR(VLOOKUP(F1549,STEP!A:A, 1, FALSE)), "N", "Y")</f>
        <v>N</v>
      </c>
      <c r="C1549" t="str">
        <f>IF(ISERROR(VLOOKUP(E1549, BibleInEveryLanguageTexts!A:A, 1, FALSE)), "N", "Y")</f>
        <v>N</v>
      </c>
      <c r="D1549" t="str">
        <f t="shared" si="48"/>
        <v>X</v>
      </c>
      <c r="E1549" t="s">
        <v>7932</v>
      </c>
      <c r="F1549" t="s">
        <v>7933</v>
      </c>
      <c r="G1549" t="s">
        <v>3984</v>
      </c>
      <c r="H1549" t="s">
        <v>7934</v>
      </c>
      <c r="I1549" t="s">
        <v>2661</v>
      </c>
      <c r="J1549" t="str">
        <f>IF(0 = IFERROR(VLOOKUP(DBL_FullList!I1549, ContactsDbl!B:D, 2, FALSE), ""), "", IFERROR(VLOOKUP(DBL_FullList!I1549, ContactsDbl!B:D, 2, FALSE), ""))</f>
        <v>dbladmin_intl@sil.org</v>
      </c>
      <c r="K1549" t="str">
        <f>IF(0 = IFERROR(VLOOKUP(DBL_FullList!I1549,ContactsDbl!B:D, 3, FALSE), ""), "", IFERROR(VLOOKUP(DBL_FullList!I1549, ContactsDbl!B:D, 3, FALSE), ""))</f>
        <v>http://www.wycliffe.org</v>
      </c>
      <c r="L1549">
        <f t="shared" si="49"/>
        <v>2</v>
      </c>
    </row>
    <row r="1550" spans="1:12" x14ac:dyDescent="0.25">
      <c r="A1550" t="s">
        <v>7935</v>
      </c>
      <c r="B1550" t="str">
        <f>IF(ISERROR(VLOOKUP(F1550,STEP!A:A, 1, FALSE)), "N", "Y")</f>
        <v>N</v>
      </c>
      <c r="C1550" t="str">
        <f>IF(ISERROR(VLOOKUP(E1550, BibleInEveryLanguageTexts!A:A, 1, FALSE)), "N", "Y")</f>
        <v>N</v>
      </c>
      <c r="D1550" t="str">
        <f t="shared" si="48"/>
        <v>X</v>
      </c>
      <c r="E1550" t="s">
        <v>7936</v>
      </c>
      <c r="F1550" t="s">
        <v>7937</v>
      </c>
      <c r="G1550" t="s">
        <v>2880</v>
      </c>
      <c r="H1550" t="s">
        <v>7938</v>
      </c>
      <c r="I1550" t="s">
        <v>2661</v>
      </c>
      <c r="J1550" t="str">
        <f>IF(0 = IFERROR(VLOOKUP(DBL_FullList!I1550, ContactsDbl!B:D, 2, FALSE), ""), "", IFERROR(VLOOKUP(DBL_FullList!I1550, ContactsDbl!B:D, 2, FALSE), ""))</f>
        <v>dbladmin_intl@sil.org</v>
      </c>
      <c r="K1550" t="str">
        <f>IF(0 = IFERROR(VLOOKUP(DBL_FullList!I1550,ContactsDbl!B:D, 3, FALSE), ""), "", IFERROR(VLOOKUP(DBL_FullList!I1550, ContactsDbl!B:D, 3, FALSE), ""))</f>
        <v>http://www.wycliffe.org</v>
      </c>
      <c r="L1550">
        <f t="shared" si="49"/>
        <v>2</v>
      </c>
    </row>
    <row r="1551" spans="1:12" x14ac:dyDescent="0.25">
      <c r="A1551" t="s">
        <v>7939</v>
      </c>
      <c r="B1551" t="str">
        <f>IF(ISERROR(VLOOKUP(F1551,STEP!A:A, 1, FALSE)), "N", "Y")</f>
        <v>Y</v>
      </c>
      <c r="C1551" t="str">
        <f>IF(ISERROR(VLOOKUP(E1551, BibleInEveryLanguageTexts!A:A, 1, FALSE)), "N", "Y")</f>
        <v>N</v>
      </c>
      <c r="D1551" t="str">
        <f t="shared" si="48"/>
        <v/>
      </c>
      <c r="E1551" t="s">
        <v>7940</v>
      </c>
      <c r="F1551" t="s">
        <v>7941</v>
      </c>
      <c r="G1551" t="s">
        <v>48</v>
      </c>
      <c r="H1551" t="s">
        <v>7942</v>
      </c>
      <c r="I1551" t="s">
        <v>2661</v>
      </c>
      <c r="J1551" t="str">
        <f>IF(0 = IFERROR(VLOOKUP(DBL_FullList!I1551, ContactsDbl!B:D, 2, FALSE), ""), "", IFERROR(VLOOKUP(DBL_FullList!I1551, ContactsDbl!B:D, 2, FALSE), ""))</f>
        <v>dbladmin_intl@sil.org</v>
      </c>
      <c r="K1551" t="str">
        <f>IF(0 = IFERROR(VLOOKUP(DBL_FullList!I1551,ContactsDbl!B:D, 3, FALSE), ""), "", IFERROR(VLOOKUP(DBL_FullList!I1551, ContactsDbl!B:D, 3, FALSE), ""))</f>
        <v>http://www.wycliffe.org</v>
      </c>
      <c r="L1551">
        <f t="shared" si="49"/>
        <v>2</v>
      </c>
    </row>
    <row r="1552" spans="1:12" x14ac:dyDescent="0.25">
      <c r="A1552" t="s">
        <v>7943</v>
      </c>
      <c r="B1552" t="str">
        <f>IF(ISERROR(VLOOKUP(F1552,STEP!A:A, 1, FALSE)), "N", "Y")</f>
        <v>N</v>
      </c>
      <c r="C1552" t="str">
        <f>IF(ISERROR(VLOOKUP(E1552, BibleInEveryLanguageTexts!A:A, 1, FALSE)), "N", "Y")</f>
        <v>N</v>
      </c>
      <c r="D1552" t="str">
        <f t="shared" si="48"/>
        <v>X</v>
      </c>
      <c r="E1552" t="s">
        <v>334</v>
      </c>
      <c r="F1552" t="s">
        <v>332</v>
      </c>
      <c r="G1552" t="s">
        <v>333</v>
      </c>
      <c r="H1552" t="s">
        <v>7944</v>
      </c>
      <c r="I1552" t="s">
        <v>2534</v>
      </c>
      <c r="J1552" t="str">
        <f>IF(0 = IFERROR(VLOOKUP(DBL_FullList!I1552, ContactsDbl!B:D, 2, FALSE), ""), "", IFERROR(VLOOKUP(DBL_FullList!I1552, ContactsDbl!B:D, 2, FALSE), ""))</f>
        <v>elismar@sbb.org.br</v>
      </c>
      <c r="K1552" t="str">
        <f>IF(0 = IFERROR(VLOOKUP(DBL_FullList!I1552,ContactsDbl!B:D, 3, FALSE), ""), "", IFERROR(VLOOKUP(DBL_FullList!I1552, ContactsDbl!B:D, 3, FALSE), ""))</f>
        <v>http://www.sbb.org.br</v>
      </c>
      <c r="L1552">
        <f t="shared" si="49"/>
        <v>2</v>
      </c>
    </row>
    <row r="1553" spans="1:12" x14ac:dyDescent="0.25">
      <c r="A1553" t="s">
        <v>7945</v>
      </c>
      <c r="B1553" t="str">
        <f>IF(ISERROR(VLOOKUP(F1553,STEP!A:A, 1, FALSE)), "N", "Y")</f>
        <v>N</v>
      </c>
      <c r="C1553" t="str">
        <f>IF(ISERROR(VLOOKUP(E1553, BibleInEveryLanguageTexts!A:A, 1, FALSE)), "N", "Y")</f>
        <v>N</v>
      </c>
      <c r="D1553" t="str">
        <f t="shared" si="48"/>
        <v>X</v>
      </c>
      <c r="E1553" t="s">
        <v>7946</v>
      </c>
      <c r="F1553" t="s">
        <v>4799</v>
      </c>
      <c r="G1553" t="s">
        <v>2833</v>
      </c>
      <c r="H1553" t="s">
        <v>7947</v>
      </c>
      <c r="I1553" t="s">
        <v>2647</v>
      </c>
      <c r="J1553" t="str">
        <f>IF(0 = IFERROR(VLOOKUP(DBL_FullList!I1553, ContactsDbl!B:D, 2, FALSE), ""), "", IFERROR(VLOOKUP(DBL_FullList!I1553, ContactsDbl!B:D, 2, FALSE), ""))</f>
        <v>info@biblesociety-uganda.org</v>
      </c>
      <c r="K1553" t="str">
        <f>IF(0 = IFERROR(VLOOKUP(DBL_FullList!I1553,ContactsDbl!B:D, 3, FALSE), ""), "", IFERROR(VLOOKUP(DBL_FullList!I1553, ContactsDbl!B:D, 3, FALSE), ""))</f>
        <v>http://www.biblesociety-uganda.org/</v>
      </c>
      <c r="L1553">
        <f t="shared" si="49"/>
        <v>2</v>
      </c>
    </row>
    <row r="1554" spans="1:12" x14ac:dyDescent="0.25">
      <c r="A1554" t="s">
        <v>7948</v>
      </c>
      <c r="B1554" t="str">
        <f>IF(ISERROR(VLOOKUP(F1554,STEP!A:A, 1, FALSE)), "N", "Y")</f>
        <v>N</v>
      </c>
      <c r="C1554" t="str">
        <f>IF(ISERROR(VLOOKUP(E1554, BibleInEveryLanguageTexts!A:A, 1, FALSE)), "N", "Y")</f>
        <v>N</v>
      </c>
      <c r="D1554" t="str">
        <f t="shared" si="48"/>
        <v>X</v>
      </c>
      <c r="E1554" t="s">
        <v>5049</v>
      </c>
      <c r="F1554" t="s">
        <v>5050</v>
      </c>
      <c r="G1554" t="s">
        <v>3133</v>
      </c>
      <c r="H1554" t="s">
        <v>7949</v>
      </c>
      <c r="I1554" t="s">
        <v>2661</v>
      </c>
      <c r="J1554" t="str">
        <f>IF(0 = IFERROR(VLOOKUP(DBL_FullList!I1554, ContactsDbl!B:D, 2, FALSE), ""), "", IFERROR(VLOOKUP(DBL_FullList!I1554, ContactsDbl!B:D, 2, FALSE), ""))</f>
        <v>dbladmin_intl@sil.org</v>
      </c>
      <c r="K1554" t="str">
        <f>IF(0 = IFERROR(VLOOKUP(DBL_FullList!I1554,ContactsDbl!B:D, 3, FALSE), ""), "", IFERROR(VLOOKUP(DBL_FullList!I1554, ContactsDbl!B:D, 3, FALSE), ""))</f>
        <v>http://www.wycliffe.org</v>
      </c>
      <c r="L1554">
        <f t="shared" si="49"/>
        <v>2</v>
      </c>
    </row>
    <row r="1555" spans="1:12" x14ac:dyDescent="0.25">
      <c r="A1555" t="s">
        <v>7950</v>
      </c>
      <c r="B1555" t="str">
        <f>IF(ISERROR(VLOOKUP(F1555,STEP!A:A, 1, FALSE)), "N", "Y")</f>
        <v>Y</v>
      </c>
      <c r="C1555" t="str">
        <f>IF(ISERROR(VLOOKUP(E1555, BibleInEveryLanguageTexts!A:A, 1, FALSE)), "N", "Y")</f>
        <v>N</v>
      </c>
      <c r="D1555" t="str">
        <f t="shared" si="48"/>
        <v/>
      </c>
      <c r="E1555" t="s">
        <v>7951</v>
      </c>
      <c r="F1555" t="s">
        <v>7952</v>
      </c>
      <c r="G1555" t="s">
        <v>48</v>
      </c>
      <c r="H1555" t="s">
        <v>7953</v>
      </c>
      <c r="I1555" t="s">
        <v>2661</v>
      </c>
      <c r="J1555" t="str">
        <f>IF(0 = IFERROR(VLOOKUP(DBL_FullList!I1555, ContactsDbl!B:D, 2, FALSE), ""), "", IFERROR(VLOOKUP(DBL_FullList!I1555, ContactsDbl!B:D, 2, FALSE), ""))</f>
        <v>dbladmin_intl@sil.org</v>
      </c>
      <c r="K1555" t="str">
        <f>IF(0 = IFERROR(VLOOKUP(DBL_FullList!I1555,ContactsDbl!B:D, 3, FALSE), ""), "", IFERROR(VLOOKUP(DBL_FullList!I1555, ContactsDbl!B:D, 3, FALSE), ""))</f>
        <v>http://www.wycliffe.org</v>
      </c>
      <c r="L1555">
        <f t="shared" si="49"/>
        <v>2</v>
      </c>
    </row>
    <row r="1556" spans="1:12" x14ac:dyDescent="0.25">
      <c r="A1556" t="s">
        <v>7954</v>
      </c>
      <c r="B1556" t="str">
        <f>IF(ISERROR(VLOOKUP(F1556,STEP!A:A, 1, FALSE)), "N", "Y")</f>
        <v>Y</v>
      </c>
      <c r="C1556" t="str">
        <f>IF(ISERROR(VLOOKUP(E1556, BibleInEveryLanguageTexts!A:A, 1, FALSE)), "N", "Y")</f>
        <v>N</v>
      </c>
      <c r="D1556" t="str">
        <f t="shared" si="48"/>
        <v/>
      </c>
      <c r="E1556" t="s">
        <v>7955</v>
      </c>
      <c r="F1556" t="s">
        <v>7956</v>
      </c>
      <c r="G1556" t="s">
        <v>48</v>
      </c>
      <c r="H1556" t="s">
        <v>7957</v>
      </c>
      <c r="I1556" t="s">
        <v>2661</v>
      </c>
      <c r="J1556" t="str">
        <f>IF(0 = IFERROR(VLOOKUP(DBL_FullList!I1556, ContactsDbl!B:D, 2, FALSE), ""), "", IFERROR(VLOOKUP(DBL_FullList!I1556, ContactsDbl!B:D, 2, FALSE), ""))</f>
        <v>dbladmin_intl@sil.org</v>
      </c>
      <c r="K1556" t="str">
        <f>IF(0 = IFERROR(VLOOKUP(DBL_FullList!I1556,ContactsDbl!B:D, 3, FALSE), ""), "", IFERROR(VLOOKUP(DBL_FullList!I1556, ContactsDbl!B:D, 3, FALSE), ""))</f>
        <v>http://www.wycliffe.org</v>
      </c>
      <c r="L1556">
        <f t="shared" si="49"/>
        <v>2</v>
      </c>
    </row>
    <row r="1557" spans="1:12" x14ac:dyDescent="0.25">
      <c r="A1557" t="s">
        <v>7958</v>
      </c>
      <c r="B1557" t="str">
        <f>IF(ISERROR(VLOOKUP(F1557,STEP!A:A, 1, FALSE)), "N", "Y")</f>
        <v>N</v>
      </c>
      <c r="C1557" t="str">
        <f>IF(ISERROR(VLOOKUP(E1557, BibleInEveryLanguageTexts!A:A, 1, FALSE)), "N", "Y")</f>
        <v>N</v>
      </c>
      <c r="D1557" t="str">
        <f t="shared" si="48"/>
        <v>X</v>
      </c>
      <c r="E1557" t="s">
        <v>7959</v>
      </c>
      <c r="F1557" t="s">
        <v>7960</v>
      </c>
      <c r="G1557" t="s">
        <v>3181</v>
      </c>
      <c r="H1557" t="s">
        <v>7961</v>
      </c>
      <c r="I1557" t="s">
        <v>2661</v>
      </c>
      <c r="J1557" t="str">
        <f>IF(0 = IFERROR(VLOOKUP(DBL_FullList!I1557, ContactsDbl!B:D, 2, FALSE), ""), "", IFERROR(VLOOKUP(DBL_FullList!I1557, ContactsDbl!B:D, 2, FALSE), ""))</f>
        <v>dbladmin_intl@sil.org</v>
      </c>
      <c r="K1557" t="str">
        <f>IF(0 = IFERROR(VLOOKUP(DBL_FullList!I1557,ContactsDbl!B:D, 3, FALSE), ""), "", IFERROR(VLOOKUP(DBL_FullList!I1557, ContactsDbl!B:D, 3, FALSE), ""))</f>
        <v>http://www.wycliffe.org</v>
      </c>
      <c r="L1557">
        <f t="shared" si="49"/>
        <v>2</v>
      </c>
    </row>
    <row r="1558" spans="1:12" x14ac:dyDescent="0.25">
      <c r="A1558" t="s">
        <v>7962</v>
      </c>
      <c r="B1558" t="str">
        <f>IF(ISERROR(VLOOKUP(F1558,STEP!A:A, 1, FALSE)), "N", "Y")</f>
        <v>Y</v>
      </c>
      <c r="C1558" t="str">
        <f>IF(ISERROR(VLOOKUP(E1558, BibleInEveryLanguageTexts!A:A, 1, FALSE)), "N", "Y")</f>
        <v>N</v>
      </c>
      <c r="D1558" t="str">
        <f t="shared" si="48"/>
        <v/>
      </c>
      <c r="E1558" t="s">
        <v>7963</v>
      </c>
      <c r="F1558" t="s">
        <v>7964</v>
      </c>
      <c r="G1558" t="s">
        <v>3133</v>
      </c>
      <c r="H1558" t="s">
        <v>7965</v>
      </c>
      <c r="I1558" t="s">
        <v>2661</v>
      </c>
      <c r="J1558" t="str">
        <f>IF(0 = IFERROR(VLOOKUP(DBL_FullList!I1558, ContactsDbl!B:D, 2, FALSE), ""), "", IFERROR(VLOOKUP(DBL_FullList!I1558, ContactsDbl!B:D, 2, FALSE), ""))</f>
        <v>dbladmin_intl@sil.org</v>
      </c>
      <c r="K1558" t="str">
        <f>IF(0 = IFERROR(VLOOKUP(DBL_FullList!I1558,ContactsDbl!B:D, 3, FALSE), ""), "", IFERROR(VLOOKUP(DBL_FullList!I1558, ContactsDbl!B:D, 3, FALSE), ""))</f>
        <v>http://www.wycliffe.org</v>
      </c>
      <c r="L1558">
        <f t="shared" si="49"/>
        <v>2</v>
      </c>
    </row>
    <row r="1559" spans="1:12" x14ac:dyDescent="0.25">
      <c r="A1559" t="s">
        <v>7966</v>
      </c>
      <c r="B1559" t="str">
        <f>IF(ISERROR(VLOOKUP(F1559,STEP!A:A, 1, FALSE)), "N", "Y")</f>
        <v>N</v>
      </c>
      <c r="C1559" t="str">
        <f>IF(ISERROR(VLOOKUP(E1559, BibleInEveryLanguageTexts!A:A, 1, FALSE)), "N", "Y")</f>
        <v>N</v>
      </c>
      <c r="D1559" t="str">
        <f t="shared" si="48"/>
        <v>X</v>
      </c>
      <c r="E1559" t="s">
        <v>7967</v>
      </c>
      <c r="F1559" t="s">
        <v>7968</v>
      </c>
      <c r="G1559" t="s">
        <v>48</v>
      </c>
      <c r="H1559" t="s">
        <v>7969</v>
      </c>
      <c r="I1559" t="s">
        <v>2661</v>
      </c>
      <c r="J1559" t="str">
        <f>IF(0 = IFERROR(VLOOKUP(DBL_FullList!I1559, ContactsDbl!B:D, 2, FALSE), ""), "", IFERROR(VLOOKUP(DBL_FullList!I1559, ContactsDbl!B:D, 2, FALSE), ""))</f>
        <v>dbladmin_intl@sil.org</v>
      </c>
      <c r="K1559" t="str">
        <f>IF(0 = IFERROR(VLOOKUP(DBL_FullList!I1559,ContactsDbl!B:D, 3, FALSE), ""), "", IFERROR(VLOOKUP(DBL_FullList!I1559, ContactsDbl!B:D, 3, FALSE), ""))</f>
        <v>http://www.wycliffe.org</v>
      </c>
      <c r="L1559">
        <f t="shared" si="49"/>
        <v>2</v>
      </c>
    </row>
    <row r="1560" spans="1:12" x14ac:dyDescent="0.25">
      <c r="A1560" t="s">
        <v>7970</v>
      </c>
      <c r="B1560" t="str">
        <f>IF(ISERROR(VLOOKUP(F1560,STEP!A:A, 1, FALSE)), "N", "Y")</f>
        <v>N</v>
      </c>
      <c r="C1560" t="str">
        <f>IF(ISERROR(VLOOKUP(E1560, BibleInEveryLanguageTexts!A:A, 1, FALSE)), "N", "Y")</f>
        <v>N</v>
      </c>
      <c r="D1560" t="str">
        <f t="shared" si="48"/>
        <v>X</v>
      </c>
      <c r="E1560" t="s">
        <v>334</v>
      </c>
      <c r="F1560" t="s">
        <v>332</v>
      </c>
      <c r="G1560" t="s">
        <v>333</v>
      </c>
      <c r="H1560" t="s">
        <v>7971</v>
      </c>
      <c r="I1560" t="s">
        <v>2534</v>
      </c>
      <c r="J1560" t="str">
        <f>IF(0 = IFERROR(VLOOKUP(DBL_FullList!I1560, ContactsDbl!B:D, 2, FALSE), ""), "", IFERROR(VLOOKUP(DBL_FullList!I1560, ContactsDbl!B:D, 2, FALSE), ""))</f>
        <v>elismar@sbb.org.br</v>
      </c>
      <c r="K1560" t="str">
        <f>IF(0 = IFERROR(VLOOKUP(DBL_FullList!I1560,ContactsDbl!B:D, 3, FALSE), ""), "", IFERROR(VLOOKUP(DBL_FullList!I1560, ContactsDbl!B:D, 3, FALSE), ""))</f>
        <v>http://www.sbb.org.br</v>
      </c>
      <c r="L1560">
        <f t="shared" si="49"/>
        <v>2</v>
      </c>
    </row>
    <row r="1561" spans="1:12" x14ac:dyDescent="0.25">
      <c r="A1561" t="s">
        <v>7972</v>
      </c>
      <c r="B1561" t="str">
        <f>IF(ISERROR(VLOOKUP(F1561,STEP!A:A, 1, FALSE)), "N", "Y")</f>
        <v>N</v>
      </c>
      <c r="C1561" t="str">
        <f>IF(ISERROR(VLOOKUP(E1561, BibleInEveryLanguageTexts!A:A, 1, FALSE)), "N", "Y")</f>
        <v>N</v>
      </c>
      <c r="D1561" t="str">
        <f t="shared" si="48"/>
        <v>X</v>
      </c>
      <c r="E1561" t="s">
        <v>7973</v>
      </c>
      <c r="F1561" t="s">
        <v>7974</v>
      </c>
      <c r="G1561" t="s">
        <v>2880</v>
      </c>
      <c r="H1561" t="s">
        <v>7975</v>
      </c>
      <c r="I1561" t="s">
        <v>2661</v>
      </c>
      <c r="J1561" t="str">
        <f>IF(0 = IFERROR(VLOOKUP(DBL_FullList!I1561, ContactsDbl!B:D, 2, FALSE), ""), "", IFERROR(VLOOKUP(DBL_FullList!I1561, ContactsDbl!B:D, 2, FALSE), ""))</f>
        <v>dbladmin_intl@sil.org</v>
      </c>
      <c r="K1561" t="str">
        <f>IF(0 = IFERROR(VLOOKUP(DBL_FullList!I1561,ContactsDbl!B:D, 3, FALSE), ""), "", IFERROR(VLOOKUP(DBL_FullList!I1561, ContactsDbl!B:D, 3, FALSE), ""))</f>
        <v>http://www.wycliffe.org</v>
      </c>
      <c r="L1561">
        <f t="shared" si="49"/>
        <v>2</v>
      </c>
    </row>
    <row r="1562" spans="1:12" x14ac:dyDescent="0.25">
      <c r="A1562" t="s">
        <v>7976</v>
      </c>
      <c r="B1562" t="str">
        <f>IF(ISERROR(VLOOKUP(F1562,STEP!A:A, 1, FALSE)), "N", "Y")</f>
        <v>N</v>
      </c>
      <c r="C1562" t="str">
        <f>IF(ISERROR(VLOOKUP(E1562, BibleInEveryLanguageTexts!A:A, 1, FALSE)), "N", "Y")</f>
        <v>N</v>
      </c>
      <c r="D1562" t="str">
        <f t="shared" si="48"/>
        <v>X</v>
      </c>
      <c r="E1562" t="s">
        <v>7977</v>
      </c>
      <c r="F1562" t="s">
        <v>7978</v>
      </c>
      <c r="G1562" t="s">
        <v>2723</v>
      </c>
      <c r="H1562" t="s">
        <v>7979</v>
      </c>
      <c r="I1562" t="s">
        <v>2661</v>
      </c>
      <c r="J1562" t="str">
        <f>IF(0 = IFERROR(VLOOKUP(DBL_FullList!I1562, ContactsDbl!B:D, 2, FALSE), ""), "", IFERROR(VLOOKUP(DBL_FullList!I1562, ContactsDbl!B:D, 2, FALSE), ""))</f>
        <v>dbladmin_intl@sil.org</v>
      </c>
      <c r="K1562" t="str">
        <f>IF(0 = IFERROR(VLOOKUP(DBL_FullList!I1562,ContactsDbl!B:D, 3, FALSE), ""), "", IFERROR(VLOOKUP(DBL_FullList!I1562, ContactsDbl!B:D, 3, FALSE), ""))</f>
        <v>http://www.wycliffe.org</v>
      </c>
      <c r="L1562">
        <f t="shared" si="49"/>
        <v>2</v>
      </c>
    </row>
    <row r="1563" spans="1:12" x14ac:dyDescent="0.25">
      <c r="A1563" t="s">
        <v>7980</v>
      </c>
      <c r="B1563" t="str">
        <f>IF(ISERROR(VLOOKUP(F1563,STEP!A:A, 1, FALSE)), "N", "Y")</f>
        <v>N</v>
      </c>
      <c r="C1563" t="str">
        <f>IF(ISERROR(VLOOKUP(E1563, BibleInEveryLanguageTexts!A:A, 1, FALSE)), "N", "Y")</f>
        <v>N</v>
      </c>
      <c r="D1563" t="str">
        <f t="shared" si="48"/>
        <v>X</v>
      </c>
      <c r="E1563" t="s">
        <v>5100</v>
      </c>
      <c r="F1563" t="s">
        <v>5101</v>
      </c>
      <c r="G1563" t="s">
        <v>4200</v>
      </c>
      <c r="H1563" t="s">
        <v>7981</v>
      </c>
      <c r="I1563" t="s">
        <v>2452</v>
      </c>
      <c r="J1563" t="str">
        <f>IF(0 = IFERROR(VLOOKUP(DBL_FullList!I1563, ContactsDbl!B:D, 2, FALSE), ""), "", IFERROR(VLOOKUP(DBL_FullList!I1563, ContactsDbl!B:D, 2, FALSE), ""))</f>
        <v>bsmalawi-dbl@biblesocieties.org</v>
      </c>
      <c r="K1563" t="str">
        <f>IF(0 = IFERROR(VLOOKUP(DBL_FullList!I1563,ContactsDbl!B:D, 3, FALSE), ""), "", IFERROR(VLOOKUP(DBL_FullList!I1563, ContactsDbl!B:D, 3, FALSE), ""))</f>
        <v>http://www.biblesociety-malawi.org/</v>
      </c>
      <c r="L1563">
        <f t="shared" si="49"/>
        <v>2</v>
      </c>
    </row>
    <row r="1564" spans="1:12" x14ac:dyDescent="0.25">
      <c r="A1564" t="s">
        <v>7982</v>
      </c>
      <c r="B1564" t="str">
        <f>IF(ISERROR(VLOOKUP(F1564,STEP!A:A, 1, FALSE)), "N", "Y")</f>
        <v>Y</v>
      </c>
      <c r="C1564" t="str">
        <f>IF(ISERROR(VLOOKUP(E1564, BibleInEveryLanguageTexts!A:A, 1, FALSE)), "N", "Y")</f>
        <v>N</v>
      </c>
      <c r="D1564" t="str">
        <f t="shared" si="48"/>
        <v/>
      </c>
      <c r="E1564" t="s">
        <v>7983</v>
      </c>
      <c r="F1564" t="s">
        <v>7984</v>
      </c>
      <c r="G1564" t="s">
        <v>48</v>
      </c>
      <c r="H1564" t="s">
        <v>7985</v>
      </c>
      <c r="I1564" t="s">
        <v>2661</v>
      </c>
      <c r="J1564" t="str">
        <f>IF(0 = IFERROR(VLOOKUP(DBL_FullList!I1564, ContactsDbl!B:D, 2, FALSE), ""), "", IFERROR(VLOOKUP(DBL_FullList!I1564, ContactsDbl!B:D, 2, FALSE), ""))</f>
        <v>dbladmin_intl@sil.org</v>
      </c>
      <c r="K1564" t="str">
        <f>IF(0 = IFERROR(VLOOKUP(DBL_FullList!I1564,ContactsDbl!B:D, 3, FALSE), ""), "", IFERROR(VLOOKUP(DBL_FullList!I1564, ContactsDbl!B:D, 3, FALSE), ""))</f>
        <v>http://www.wycliffe.org</v>
      </c>
      <c r="L1564">
        <f t="shared" si="49"/>
        <v>2</v>
      </c>
    </row>
    <row r="1565" spans="1:12" x14ac:dyDescent="0.25">
      <c r="A1565" t="s">
        <v>7986</v>
      </c>
      <c r="B1565" t="str">
        <f>IF(ISERROR(VLOOKUP(F1565,STEP!A:A, 1, FALSE)), "N", "Y")</f>
        <v>N</v>
      </c>
      <c r="C1565" t="str">
        <f>IF(ISERROR(VLOOKUP(E1565, BibleInEveryLanguageTexts!A:A, 1, FALSE)), "N", "Y")</f>
        <v>N</v>
      </c>
      <c r="D1565" t="str">
        <f t="shared" si="48"/>
        <v>X</v>
      </c>
      <c r="E1565" t="s">
        <v>7987</v>
      </c>
      <c r="F1565" t="s">
        <v>5050</v>
      </c>
      <c r="G1565" t="s">
        <v>3133</v>
      </c>
      <c r="H1565" t="s">
        <v>7988</v>
      </c>
      <c r="I1565" t="s">
        <v>2661</v>
      </c>
      <c r="J1565" t="str">
        <f>IF(0 = IFERROR(VLOOKUP(DBL_FullList!I1565, ContactsDbl!B:D, 2, FALSE), ""), "", IFERROR(VLOOKUP(DBL_FullList!I1565, ContactsDbl!B:D, 2, FALSE), ""))</f>
        <v>dbladmin_intl@sil.org</v>
      </c>
      <c r="K1565" t="str">
        <f>IF(0 = IFERROR(VLOOKUP(DBL_FullList!I1565,ContactsDbl!B:D, 3, FALSE), ""), "", IFERROR(VLOOKUP(DBL_FullList!I1565, ContactsDbl!B:D, 3, FALSE), ""))</f>
        <v>http://www.wycliffe.org</v>
      </c>
      <c r="L1565">
        <f t="shared" si="49"/>
        <v>2</v>
      </c>
    </row>
    <row r="1566" spans="1:12" x14ac:dyDescent="0.25">
      <c r="A1566" t="s">
        <v>7989</v>
      </c>
      <c r="B1566" t="str">
        <f>IF(ISERROR(VLOOKUP(F1566,STEP!A:A, 1, FALSE)), "N", "Y")</f>
        <v>Y</v>
      </c>
      <c r="C1566" t="str">
        <f>IF(ISERROR(VLOOKUP(E1566, BibleInEveryLanguageTexts!A:A, 1, FALSE)), "N", "Y")</f>
        <v>N</v>
      </c>
      <c r="D1566" t="str">
        <f t="shared" si="48"/>
        <v/>
      </c>
      <c r="E1566" t="s">
        <v>7990</v>
      </c>
      <c r="F1566" t="s">
        <v>7991</v>
      </c>
      <c r="G1566" t="s">
        <v>2793</v>
      </c>
      <c r="H1566" t="s">
        <v>7992</v>
      </c>
      <c r="I1566" t="s">
        <v>2661</v>
      </c>
      <c r="J1566" t="str">
        <f>IF(0 = IFERROR(VLOOKUP(DBL_FullList!I1566, ContactsDbl!B:D, 2, FALSE), ""), "", IFERROR(VLOOKUP(DBL_FullList!I1566, ContactsDbl!B:D, 2, FALSE), ""))</f>
        <v>dbladmin_intl@sil.org</v>
      </c>
      <c r="K1566" t="str">
        <f>IF(0 = IFERROR(VLOOKUP(DBL_FullList!I1566,ContactsDbl!B:D, 3, FALSE), ""), "", IFERROR(VLOOKUP(DBL_FullList!I1566, ContactsDbl!B:D, 3, FALSE), ""))</f>
        <v>http://www.wycliffe.org</v>
      </c>
      <c r="L1566">
        <f t="shared" si="49"/>
        <v>2</v>
      </c>
    </row>
    <row r="1567" spans="1:12" x14ac:dyDescent="0.25">
      <c r="A1567" t="s">
        <v>7993</v>
      </c>
      <c r="B1567" t="str">
        <f>IF(ISERROR(VLOOKUP(F1567,STEP!A:A, 1, FALSE)), "N", "Y")</f>
        <v>Y</v>
      </c>
      <c r="C1567" t="str">
        <f>IF(ISERROR(VLOOKUP(E1567, BibleInEveryLanguageTexts!A:A, 1, FALSE)), "N", "Y")</f>
        <v>N</v>
      </c>
      <c r="D1567" t="str">
        <f t="shared" si="48"/>
        <v/>
      </c>
      <c r="E1567" t="s">
        <v>7994</v>
      </c>
      <c r="F1567" t="s">
        <v>7995</v>
      </c>
      <c r="G1567" t="s">
        <v>48</v>
      </c>
      <c r="H1567" t="s">
        <v>7996</v>
      </c>
      <c r="I1567" t="s">
        <v>2661</v>
      </c>
      <c r="J1567" t="str">
        <f>IF(0 = IFERROR(VLOOKUP(DBL_FullList!I1567, ContactsDbl!B:D, 2, FALSE), ""), "", IFERROR(VLOOKUP(DBL_FullList!I1567, ContactsDbl!B:D, 2, FALSE), ""))</f>
        <v>dbladmin_intl@sil.org</v>
      </c>
      <c r="K1567" t="str">
        <f>IF(0 = IFERROR(VLOOKUP(DBL_FullList!I1567,ContactsDbl!B:D, 3, FALSE), ""), "", IFERROR(VLOOKUP(DBL_FullList!I1567, ContactsDbl!B:D, 3, FALSE), ""))</f>
        <v>http://www.wycliffe.org</v>
      </c>
      <c r="L1567">
        <f t="shared" si="49"/>
        <v>2</v>
      </c>
    </row>
    <row r="1568" spans="1:12" x14ac:dyDescent="0.25">
      <c r="A1568" t="s">
        <v>7997</v>
      </c>
      <c r="B1568" t="str">
        <f>IF(ISERROR(VLOOKUP(F1568,STEP!A:A, 1, FALSE)), "N", "Y")</f>
        <v>N</v>
      </c>
      <c r="C1568" t="str">
        <f>IF(ISERROR(VLOOKUP(E1568, BibleInEveryLanguageTexts!A:A, 1, FALSE)), "N", "Y")</f>
        <v>N</v>
      </c>
      <c r="D1568" t="str">
        <f t="shared" si="48"/>
        <v>X</v>
      </c>
      <c r="E1568" t="s">
        <v>7357</v>
      </c>
      <c r="F1568" t="s">
        <v>7358</v>
      </c>
      <c r="G1568" t="s">
        <v>3133</v>
      </c>
      <c r="H1568" t="s">
        <v>7998</v>
      </c>
      <c r="I1568" t="s">
        <v>2661</v>
      </c>
      <c r="J1568" t="str">
        <f>IF(0 = IFERROR(VLOOKUP(DBL_FullList!I1568, ContactsDbl!B:D, 2, FALSE), ""), "", IFERROR(VLOOKUP(DBL_FullList!I1568, ContactsDbl!B:D, 2, FALSE), ""))</f>
        <v>dbladmin_intl@sil.org</v>
      </c>
      <c r="K1568" t="str">
        <f>IF(0 = IFERROR(VLOOKUP(DBL_FullList!I1568,ContactsDbl!B:D, 3, FALSE), ""), "", IFERROR(VLOOKUP(DBL_FullList!I1568, ContactsDbl!B:D, 3, FALSE), ""))</f>
        <v>http://www.wycliffe.org</v>
      </c>
      <c r="L1568">
        <f t="shared" si="49"/>
        <v>2</v>
      </c>
    </row>
    <row r="1569" spans="1:12" x14ac:dyDescent="0.25">
      <c r="A1569" t="s">
        <v>7999</v>
      </c>
      <c r="B1569" t="str">
        <f>IF(ISERROR(VLOOKUP(F1569,STEP!A:A, 1, FALSE)), "N", "Y")</f>
        <v>N</v>
      </c>
      <c r="C1569" t="str">
        <f>IF(ISERROR(VLOOKUP(E1569, BibleInEveryLanguageTexts!A:A, 1, FALSE)), "N", "Y")</f>
        <v>N</v>
      </c>
      <c r="D1569" t="str">
        <f t="shared" si="48"/>
        <v>X</v>
      </c>
      <c r="E1569" t="s">
        <v>205</v>
      </c>
      <c r="F1569" t="s">
        <v>204</v>
      </c>
      <c r="G1569" t="s">
        <v>4081</v>
      </c>
      <c r="H1569" t="s">
        <v>8000</v>
      </c>
      <c r="I1569" t="s">
        <v>1978</v>
      </c>
      <c r="J1569" t="str">
        <f>IF(0 = IFERROR(VLOOKUP(DBL_FullList!I1569, ContactsDbl!B:D, 2, FALSE), ""), "", IFERROR(VLOOKUP(DBL_FullList!I1569, ContactsDbl!B:D, 2, FALSE), ""))</f>
        <v>info@biblesociety.org.bd</v>
      </c>
      <c r="K1569" t="str">
        <f>IF(0 = IFERROR(VLOOKUP(DBL_FullList!I1569,ContactsDbl!B:D, 3, FALSE), ""), "", IFERROR(VLOOKUP(DBL_FullList!I1569, ContactsDbl!B:D, 3, FALSE), ""))</f>
        <v>http://biblesociety.org.bd</v>
      </c>
      <c r="L1569">
        <f t="shared" si="49"/>
        <v>2</v>
      </c>
    </row>
    <row r="1570" spans="1:12" x14ac:dyDescent="0.25">
      <c r="A1570" t="s">
        <v>8001</v>
      </c>
      <c r="B1570" t="str">
        <f>IF(ISERROR(VLOOKUP(F1570,STEP!A:A, 1, FALSE)), "N", "Y")</f>
        <v>Y</v>
      </c>
      <c r="C1570" t="str">
        <f>IF(ISERROR(VLOOKUP(E1570, BibleInEveryLanguageTexts!A:A, 1, FALSE)), "N", "Y")</f>
        <v>N</v>
      </c>
      <c r="D1570" t="str">
        <f t="shared" si="48"/>
        <v/>
      </c>
      <c r="E1570" t="s">
        <v>8002</v>
      </c>
      <c r="F1570" t="s">
        <v>8003</v>
      </c>
      <c r="G1570" t="s">
        <v>48</v>
      </c>
      <c r="H1570" t="s">
        <v>8004</v>
      </c>
      <c r="I1570" t="s">
        <v>2661</v>
      </c>
      <c r="J1570" t="str">
        <f>IF(0 = IFERROR(VLOOKUP(DBL_FullList!I1570, ContactsDbl!B:D, 2, FALSE), ""), "", IFERROR(VLOOKUP(DBL_FullList!I1570, ContactsDbl!B:D, 2, FALSE), ""))</f>
        <v>dbladmin_intl@sil.org</v>
      </c>
      <c r="K1570" t="str">
        <f>IF(0 = IFERROR(VLOOKUP(DBL_FullList!I1570,ContactsDbl!B:D, 3, FALSE), ""), "", IFERROR(VLOOKUP(DBL_FullList!I1570, ContactsDbl!B:D, 3, FALSE), ""))</f>
        <v>http://www.wycliffe.org</v>
      </c>
      <c r="L1570">
        <f t="shared" si="49"/>
        <v>2</v>
      </c>
    </row>
    <row r="1571" spans="1:12" x14ac:dyDescent="0.25">
      <c r="A1571" t="s">
        <v>8005</v>
      </c>
      <c r="B1571" t="str">
        <f>IF(ISERROR(VLOOKUP(F1571,STEP!A:A, 1, FALSE)), "N", "Y")</f>
        <v>N</v>
      </c>
      <c r="C1571" t="str">
        <f>IF(ISERROR(VLOOKUP(E1571, BibleInEveryLanguageTexts!A:A, 1, FALSE)), "N", "Y")</f>
        <v>N</v>
      </c>
      <c r="D1571" t="str">
        <f t="shared" si="48"/>
        <v>X</v>
      </c>
      <c r="E1571" t="s">
        <v>8006</v>
      </c>
      <c r="F1571" t="s">
        <v>8007</v>
      </c>
      <c r="G1571" t="s">
        <v>2743</v>
      </c>
      <c r="H1571" t="s">
        <v>8008</v>
      </c>
      <c r="I1571" t="s">
        <v>2073</v>
      </c>
      <c r="J1571" t="str">
        <f>IF(0 = IFERROR(VLOOKUP(DBL_FullList!I1571, ContactsDbl!B:D, 2, FALSE), ""), "", IFERROR(VLOOKUP(DBL_FullList!I1571, ContactsDbl!B:D, 2, FALSE), ""))</f>
        <v>ajiboye@biblesociety-nigeria.org</v>
      </c>
      <c r="K1571" t="str">
        <f>IF(0 = IFERROR(VLOOKUP(DBL_FullList!I1571,ContactsDbl!B:D, 3, FALSE), ""), "", IFERROR(VLOOKUP(DBL_FullList!I1571, ContactsDbl!B:D, 3, FALSE), ""))</f>
        <v>http://www.biblesociety-nigeria.org/</v>
      </c>
      <c r="L1571">
        <f t="shared" si="49"/>
        <v>2</v>
      </c>
    </row>
    <row r="1572" spans="1:12" x14ac:dyDescent="0.25">
      <c r="A1572" t="s">
        <v>8009</v>
      </c>
      <c r="B1572" t="str">
        <f>IF(ISERROR(VLOOKUP(F1572,STEP!A:A, 1, FALSE)), "N", "Y")</f>
        <v>N</v>
      </c>
      <c r="C1572" t="str">
        <f>IF(ISERROR(VLOOKUP(E1572, BibleInEveryLanguageTexts!A:A, 1, FALSE)), "N", "Y")</f>
        <v>N</v>
      </c>
      <c r="D1572" t="str">
        <f t="shared" si="48"/>
        <v>X</v>
      </c>
      <c r="E1572" t="s">
        <v>8010</v>
      </c>
      <c r="F1572" t="s">
        <v>8011</v>
      </c>
      <c r="G1572" t="s">
        <v>383</v>
      </c>
      <c r="H1572" t="s">
        <v>8012</v>
      </c>
      <c r="I1572" t="s">
        <v>2661</v>
      </c>
      <c r="J1572" t="str">
        <f>IF(0 = IFERROR(VLOOKUP(DBL_FullList!I1572, ContactsDbl!B:D, 2, FALSE), ""), "", IFERROR(VLOOKUP(DBL_FullList!I1572, ContactsDbl!B:D, 2, FALSE), ""))</f>
        <v>dbladmin_intl@sil.org</v>
      </c>
      <c r="K1572" t="str">
        <f>IF(0 = IFERROR(VLOOKUP(DBL_FullList!I1572,ContactsDbl!B:D, 3, FALSE), ""), "", IFERROR(VLOOKUP(DBL_FullList!I1572, ContactsDbl!B:D, 3, FALSE), ""))</f>
        <v>http://www.wycliffe.org</v>
      </c>
      <c r="L1572">
        <f t="shared" si="49"/>
        <v>2</v>
      </c>
    </row>
    <row r="1573" spans="1:12" x14ac:dyDescent="0.25">
      <c r="A1573" t="s">
        <v>8013</v>
      </c>
      <c r="B1573" t="str">
        <f>IF(ISERROR(VLOOKUP(F1573,STEP!A:A, 1, FALSE)), "N", "Y")</f>
        <v>N</v>
      </c>
      <c r="C1573" t="str">
        <f>IF(ISERROR(VLOOKUP(E1573, BibleInEveryLanguageTexts!A:A, 1, FALSE)), "N", "Y")</f>
        <v>N</v>
      </c>
      <c r="D1573" t="str">
        <f t="shared" si="48"/>
        <v>X</v>
      </c>
      <c r="E1573" t="s">
        <v>8014</v>
      </c>
      <c r="F1573" t="s">
        <v>8015</v>
      </c>
      <c r="G1573" t="s">
        <v>3194</v>
      </c>
      <c r="H1573" t="s">
        <v>8016</v>
      </c>
      <c r="I1573" t="s">
        <v>2314</v>
      </c>
      <c r="J1573" t="str">
        <f>IF(0 = IFERROR(VLOOKUP(DBL_FullList!I1573, ContactsDbl!B:D, 2, FALSE), ""), "", IFERROR(VLOOKUP(DBL_FullList!I1573, ContactsDbl!B:D, 2, FALSE), ""))</f>
        <v>info@ibt.org.ru</v>
      </c>
      <c r="K1573" t="str">
        <f>IF(0 = IFERROR(VLOOKUP(DBL_FullList!I1573,ContactsDbl!B:D, 3, FALSE), ""), "", IFERROR(VLOOKUP(DBL_FullList!I1573, ContactsDbl!B:D, 3, FALSE), ""))</f>
        <v>https://ibtrussia.org</v>
      </c>
      <c r="L1573">
        <f t="shared" si="49"/>
        <v>2</v>
      </c>
    </row>
    <row r="1574" spans="1:12" x14ac:dyDescent="0.25">
      <c r="A1574" s="1" t="s">
        <v>8017</v>
      </c>
      <c r="B1574" t="str">
        <f>IF(ISERROR(VLOOKUP(F1574,STEP!A:A, 1, FALSE)), "N", "Y")</f>
        <v>N</v>
      </c>
      <c r="C1574" t="str">
        <f>IF(ISERROR(VLOOKUP(E1574, BibleInEveryLanguageTexts!A:A, 1, FALSE)), "N", "Y")</f>
        <v>N</v>
      </c>
      <c r="D1574" t="str">
        <f t="shared" si="48"/>
        <v>X</v>
      </c>
      <c r="E1574" t="s">
        <v>8018</v>
      </c>
      <c r="F1574" t="s">
        <v>8019</v>
      </c>
      <c r="G1574" t="s">
        <v>3194</v>
      </c>
      <c r="H1574" t="s">
        <v>8020</v>
      </c>
      <c r="I1574" t="s">
        <v>2314</v>
      </c>
      <c r="J1574" t="str">
        <f>IF(0 = IFERROR(VLOOKUP(DBL_FullList!I1574, ContactsDbl!B:D, 2, FALSE), ""), "", IFERROR(VLOOKUP(DBL_FullList!I1574, ContactsDbl!B:D, 2, FALSE), ""))</f>
        <v>info@ibt.org.ru</v>
      </c>
      <c r="K1574" t="str">
        <f>IF(0 = IFERROR(VLOOKUP(DBL_FullList!I1574,ContactsDbl!B:D, 3, FALSE), ""), "", IFERROR(VLOOKUP(DBL_FullList!I1574, ContactsDbl!B:D, 3, FALSE), ""))</f>
        <v>https://ibtrussia.org</v>
      </c>
      <c r="L1574">
        <f t="shared" si="49"/>
        <v>2</v>
      </c>
    </row>
    <row r="1575" spans="1:12" x14ac:dyDescent="0.25">
      <c r="A1575" t="s">
        <v>8021</v>
      </c>
      <c r="B1575" t="str">
        <f>IF(ISERROR(VLOOKUP(F1575,STEP!A:A, 1, FALSE)), "N", "Y")</f>
        <v>N</v>
      </c>
      <c r="C1575" t="str">
        <f>IF(ISERROR(VLOOKUP(E1575, BibleInEveryLanguageTexts!A:A, 1, FALSE)), "N", "Y")</f>
        <v>N</v>
      </c>
      <c r="D1575" t="str">
        <f t="shared" si="48"/>
        <v>X</v>
      </c>
      <c r="E1575" t="s">
        <v>8022</v>
      </c>
      <c r="F1575" t="s">
        <v>8023</v>
      </c>
      <c r="G1575" t="s">
        <v>3194</v>
      </c>
      <c r="H1575" t="s">
        <v>8024</v>
      </c>
      <c r="I1575" t="s">
        <v>2314</v>
      </c>
      <c r="J1575" t="str">
        <f>IF(0 = IFERROR(VLOOKUP(DBL_FullList!I1575, ContactsDbl!B:D, 2, FALSE), ""), "", IFERROR(VLOOKUP(DBL_FullList!I1575, ContactsDbl!B:D, 2, FALSE), ""))</f>
        <v>info@ibt.org.ru</v>
      </c>
      <c r="K1575" t="str">
        <f>IF(0 = IFERROR(VLOOKUP(DBL_FullList!I1575,ContactsDbl!B:D, 3, FALSE), ""), "", IFERROR(VLOOKUP(DBL_FullList!I1575, ContactsDbl!B:D, 3, FALSE), ""))</f>
        <v>https://ibtrussia.org</v>
      </c>
      <c r="L1575">
        <f t="shared" si="49"/>
        <v>2</v>
      </c>
    </row>
    <row r="1576" spans="1:12" x14ac:dyDescent="0.25">
      <c r="A1576" t="s">
        <v>8025</v>
      </c>
      <c r="B1576" t="str">
        <f>IF(ISERROR(VLOOKUP(F1576,STEP!A:A, 1, FALSE)), "N", "Y")</f>
        <v>N</v>
      </c>
      <c r="C1576" t="str">
        <f>IF(ISERROR(VLOOKUP(E1576, BibleInEveryLanguageTexts!A:A, 1, FALSE)), "N", "Y")</f>
        <v>N</v>
      </c>
      <c r="D1576" t="str">
        <f t="shared" si="48"/>
        <v>X</v>
      </c>
      <c r="E1576" t="s">
        <v>6566</v>
      </c>
      <c r="F1576" t="s">
        <v>6567</v>
      </c>
      <c r="G1576" t="s">
        <v>3194</v>
      </c>
      <c r="H1576" t="s">
        <v>8026</v>
      </c>
      <c r="I1576" t="s">
        <v>2314</v>
      </c>
      <c r="J1576" t="str">
        <f>IF(0 = IFERROR(VLOOKUP(DBL_FullList!I1576, ContactsDbl!B:D, 2, FALSE), ""), "", IFERROR(VLOOKUP(DBL_FullList!I1576, ContactsDbl!B:D, 2, FALSE), ""))</f>
        <v>info@ibt.org.ru</v>
      </c>
      <c r="K1576" t="str">
        <f>IF(0 = IFERROR(VLOOKUP(DBL_FullList!I1576,ContactsDbl!B:D, 3, FALSE), ""), "", IFERROR(VLOOKUP(DBL_FullList!I1576, ContactsDbl!B:D, 3, FALSE), ""))</f>
        <v>https://ibtrussia.org</v>
      </c>
      <c r="L1576">
        <f t="shared" si="49"/>
        <v>2</v>
      </c>
    </row>
    <row r="1577" spans="1:12" x14ac:dyDescent="0.25">
      <c r="A1577" t="s">
        <v>8027</v>
      </c>
      <c r="B1577" t="str">
        <f>IF(ISERROR(VLOOKUP(F1577,STEP!A:A, 1, FALSE)), "N", "Y")</f>
        <v>N</v>
      </c>
      <c r="C1577" t="str">
        <f>IF(ISERROR(VLOOKUP(E1577, BibleInEveryLanguageTexts!A:A, 1, FALSE)), "N", "Y")</f>
        <v>N</v>
      </c>
      <c r="D1577" t="str">
        <f t="shared" si="48"/>
        <v>X</v>
      </c>
      <c r="E1577" t="s">
        <v>8028</v>
      </c>
      <c r="F1577" t="s">
        <v>8029</v>
      </c>
      <c r="G1577" t="s">
        <v>3194</v>
      </c>
      <c r="H1577" t="s">
        <v>8030</v>
      </c>
      <c r="I1577" t="s">
        <v>2314</v>
      </c>
      <c r="J1577" t="str">
        <f>IF(0 = IFERROR(VLOOKUP(DBL_FullList!I1577, ContactsDbl!B:D, 2, FALSE), ""), "", IFERROR(VLOOKUP(DBL_FullList!I1577, ContactsDbl!B:D, 2, FALSE), ""))</f>
        <v>info@ibt.org.ru</v>
      </c>
      <c r="K1577" t="str">
        <f>IF(0 = IFERROR(VLOOKUP(DBL_FullList!I1577,ContactsDbl!B:D, 3, FALSE), ""), "", IFERROR(VLOOKUP(DBL_FullList!I1577, ContactsDbl!B:D, 3, FALSE), ""))</f>
        <v>https://ibtrussia.org</v>
      </c>
      <c r="L1577">
        <f t="shared" si="49"/>
        <v>2</v>
      </c>
    </row>
    <row r="1578" spans="1:12" x14ac:dyDescent="0.25">
      <c r="A1578" t="s">
        <v>8031</v>
      </c>
      <c r="B1578" t="str">
        <f>IF(ISERROR(VLOOKUP(F1578,STEP!A:A, 1, FALSE)), "N", "Y")</f>
        <v>N</v>
      </c>
      <c r="C1578" t="str">
        <f>IF(ISERROR(VLOOKUP(E1578, BibleInEveryLanguageTexts!A:A, 1, FALSE)), "N", "Y")</f>
        <v>N</v>
      </c>
      <c r="D1578" t="str">
        <f t="shared" si="48"/>
        <v>X</v>
      </c>
      <c r="E1578" t="s">
        <v>6562</v>
      </c>
      <c r="F1578" t="s">
        <v>6563</v>
      </c>
      <c r="G1578" t="s">
        <v>3194</v>
      </c>
      <c r="H1578" t="s">
        <v>8032</v>
      </c>
      <c r="I1578" t="s">
        <v>2314</v>
      </c>
      <c r="J1578" t="str">
        <f>IF(0 = IFERROR(VLOOKUP(DBL_FullList!I1578, ContactsDbl!B:D, 2, FALSE), ""), "", IFERROR(VLOOKUP(DBL_FullList!I1578, ContactsDbl!B:D, 2, FALSE), ""))</f>
        <v>info@ibt.org.ru</v>
      </c>
      <c r="K1578" t="str">
        <f>IF(0 = IFERROR(VLOOKUP(DBL_FullList!I1578,ContactsDbl!B:D, 3, FALSE), ""), "", IFERROR(VLOOKUP(DBL_FullList!I1578, ContactsDbl!B:D, 3, FALSE), ""))</f>
        <v>https://ibtrussia.org</v>
      </c>
      <c r="L1578">
        <f t="shared" si="49"/>
        <v>2</v>
      </c>
    </row>
    <row r="1579" spans="1:12" x14ac:dyDescent="0.25">
      <c r="A1579" t="s">
        <v>8033</v>
      </c>
      <c r="B1579" t="str">
        <f>IF(ISERROR(VLOOKUP(F1579,STEP!A:A, 1, FALSE)), "N", "Y")</f>
        <v>N</v>
      </c>
      <c r="C1579" t="str">
        <f>IF(ISERROR(VLOOKUP(E1579, BibleInEveryLanguageTexts!A:A, 1, FALSE)), "N", "Y")</f>
        <v>N</v>
      </c>
      <c r="D1579" t="str">
        <f t="shared" si="48"/>
        <v>X</v>
      </c>
      <c r="E1579" t="s">
        <v>8034</v>
      </c>
      <c r="F1579" t="s">
        <v>8035</v>
      </c>
      <c r="G1579" t="s">
        <v>3194</v>
      </c>
      <c r="H1579" t="s">
        <v>8036</v>
      </c>
      <c r="I1579" t="s">
        <v>2314</v>
      </c>
      <c r="J1579" t="str">
        <f>IF(0 = IFERROR(VLOOKUP(DBL_FullList!I1579, ContactsDbl!B:D, 2, FALSE), ""), "", IFERROR(VLOOKUP(DBL_FullList!I1579, ContactsDbl!B:D, 2, FALSE), ""))</f>
        <v>info@ibt.org.ru</v>
      </c>
      <c r="K1579" t="str">
        <f>IF(0 = IFERROR(VLOOKUP(DBL_FullList!I1579,ContactsDbl!B:D, 3, FALSE), ""), "", IFERROR(VLOOKUP(DBL_FullList!I1579, ContactsDbl!B:D, 3, FALSE), ""))</f>
        <v>https://ibtrussia.org</v>
      </c>
      <c r="L1579">
        <f t="shared" si="49"/>
        <v>2</v>
      </c>
    </row>
    <row r="1580" spans="1:12" x14ac:dyDescent="0.25">
      <c r="A1580" t="s">
        <v>8037</v>
      </c>
      <c r="B1580" t="str">
        <f>IF(ISERROR(VLOOKUP(F1580,STEP!A:A, 1, FALSE)), "N", "Y")</f>
        <v>N</v>
      </c>
      <c r="C1580" t="str">
        <f>IF(ISERROR(VLOOKUP(E1580, BibleInEveryLanguageTexts!A:A, 1, FALSE)), "N", "Y")</f>
        <v>N</v>
      </c>
      <c r="D1580" t="str">
        <f t="shared" si="48"/>
        <v>X</v>
      </c>
      <c r="E1580" t="s">
        <v>8038</v>
      </c>
      <c r="F1580" t="s">
        <v>8039</v>
      </c>
      <c r="G1580" t="s">
        <v>3194</v>
      </c>
      <c r="H1580" t="s">
        <v>8040</v>
      </c>
      <c r="I1580" t="s">
        <v>2314</v>
      </c>
      <c r="J1580" t="str">
        <f>IF(0 = IFERROR(VLOOKUP(DBL_FullList!I1580, ContactsDbl!B:D, 2, FALSE), ""), "", IFERROR(VLOOKUP(DBL_FullList!I1580, ContactsDbl!B:D, 2, FALSE), ""))</f>
        <v>info@ibt.org.ru</v>
      </c>
      <c r="K1580" t="str">
        <f>IF(0 = IFERROR(VLOOKUP(DBL_FullList!I1580,ContactsDbl!B:D, 3, FALSE), ""), "", IFERROR(VLOOKUP(DBL_FullList!I1580, ContactsDbl!B:D, 3, FALSE), ""))</f>
        <v>https://ibtrussia.org</v>
      </c>
      <c r="L1580">
        <f t="shared" si="49"/>
        <v>2</v>
      </c>
    </row>
    <row r="1581" spans="1:12" x14ac:dyDescent="0.25">
      <c r="A1581" t="s">
        <v>8041</v>
      </c>
      <c r="B1581" t="str">
        <f>IF(ISERROR(VLOOKUP(F1581,STEP!A:A, 1, FALSE)), "N", "Y")</f>
        <v>N</v>
      </c>
      <c r="C1581" t="str">
        <f>IF(ISERROR(VLOOKUP(E1581, BibleInEveryLanguageTexts!A:A, 1, FALSE)), "N", "Y")</f>
        <v>N</v>
      </c>
      <c r="D1581" t="str">
        <f t="shared" si="48"/>
        <v>X</v>
      </c>
      <c r="E1581" t="s">
        <v>8042</v>
      </c>
      <c r="F1581" t="s">
        <v>8043</v>
      </c>
      <c r="G1581" t="s">
        <v>3194</v>
      </c>
      <c r="H1581" t="s">
        <v>8044</v>
      </c>
      <c r="I1581" t="s">
        <v>2314</v>
      </c>
      <c r="J1581" t="str">
        <f>IF(0 = IFERROR(VLOOKUP(DBL_FullList!I1581, ContactsDbl!B:D, 2, FALSE), ""), "", IFERROR(VLOOKUP(DBL_FullList!I1581, ContactsDbl!B:D, 2, FALSE), ""))</f>
        <v>info@ibt.org.ru</v>
      </c>
      <c r="K1581" t="str">
        <f>IF(0 = IFERROR(VLOOKUP(DBL_FullList!I1581,ContactsDbl!B:D, 3, FALSE), ""), "", IFERROR(VLOOKUP(DBL_FullList!I1581, ContactsDbl!B:D, 3, FALSE), ""))</f>
        <v>https://ibtrussia.org</v>
      </c>
      <c r="L1581">
        <f t="shared" si="49"/>
        <v>2</v>
      </c>
    </row>
    <row r="1582" spans="1:12" x14ac:dyDescent="0.25">
      <c r="A1582" t="s">
        <v>8045</v>
      </c>
      <c r="B1582" t="str">
        <f>IF(ISERROR(VLOOKUP(F1582,STEP!A:A, 1, FALSE)), "N", "Y")</f>
        <v>N</v>
      </c>
      <c r="C1582" t="str">
        <f>IF(ISERROR(VLOOKUP(E1582, BibleInEveryLanguageTexts!A:A, 1, FALSE)), "N", "Y")</f>
        <v>N</v>
      </c>
      <c r="D1582" t="str">
        <f t="shared" si="48"/>
        <v>X</v>
      </c>
      <c r="E1582" t="s">
        <v>8046</v>
      </c>
      <c r="F1582" t="s">
        <v>8047</v>
      </c>
      <c r="G1582" t="s">
        <v>3194</v>
      </c>
      <c r="H1582" t="s">
        <v>8048</v>
      </c>
      <c r="I1582" t="s">
        <v>2314</v>
      </c>
      <c r="J1582" t="str">
        <f>IF(0 = IFERROR(VLOOKUP(DBL_FullList!I1582, ContactsDbl!B:D, 2, FALSE), ""), "", IFERROR(VLOOKUP(DBL_FullList!I1582, ContactsDbl!B:D, 2, FALSE), ""))</f>
        <v>info@ibt.org.ru</v>
      </c>
      <c r="K1582" t="str">
        <f>IF(0 = IFERROR(VLOOKUP(DBL_FullList!I1582,ContactsDbl!B:D, 3, FALSE), ""), "", IFERROR(VLOOKUP(DBL_FullList!I1582, ContactsDbl!B:D, 3, FALSE), ""))</f>
        <v>https://ibtrussia.org</v>
      </c>
      <c r="L1582">
        <f t="shared" si="49"/>
        <v>2</v>
      </c>
    </row>
    <row r="1583" spans="1:12" x14ac:dyDescent="0.25">
      <c r="A1583" t="s">
        <v>8049</v>
      </c>
      <c r="B1583" t="str">
        <f>IF(ISERROR(VLOOKUP(F1583,STEP!A:A, 1, FALSE)), "N", "Y")</f>
        <v>N</v>
      </c>
      <c r="C1583" t="str">
        <f>IF(ISERROR(VLOOKUP(E1583, BibleInEveryLanguageTexts!A:A, 1, FALSE)), "N", "Y")</f>
        <v>N</v>
      </c>
      <c r="D1583" t="str">
        <f t="shared" si="48"/>
        <v>X</v>
      </c>
      <c r="E1583" t="s">
        <v>8050</v>
      </c>
      <c r="F1583" t="s">
        <v>8051</v>
      </c>
      <c r="G1583" t="s">
        <v>8052</v>
      </c>
      <c r="H1583" t="s">
        <v>8053</v>
      </c>
      <c r="I1583" t="s">
        <v>2314</v>
      </c>
      <c r="J1583" t="str">
        <f>IF(0 = IFERROR(VLOOKUP(DBL_FullList!I1583, ContactsDbl!B:D, 2, FALSE), ""), "", IFERROR(VLOOKUP(DBL_FullList!I1583, ContactsDbl!B:D, 2, FALSE), ""))</f>
        <v>info@ibt.org.ru</v>
      </c>
      <c r="K1583" t="str">
        <f>IF(0 = IFERROR(VLOOKUP(DBL_FullList!I1583,ContactsDbl!B:D, 3, FALSE), ""), "", IFERROR(VLOOKUP(DBL_FullList!I1583, ContactsDbl!B:D, 3, FALSE), ""))</f>
        <v>https://ibtrussia.org</v>
      </c>
      <c r="L1583">
        <f t="shared" si="49"/>
        <v>2</v>
      </c>
    </row>
    <row r="1584" spans="1:12" x14ac:dyDescent="0.25">
      <c r="A1584" t="s">
        <v>8054</v>
      </c>
      <c r="B1584" t="str">
        <f>IF(ISERROR(VLOOKUP(F1584,STEP!A:A, 1, FALSE)), "N", "Y")</f>
        <v>N</v>
      </c>
      <c r="C1584" t="str">
        <f>IF(ISERROR(VLOOKUP(E1584, BibleInEveryLanguageTexts!A:A, 1, FALSE)), "N", "Y")</f>
        <v>N</v>
      </c>
      <c r="D1584" t="str">
        <f t="shared" si="48"/>
        <v>X</v>
      </c>
      <c r="E1584" t="s">
        <v>8055</v>
      </c>
      <c r="F1584" t="s">
        <v>8056</v>
      </c>
      <c r="G1584" t="s">
        <v>3194</v>
      </c>
      <c r="H1584" t="s">
        <v>8057</v>
      </c>
      <c r="I1584" t="s">
        <v>2314</v>
      </c>
      <c r="J1584" t="str">
        <f>IF(0 = IFERROR(VLOOKUP(DBL_FullList!I1584, ContactsDbl!B:D, 2, FALSE), ""), "", IFERROR(VLOOKUP(DBL_FullList!I1584, ContactsDbl!B:D, 2, FALSE), ""))</f>
        <v>info@ibt.org.ru</v>
      </c>
      <c r="K1584" t="str">
        <f>IF(0 = IFERROR(VLOOKUP(DBL_FullList!I1584,ContactsDbl!B:D, 3, FALSE), ""), "", IFERROR(VLOOKUP(DBL_FullList!I1584, ContactsDbl!B:D, 3, FALSE), ""))</f>
        <v>https://ibtrussia.org</v>
      </c>
      <c r="L1584">
        <f t="shared" si="49"/>
        <v>2</v>
      </c>
    </row>
    <row r="1585" spans="1:12" x14ac:dyDescent="0.25">
      <c r="A1585" t="s">
        <v>8058</v>
      </c>
      <c r="B1585" t="str">
        <f>IF(ISERROR(VLOOKUP(F1585,STEP!A:A, 1, FALSE)), "N", "Y")</f>
        <v>N</v>
      </c>
      <c r="C1585" t="str">
        <f>IF(ISERROR(VLOOKUP(E1585, BibleInEveryLanguageTexts!A:A, 1, FALSE)), "N", "Y")</f>
        <v>N</v>
      </c>
      <c r="D1585" t="str">
        <f t="shared" si="48"/>
        <v>X</v>
      </c>
      <c r="E1585" t="s">
        <v>8059</v>
      </c>
      <c r="F1585" t="s">
        <v>8060</v>
      </c>
      <c r="G1585" t="s">
        <v>3194</v>
      </c>
      <c r="H1585" t="s">
        <v>8061</v>
      </c>
      <c r="I1585" t="s">
        <v>2314</v>
      </c>
      <c r="J1585" t="str">
        <f>IF(0 = IFERROR(VLOOKUP(DBL_FullList!I1585, ContactsDbl!B:D, 2, FALSE), ""), "", IFERROR(VLOOKUP(DBL_FullList!I1585, ContactsDbl!B:D, 2, FALSE), ""))</f>
        <v>info@ibt.org.ru</v>
      </c>
      <c r="K1585" t="str">
        <f>IF(0 = IFERROR(VLOOKUP(DBL_FullList!I1585,ContactsDbl!B:D, 3, FALSE), ""), "", IFERROR(VLOOKUP(DBL_FullList!I1585, ContactsDbl!B:D, 3, FALSE), ""))</f>
        <v>https://ibtrussia.org</v>
      </c>
      <c r="L1585">
        <f t="shared" si="49"/>
        <v>2</v>
      </c>
    </row>
    <row r="1586" spans="1:12" x14ac:dyDescent="0.25">
      <c r="A1586" t="s">
        <v>8062</v>
      </c>
      <c r="B1586" t="str">
        <f>IF(ISERROR(VLOOKUP(F1586,STEP!A:A, 1, FALSE)), "N", "Y")</f>
        <v>N</v>
      </c>
      <c r="C1586" t="str">
        <f>IF(ISERROR(VLOOKUP(E1586, BibleInEveryLanguageTexts!A:A, 1, FALSE)), "N", "Y")</f>
        <v>N</v>
      </c>
      <c r="D1586" t="str">
        <f t="shared" si="48"/>
        <v>X</v>
      </c>
      <c r="E1586" t="s">
        <v>8063</v>
      </c>
      <c r="F1586" t="s">
        <v>8064</v>
      </c>
      <c r="G1586" t="s">
        <v>3194</v>
      </c>
      <c r="H1586" t="s">
        <v>8065</v>
      </c>
      <c r="I1586" t="s">
        <v>2314</v>
      </c>
      <c r="J1586" t="str">
        <f>IF(0 = IFERROR(VLOOKUP(DBL_FullList!I1586, ContactsDbl!B:D, 2, FALSE), ""), "", IFERROR(VLOOKUP(DBL_FullList!I1586, ContactsDbl!B:D, 2, FALSE), ""))</f>
        <v>info@ibt.org.ru</v>
      </c>
      <c r="K1586" t="str">
        <f>IF(0 = IFERROR(VLOOKUP(DBL_FullList!I1586,ContactsDbl!B:D, 3, FALSE), ""), "", IFERROR(VLOOKUP(DBL_FullList!I1586, ContactsDbl!B:D, 3, FALSE), ""))</f>
        <v>https://ibtrussia.org</v>
      </c>
      <c r="L1586">
        <f t="shared" si="49"/>
        <v>2</v>
      </c>
    </row>
    <row r="1587" spans="1:12" x14ac:dyDescent="0.25">
      <c r="A1587" t="s">
        <v>8066</v>
      </c>
      <c r="B1587" t="str">
        <f>IF(ISERROR(VLOOKUP(F1587,STEP!A:A, 1, FALSE)), "N", "Y")</f>
        <v>N</v>
      </c>
      <c r="C1587" t="str">
        <f>IF(ISERROR(VLOOKUP(E1587, BibleInEveryLanguageTexts!A:A, 1, FALSE)), "N", "Y")</f>
        <v>N</v>
      </c>
      <c r="D1587" t="str">
        <f t="shared" si="48"/>
        <v>X</v>
      </c>
      <c r="E1587" t="s">
        <v>8067</v>
      </c>
      <c r="F1587" t="s">
        <v>8068</v>
      </c>
      <c r="G1587" t="s">
        <v>8069</v>
      </c>
      <c r="H1587" t="s">
        <v>8070</v>
      </c>
      <c r="I1587" t="s">
        <v>2029</v>
      </c>
      <c r="J1587" t="str">
        <f>IF(0 = IFERROR(VLOOKUP(DBL_FullList!I1587, ContactsDbl!B:D, 2, FALSE), ""), "", IFERROR(VLOOKUP(DBL_FullList!I1587, ContactsDbl!B:D, 2, FALSE), ""))</f>
        <v>nigmatovs@protonmail.com</v>
      </c>
      <c r="K1587" t="str">
        <f>IF(0 = IFERROR(VLOOKUP(DBL_FullList!I1587,ContactsDbl!B:D, 3, FALSE), ""), "", IFERROR(VLOOKUP(DBL_FullList!I1587, ContactsDbl!B:D, 3, FALSE), ""))</f>
        <v/>
      </c>
      <c r="L1587">
        <f t="shared" si="49"/>
        <v>2</v>
      </c>
    </row>
    <row r="1588" spans="1:12" x14ac:dyDescent="0.25">
      <c r="A1588" t="s">
        <v>8071</v>
      </c>
      <c r="B1588" t="str">
        <f>IF(ISERROR(VLOOKUP(F1588,STEP!A:A, 1, FALSE)), "N", "Y")</f>
        <v>N</v>
      </c>
      <c r="C1588" t="str">
        <f>IF(ISERROR(VLOOKUP(E1588, BibleInEveryLanguageTexts!A:A, 1, FALSE)), "N", "Y")</f>
        <v>N</v>
      </c>
      <c r="D1588" t="str">
        <f t="shared" si="48"/>
        <v>X</v>
      </c>
      <c r="E1588" t="s">
        <v>8050</v>
      </c>
      <c r="F1588" t="s">
        <v>8051</v>
      </c>
      <c r="G1588" t="s">
        <v>8052</v>
      </c>
      <c r="H1588" t="s">
        <v>8072</v>
      </c>
      <c r="I1588" t="s">
        <v>2314</v>
      </c>
      <c r="J1588" t="str">
        <f>IF(0 = IFERROR(VLOOKUP(DBL_FullList!I1588, ContactsDbl!B:D, 2, FALSE), ""), "", IFERROR(VLOOKUP(DBL_FullList!I1588, ContactsDbl!B:D, 2, FALSE), ""))</f>
        <v>info@ibt.org.ru</v>
      </c>
      <c r="K1588" t="str">
        <f>IF(0 = IFERROR(VLOOKUP(DBL_FullList!I1588,ContactsDbl!B:D, 3, FALSE), ""), "", IFERROR(VLOOKUP(DBL_FullList!I1588, ContactsDbl!B:D, 3, FALSE), ""))</f>
        <v>https://ibtrussia.org</v>
      </c>
      <c r="L1588">
        <f t="shared" si="49"/>
        <v>2</v>
      </c>
    </row>
    <row r="1589" spans="1:12" x14ac:dyDescent="0.25">
      <c r="A1589" t="s">
        <v>8073</v>
      </c>
      <c r="B1589" t="str">
        <f>IF(ISERROR(VLOOKUP(F1589,STEP!A:A, 1, FALSE)), "N", "Y")</f>
        <v>N</v>
      </c>
      <c r="C1589" t="str">
        <f>IF(ISERROR(VLOOKUP(E1589, BibleInEveryLanguageTexts!A:A, 1, FALSE)), "N", "Y")</f>
        <v>N</v>
      </c>
      <c r="D1589" t="str">
        <f t="shared" si="48"/>
        <v>X</v>
      </c>
      <c r="E1589" t="s">
        <v>4352</v>
      </c>
      <c r="F1589" t="s">
        <v>4353</v>
      </c>
      <c r="G1589" t="s">
        <v>3634</v>
      </c>
      <c r="H1589" t="s">
        <v>8074</v>
      </c>
      <c r="I1589" t="s">
        <v>2296</v>
      </c>
      <c r="J1589" t="str">
        <f>IF(0 = IFERROR(VLOOKUP(DBL_FullList!I1589, ContactsDbl!B:D, 2, FALSE), ""), "", IFERROR(VLOOKUP(DBL_FullList!I1589, ContactsDbl!B:D, 2, FALSE), ""))</f>
        <v>gjergj@biblesocieties.org</v>
      </c>
      <c r="K1589" t="str">
        <f>IF(0 = IFERROR(VLOOKUP(DBL_FullList!I1589,ContactsDbl!B:D, 3, FALSE), ""), "", IFERROR(VLOOKUP(DBL_FullList!I1589, ContactsDbl!B:D, 3, FALSE), ""))</f>
        <v>http://albanianbiblesociety.com</v>
      </c>
      <c r="L1589">
        <f t="shared" si="49"/>
        <v>2</v>
      </c>
    </row>
    <row r="1590" spans="1:12" x14ac:dyDescent="0.25">
      <c r="A1590" t="s">
        <v>8075</v>
      </c>
      <c r="B1590" t="str">
        <f>IF(ISERROR(VLOOKUP(F1590,STEP!A:A, 1, FALSE)), "N", "Y")</f>
        <v>N</v>
      </c>
      <c r="C1590" t="str">
        <f>IF(ISERROR(VLOOKUP(E1590, BibleInEveryLanguageTexts!A:A, 1, FALSE)), "N", "Y")</f>
        <v>N</v>
      </c>
      <c r="D1590" t="str">
        <f t="shared" si="48"/>
        <v>X</v>
      </c>
      <c r="E1590" t="s">
        <v>6115</v>
      </c>
      <c r="F1590" t="s">
        <v>6116</v>
      </c>
      <c r="G1590" t="s">
        <v>2923</v>
      </c>
      <c r="H1590" t="s">
        <v>8076</v>
      </c>
      <c r="I1590" t="s">
        <v>2091</v>
      </c>
      <c r="J1590" t="str">
        <f>IF(0 = IFERROR(VLOOKUP(DBL_FullList!I1590, ContactsDbl!B:D, 2, FALSE), ""), "", IFERROR(VLOOKUP(DBL_FullList!I1590, ContactsDbl!B:D, 2, FALSE), ""))</f>
        <v>geldenhuys@biblesociety.co.za</v>
      </c>
      <c r="K1590" t="str">
        <f>IF(0 = IFERROR(VLOOKUP(DBL_FullList!I1590,ContactsDbl!B:D, 3, FALSE), ""), "", IFERROR(VLOOKUP(DBL_FullList!I1590, ContactsDbl!B:D, 3, FALSE), ""))</f>
        <v>http://www.biblesociety.co.za/</v>
      </c>
      <c r="L1590">
        <f t="shared" si="49"/>
        <v>2</v>
      </c>
    </row>
    <row r="1591" spans="1:12" x14ac:dyDescent="0.25">
      <c r="A1591" t="s">
        <v>8077</v>
      </c>
      <c r="B1591" t="str">
        <f>IF(ISERROR(VLOOKUP(F1591,STEP!A:A, 1, FALSE)), "N", "Y")</f>
        <v>N</v>
      </c>
      <c r="C1591" t="str">
        <f>IF(ISERROR(VLOOKUP(E1591, BibleInEveryLanguageTexts!A:A, 1, FALSE)), "N", "Y")</f>
        <v>N</v>
      </c>
      <c r="D1591" t="str">
        <f t="shared" si="48"/>
        <v>X</v>
      </c>
      <c r="E1591" t="s">
        <v>6115</v>
      </c>
      <c r="F1591" t="s">
        <v>6116</v>
      </c>
      <c r="G1591" t="s">
        <v>2923</v>
      </c>
      <c r="H1591" t="s">
        <v>8078</v>
      </c>
      <c r="I1591" t="s">
        <v>2091</v>
      </c>
      <c r="J1591" t="str">
        <f>IF(0 = IFERROR(VLOOKUP(DBL_FullList!I1591, ContactsDbl!B:D, 2, FALSE), ""), "", IFERROR(VLOOKUP(DBL_FullList!I1591, ContactsDbl!B:D, 2, FALSE), ""))</f>
        <v>geldenhuys@biblesociety.co.za</v>
      </c>
      <c r="K1591" t="str">
        <f>IF(0 = IFERROR(VLOOKUP(DBL_FullList!I1591,ContactsDbl!B:D, 3, FALSE), ""), "", IFERROR(VLOOKUP(DBL_FullList!I1591, ContactsDbl!B:D, 3, FALSE), ""))</f>
        <v>http://www.biblesociety.co.za/</v>
      </c>
      <c r="L1591">
        <f t="shared" si="49"/>
        <v>2</v>
      </c>
    </row>
    <row r="1592" spans="1:12" x14ac:dyDescent="0.25">
      <c r="A1592" t="s">
        <v>8079</v>
      </c>
      <c r="B1592" t="str">
        <f>IF(ISERROR(VLOOKUP(F1592,STEP!A:A, 1, FALSE)), "N", "Y")</f>
        <v>N</v>
      </c>
      <c r="C1592" t="str">
        <f>IF(ISERROR(VLOOKUP(E1592, BibleInEveryLanguageTexts!A:A, 1, FALSE)), "N", "Y")</f>
        <v>N</v>
      </c>
      <c r="D1592" t="str">
        <f t="shared" si="48"/>
        <v>X</v>
      </c>
      <c r="E1592" t="s">
        <v>8080</v>
      </c>
      <c r="F1592" t="s">
        <v>8081</v>
      </c>
      <c r="G1592" t="s">
        <v>2997</v>
      </c>
      <c r="H1592" t="s">
        <v>8080</v>
      </c>
      <c r="I1592" t="s">
        <v>2661</v>
      </c>
      <c r="J1592" t="str">
        <f>IF(0 = IFERROR(VLOOKUP(DBL_FullList!I1592, ContactsDbl!B:D, 2, FALSE), ""), "", IFERROR(VLOOKUP(DBL_FullList!I1592, ContactsDbl!B:D, 2, FALSE), ""))</f>
        <v>dbladmin_intl@sil.org</v>
      </c>
      <c r="K1592" t="str">
        <f>IF(0 = IFERROR(VLOOKUP(DBL_FullList!I1592,ContactsDbl!B:D, 3, FALSE), ""), "", IFERROR(VLOOKUP(DBL_FullList!I1592, ContactsDbl!B:D, 3, FALSE), ""))</f>
        <v>http://www.wycliffe.org</v>
      </c>
      <c r="L1592">
        <f t="shared" si="49"/>
        <v>2</v>
      </c>
    </row>
    <row r="1593" spans="1:12" x14ac:dyDescent="0.25">
      <c r="A1593" t="s">
        <v>8082</v>
      </c>
      <c r="B1593" t="str">
        <f>IF(ISERROR(VLOOKUP(F1593,STEP!A:A, 1, FALSE)), "N", "Y")</f>
        <v>N</v>
      </c>
      <c r="C1593" t="str">
        <f>IF(ISERROR(VLOOKUP(E1593, BibleInEveryLanguageTexts!A:A, 1, FALSE)), "N", "Y")</f>
        <v>N</v>
      </c>
      <c r="D1593" t="str">
        <f t="shared" si="48"/>
        <v>X</v>
      </c>
      <c r="E1593" t="s">
        <v>8083</v>
      </c>
      <c r="F1593" t="s">
        <v>8084</v>
      </c>
      <c r="G1593" t="s">
        <v>2756</v>
      </c>
      <c r="H1593" t="s">
        <v>8085</v>
      </c>
      <c r="I1593" t="s">
        <v>2661</v>
      </c>
      <c r="J1593" t="str">
        <f>IF(0 = IFERROR(VLOOKUP(DBL_FullList!I1593, ContactsDbl!B:D, 2, FALSE), ""), "", IFERROR(VLOOKUP(DBL_FullList!I1593, ContactsDbl!B:D, 2, FALSE), ""))</f>
        <v>dbladmin_intl@sil.org</v>
      </c>
      <c r="K1593" t="str">
        <f>IF(0 = IFERROR(VLOOKUP(DBL_FullList!I1593,ContactsDbl!B:D, 3, FALSE), ""), "", IFERROR(VLOOKUP(DBL_FullList!I1593, ContactsDbl!B:D, 3, FALSE), ""))</f>
        <v>http://www.wycliffe.org</v>
      </c>
      <c r="L1593">
        <f t="shared" si="49"/>
        <v>2</v>
      </c>
    </row>
    <row r="1594" spans="1:12" x14ac:dyDescent="0.25">
      <c r="A1594" t="s">
        <v>8086</v>
      </c>
      <c r="B1594" t="str">
        <f>IF(ISERROR(VLOOKUP(F1594,STEP!A:A, 1, FALSE)), "N", "Y")</f>
        <v>N</v>
      </c>
      <c r="C1594" t="str">
        <f>IF(ISERROR(VLOOKUP(E1594, BibleInEveryLanguageTexts!A:A, 1, FALSE)), "N", "Y")</f>
        <v>N</v>
      </c>
      <c r="D1594" t="str">
        <f t="shared" si="48"/>
        <v>X</v>
      </c>
      <c r="E1594" t="s">
        <v>8087</v>
      </c>
      <c r="F1594" t="s">
        <v>8088</v>
      </c>
      <c r="G1594" t="s">
        <v>48</v>
      </c>
      <c r="H1594" t="s">
        <v>8089</v>
      </c>
      <c r="I1594" t="s">
        <v>2661</v>
      </c>
      <c r="J1594" t="str">
        <f>IF(0 = IFERROR(VLOOKUP(DBL_FullList!I1594, ContactsDbl!B:D, 2, FALSE), ""), "", IFERROR(VLOOKUP(DBL_FullList!I1594, ContactsDbl!B:D, 2, FALSE), ""))</f>
        <v>dbladmin_intl@sil.org</v>
      </c>
      <c r="K1594" t="str">
        <f>IF(0 = IFERROR(VLOOKUP(DBL_FullList!I1594,ContactsDbl!B:D, 3, FALSE), ""), "", IFERROR(VLOOKUP(DBL_FullList!I1594, ContactsDbl!B:D, 3, FALSE), ""))</f>
        <v>http://www.wycliffe.org</v>
      </c>
      <c r="L1594">
        <f t="shared" si="49"/>
        <v>2</v>
      </c>
    </row>
    <row r="1595" spans="1:12" x14ac:dyDescent="0.25">
      <c r="A1595" t="s">
        <v>8090</v>
      </c>
      <c r="B1595" t="str">
        <f>IF(ISERROR(VLOOKUP(F1595,STEP!A:A, 1, FALSE)), "N", "Y")</f>
        <v>N</v>
      </c>
      <c r="C1595" t="str">
        <f>IF(ISERROR(VLOOKUP(E1595, BibleInEveryLanguageTexts!A:A, 1, FALSE)), "N", "Y")</f>
        <v>N</v>
      </c>
      <c r="D1595" t="str">
        <f t="shared" si="48"/>
        <v>X</v>
      </c>
      <c r="E1595" t="s">
        <v>8091</v>
      </c>
      <c r="F1595" t="s">
        <v>8092</v>
      </c>
      <c r="G1595" t="s">
        <v>4050</v>
      </c>
      <c r="H1595" t="s">
        <v>8093</v>
      </c>
      <c r="I1595" t="s">
        <v>2661</v>
      </c>
      <c r="J1595" t="str">
        <f>IF(0 = IFERROR(VLOOKUP(DBL_FullList!I1595, ContactsDbl!B:D, 2, FALSE), ""), "", IFERROR(VLOOKUP(DBL_FullList!I1595, ContactsDbl!B:D, 2, FALSE), ""))</f>
        <v>dbladmin_intl@sil.org</v>
      </c>
      <c r="K1595" t="str">
        <f>IF(0 = IFERROR(VLOOKUP(DBL_FullList!I1595,ContactsDbl!B:D, 3, FALSE), ""), "", IFERROR(VLOOKUP(DBL_FullList!I1595, ContactsDbl!B:D, 3, FALSE), ""))</f>
        <v>http://www.wycliffe.org</v>
      </c>
      <c r="L1595">
        <f t="shared" si="49"/>
        <v>2</v>
      </c>
    </row>
    <row r="1596" spans="1:12" x14ac:dyDescent="0.25">
      <c r="A1596" t="s">
        <v>8094</v>
      </c>
      <c r="B1596" t="str">
        <f>IF(ISERROR(VLOOKUP(F1596,STEP!A:A, 1, FALSE)), "N", "Y")</f>
        <v>N</v>
      </c>
      <c r="C1596" t="str">
        <f>IF(ISERROR(VLOOKUP(E1596, BibleInEveryLanguageTexts!A:A, 1, FALSE)), "N", "Y")</f>
        <v>N</v>
      </c>
      <c r="D1596" t="str">
        <f t="shared" si="48"/>
        <v>X</v>
      </c>
      <c r="E1596" t="s">
        <v>8095</v>
      </c>
      <c r="F1596" t="s">
        <v>8096</v>
      </c>
      <c r="G1596" t="s">
        <v>2858</v>
      </c>
      <c r="H1596" t="s">
        <v>8097</v>
      </c>
      <c r="I1596" t="s">
        <v>2661</v>
      </c>
      <c r="J1596" t="str">
        <f>IF(0 = IFERROR(VLOOKUP(DBL_FullList!I1596, ContactsDbl!B:D, 2, FALSE), ""), "", IFERROR(VLOOKUP(DBL_FullList!I1596, ContactsDbl!B:D, 2, FALSE), ""))</f>
        <v>dbladmin_intl@sil.org</v>
      </c>
      <c r="K1596" t="str">
        <f>IF(0 = IFERROR(VLOOKUP(DBL_FullList!I1596,ContactsDbl!B:D, 3, FALSE), ""), "", IFERROR(VLOOKUP(DBL_FullList!I1596, ContactsDbl!B:D, 3, FALSE), ""))</f>
        <v>http://www.wycliffe.org</v>
      </c>
      <c r="L1596">
        <f t="shared" si="49"/>
        <v>2</v>
      </c>
    </row>
    <row r="1597" spans="1:12" x14ac:dyDescent="0.25">
      <c r="A1597" t="s">
        <v>8098</v>
      </c>
      <c r="B1597" t="str">
        <f>IF(ISERROR(VLOOKUP(F1597,STEP!A:A, 1, FALSE)), "N", "Y")</f>
        <v>N</v>
      </c>
      <c r="C1597" t="str">
        <f>IF(ISERROR(VLOOKUP(E1597, BibleInEveryLanguageTexts!A:A, 1, FALSE)), "N", "Y")</f>
        <v>N</v>
      </c>
      <c r="D1597" t="str">
        <f t="shared" si="48"/>
        <v>X</v>
      </c>
      <c r="E1597" t="s">
        <v>8099</v>
      </c>
      <c r="F1597" t="s">
        <v>8100</v>
      </c>
      <c r="G1597" t="s">
        <v>4050</v>
      </c>
      <c r="H1597" t="s">
        <v>8101</v>
      </c>
      <c r="I1597" t="s">
        <v>2661</v>
      </c>
      <c r="J1597" t="str">
        <f>IF(0 = IFERROR(VLOOKUP(DBL_FullList!I1597, ContactsDbl!B:D, 2, FALSE), ""), "", IFERROR(VLOOKUP(DBL_FullList!I1597, ContactsDbl!B:D, 2, FALSE), ""))</f>
        <v>dbladmin_intl@sil.org</v>
      </c>
      <c r="K1597" t="str">
        <f>IF(0 = IFERROR(VLOOKUP(DBL_FullList!I1597,ContactsDbl!B:D, 3, FALSE), ""), "", IFERROR(VLOOKUP(DBL_FullList!I1597, ContactsDbl!B:D, 3, FALSE), ""))</f>
        <v>http://www.wycliffe.org</v>
      </c>
      <c r="L1597">
        <f t="shared" si="49"/>
        <v>2</v>
      </c>
    </row>
    <row r="1598" spans="1:12" x14ac:dyDescent="0.25">
      <c r="A1598" t="s">
        <v>8102</v>
      </c>
      <c r="B1598" t="str">
        <f>IF(ISERROR(VLOOKUP(F1598,STEP!A:A, 1, FALSE)), "N", "Y")</f>
        <v>N</v>
      </c>
      <c r="C1598" t="str">
        <f>IF(ISERROR(VLOOKUP(E1598, BibleInEveryLanguageTexts!A:A, 1, FALSE)), "N", "Y")</f>
        <v>N</v>
      </c>
      <c r="D1598" t="str">
        <f t="shared" si="48"/>
        <v>X</v>
      </c>
      <c r="E1598" t="s">
        <v>8103</v>
      </c>
      <c r="F1598" t="s">
        <v>8104</v>
      </c>
      <c r="G1598" t="s">
        <v>110</v>
      </c>
      <c r="H1598" t="s">
        <v>8105</v>
      </c>
      <c r="I1598" t="s">
        <v>2370</v>
      </c>
      <c r="J1598" t="str">
        <f>IF(0 = IFERROR(VLOOKUP(DBL_FullList!I1598, ContactsDbl!B:D, 2, FALSE), ""), "", IFERROR(VLOOKUP(DBL_FullList!I1598, ContactsDbl!B:D, 2, FALSE), ""))</f>
        <v>anwartjen@alkitab.or.id</v>
      </c>
      <c r="K1598" t="str">
        <f>IF(0 = IFERROR(VLOOKUP(DBL_FullList!I1598,ContactsDbl!B:D, 3, FALSE), ""), "", IFERROR(VLOOKUP(DBL_FullList!I1598, ContactsDbl!B:D, 3, FALSE), ""))</f>
        <v>http://www.alkitab.or.id/</v>
      </c>
      <c r="L1598">
        <f t="shared" si="49"/>
        <v>2</v>
      </c>
    </row>
    <row r="1599" spans="1:12" x14ac:dyDescent="0.25">
      <c r="A1599" t="s">
        <v>8106</v>
      </c>
      <c r="B1599" t="str">
        <f>IF(ISERROR(VLOOKUP(F1599,STEP!A:A, 1, FALSE)), "N", "Y")</f>
        <v>N</v>
      </c>
      <c r="C1599" t="str">
        <f>IF(ISERROR(VLOOKUP(E1599, BibleInEveryLanguageTexts!A:A, 1, FALSE)), "N", "Y")</f>
        <v>N</v>
      </c>
      <c r="D1599" t="str">
        <f t="shared" si="48"/>
        <v>X</v>
      </c>
      <c r="E1599" t="s">
        <v>8107</v>
      </c>
      <c r="F1599" t="s">
        <v>8108</v>
      </c>
      <c r="G1599" t="s">
        <v>4050</v>
      </c>
      <c r="H1599" t="s">
        <v>8109</v>
      </c>
      <c r="I1599" t="s">
        <v>2661</v>
      </c>
      <c r="J1599" t="str">
        <f>IF(0 = IFERROR(VLOOKUP(DBL_FullList!I1599, ContactsDbl!B:D, 2, FALSE), ""), "", IFERROR(VLOOKUP(DBL_FullList!I1599, ContactsDbl!B:D, 2, FALSE), ""))</f>
        <v>dbladmin_intl@sil.org</v>
      </c>
      <c r="K1599" t="str">
        <f>IF(0 = IFERROR(VLOOKUP(DBL_FullList!I1599,ContactsDbl!B:D, 3, FALSE), ""), "", IFERROR(VLOOKUP(DBL_FullList!I1599, ContactsDbl!B:D, 3, FALSE), ""))</f>
        <v>http://www.wycliffe.org</v>
      </c>
      <c r="L1599">
        <f t="shared" si="49"/>
        <v>2</v>
      </c>
    </row>
    <row r="1600" spans="1:12" x14ac:dyDescent="0.25">
      <c r="A1600" t="s">
        <v>8110</v>
      </c>
      <c r="B1600" t="str">
        <f>IF(ISERROR(VLOOKUP(F1600,STEP!A:A, 1, FALSE)), "N", "Y")</f>
        <v>N</v>
      </c>
      <c r="C1600" t="str">
        <f>IF(ISERROR(VLOOKUP(E1600, BibleInEveryLanguageTexts!A:A, 1, FALSE)), "N", "Y")</f>
        <v>N</v>
      </c>
      <c r="D1600" t="str">
        <f t="shared" si="48"/>
        <v>X</v>
      </c>
      <c r="E1600" t="s">
        <v>8111</v>
      </c>
      <c r="F1600" t="s">
        <v>8112</v>
      </c>
      <c r="G1600" t="s">
        <v>3609</v>
      </c>
      <c r="H1600" t="s">
        <v>8113</v>
      </c>
      <c r="I1600" t="s">
        <v>2373</v>
      </c>
      <c r="J1600" t="str">
        <f>IF(0 = IFERROR(VLOOKUP(DBL_FullList!I1600, ContactsDbl!B:D, 2, FALSE), ""), "", IFERROR(VLOOKUP(DBL_FullList!I1600, ContactsDbl!B:D, 2, FALSE), ""))</f>
        <v/>
      </c>
      <c r="K1600" t="str">
        <f>IF(0 = IFERROR(VLOOKUP(DBL_FullList!I1600,ContactsDbl!B:D, 3, FALSE), ""), "", IFERROR(VLOOKUP(DBL_FullList!I1600, ContactsDbl!B:D, 3, FALSE), ""))</f>
        <v>http://www.bibelesbiedriba.lv/</v>
      </c>
      <c r="L1600">
        <f t="shared" si="49"/>
        <v>1</v>
      </c>
    </row>
    <row r="1601" spans="1:12" x14ac:dyDescent="0.25">
      <c r="A1601" t="s">
        <v>8114</v>
      </c>
      <c r="B1601" t="str">
        <f>IF(ISERROR(VLOOKUP(F1601,STEP!A:A, 1, FALSE)), "N", "Y")</f>
        <v>N</v>
      </c>
      <c r="C1601" t="str">
        <f>IF(ISERROR(VLOOKUP(E1601, BibleInEveryLanguageTexts!A:A, 1, FALSE)), "N", "Y")</f>
        <v>N</v>
      </c>
      <c r="D1601" t="str">
        <f t="shared" si="48"/>
        <v>X</v>
      </c>
      <c r="E1601" t="s">
        <v>8115</v>
      </c>
      <c r="F1601" t="s">
        <v>8116</v>
      </c>
      <c r="G1601" t="s">
        <v>3984</v>
      </c>
      <c r="H1601" t="s">
        <v>8117</v>
      </c>
      <c r="I1601" t="s">
        <v>2191</v>
      </c>
      <c r="J1601" t="str">
        <f>IF(0 = IFERROR(VLOOKUP(DBL_FullList!I1601, ContactsDbl!B:D, 2, FALSE), ""), "", IFERROR(VLOOKUP(DBL_FullList!I1601, ContactsDbl!B:D, 2, FALSE), ""))</f>
        <v>comunicaciones@sbuecuador.com</v>
      </c>
      <c r="K1601" t="str">
        <f>IF(0 = IFERROR(VLOOKUP(DBL_FullList!I1601,ContactsDbl!B:D, 3, FALSE), ""), "", IFERROR(VLOOKUP(DBL_FullList!I1601, ContactsDbl!B:D, 3, FALSE), ""))</f>
        <v>www.sbuecuador.com</v>
      </c>
      <c r="L1601">
        <f t="shared" si="49"/>
        <v>2</v>
      </c>
    </row>
    <row r="1602" spans="1:12" x14ac:dyDescent="0.25">
      <c r="A1602" t="s">
        <v>8118</v>
      </c>
      <c r="B1602" t="str">
        <f>IF(ISERROR(VLOOKUP(F1602,STEP!A:A, 1, FALSE)), "N", "Y")</f>
        <v>N</v>
      </c>
      <c r="C1602" t="str">
        <f>IF(ISERROR(VLOOKUP(E1602, BibleInEveryLanguageTexts!A:A, 1, FALSE)), "N", "Y")</f>
        <v>N</v>
      </c>
      <c r="D1602" t="str">
        <f t="shared" si="48"/>
        <v>X</v>
      </c>
      <c r="E1602" t="s">
        <v>8119</v>
      </c>
      <c r="F1602" t="s">
        <v>8120</v>
      </c>
      <c r="G1602" t="s">
        <v>2858</v>
      </c>
      <c r="H1602" t="s">
        <v>8121</v>
      </c>
      <c r="I1602" t="s">
        <v>2661</v>
      </c>
      <c r="J1602" t="str">
        <f>IF(0 = IFERROR(VLOOKUP(DBL_FullList!I1602, ContactsDbl!B:D, 2, FALSE), ""), "", IFERROR(VLOOKUP(DBL_FullList!I1602, ContactsDbl!B:D, 2, FALSE), ""))</f>
        <v>dbladmin_intl@sil.org</v>
      </c>
      <c r="K1602" t="str">
        <f>IF(0 = IFERROR(VLOOKUP(DBL_FullList!I1602,ContactsDbl!B:D, 3, FALSE), ""), "", IFERROR(VLOOKUP(DBL_FullList!I1602, ContactsDbl!B:D, 3, FALSE), ""))</f>
        <v>http://www.wycliffe.org</v>
      </c>
      <c r="L1602">
        <f t="shared" si="49"/>
        <v>2</v>
      </c>
    </row>
    <row r="1603" spans="1:12" x14ac:dyDescent="0.25">
      <c r="A1603" t="s">
        <v>8122</v>
      </c>
      <c r="B1603" t="str">
        <f>IF(ISERROR(VLOOKUP(F1603,STEP!A:A, 1, FALSE)), "N", "Y")</f>
        <v>N</v>
      </c>
      <c r="C1603" t="str">
        <f>IF(ISERROR(VLOOKUP(E1603, BibleInEveryLanguageTexts!A:A, 1, FALSE)), "N", "Y")</f>
        <v>N</v>
      </c>
      <c r="D1603" t="str">
        <f t="shared" ref="D1603:D1666" si="50">IF(AND("N" = B1603, "N" = C1603), "X", "")</f>
        <v>X</v>
      </c>
      <c r="E1603" t="s">
        <v>6983</v>
      </c>
      <c r="F1603" t="s">
        <v>87</v>
      </c>
      <c r="G1603" t="s">
        <v>6984</v>
      </c>
      <c r="H1603" t="s">
        <v>8123</v>
      </c>
      <c r="I1603" t="s">
        <v>2102</v>
      </c>
      <c r="J1603" t="str">
        <f>IF(0 = IFERROR(VLOOKUP(DBL_FullList!I1603, ContactsDbl!B:D, 2, FALSE), ""), "", IFERROR(VLOOKUP(DBL_FullList!I1603, ContactsDbl!B:D, 2, FALSE), ""))</f>
        <v>mkatonivere@bible.org.fj</v>
      </c>
      <c r="K1603" t="str">
        <f>IF(0 = IFERROR(VLOOKUP(DBL_FullList!I1603,ContactsDbl!B:D, 3, FALSE), ""), "", IFERROR(VLOOKUP(DBL_FullList!I1603, ContactsDbl!B:D, 3, FALSE), ""))</f>
        <v>http://www.bible.org.fj/</v>
      </c>
      <c r="L1603">
        <f t="shared" ref="L1603:L1666" si="51">IF("" &lt;&gt; J1603, 2, IF("" &lt;&gt; K1603, 1, 0))</f>
        <v>2</v>
      </c>
    </row>
    <row r="1604" spans="1:12" x14ac:dyDescent="0.25">
      <c r="A1604" t="s">
        <v>8124</v>
      </c>
      <c r="B1604" t="str">
        <f>IF(ISERROR(VLOOKUP(F1604,STEP!A:A, 1, FALSE)), "N", "Y")</f>
        <v>N</v>
      </c>
      <c r="C1604" t="str">
        <f>IF(ISERROR(VLOOKUP(E1604, BibleInEveryLanguageTexts!A:A, 1, FALSE)), "N", "Y")</f>
        <v>N</v>
      </c>
      <c r="D1604" t="str">
        <f t="shared" si="50"/>
        <v>X</v>
      </c>
      <c r="E1604" t="s">
        <v>8125</v>
      </c>
      <c r="F1604" t="s">
        <v>8126</v>
      </c>
      <c r="G1604" t="s">
        <v>2858</v>
      </c>
      <c r="H1604" t="s">
        <v>8127</v>
      </c>
      <c r="I1604" t="s">
        <v>2661</v>
      </c>
      <c r="J1604" t="str">
        <f>IF(0 = IFERROR(VLOOKUP(DBL_FullList!I1604, ContactsDbl!B:D, 2, FALSE), ""), "", IFERROR(VLOOKUP(DBL_FullList!I1604, ContactsDbl!B:D, 2, FALSE), ""))</f>
        <v>dbladmin_intl@sil.org</v>
      </c>
      <c r="K1604" t="str">
        <f>IF(0 = IFERROR(VLOOKUP(DBL_FullList!I1604,ContactsDbl!B:D, 3, FALSE), ""), "", IFERROR(VLOOKUP(DBL_FullList!I1604, ContactsDbl!B:D, 3, FALSE), ""))</f>
        <v>http://www.wycliffe.org</v>
      </c>
      <c r="L1604">
        <f t="shared" si="51"/>
        <v>2</v>
      </c>
    </row>
    <row r="1605" spans="1:12" x14ac:dyDescent="0.25">
      <c r="A1605" t="s">
        <v>8128</v>
      </c>
      <c r="B1605" t="str">
        <f>IF(ISERROR(VLOOKUP(F1605,STEP!A:A, 1, FALSE)), "N", "Y")</f>
        <v>N</v>
      </c>
      <c r="C1605" t="str">
        <f>IF(ISERROR(VLOOKUP(E1605, BibleInEveryLanguageTexts!A:A, 1, FALSE)), "N", "Y")</f>
        <v>N</v>
      </c>
      <c r="D1605" t="str">
        <f t="shared" si="50"/>
        <v>X</v>
      </c>
      <c r="E1605" t="s">
        <v>8129</v>
      </c>
      <c r="F1605" t="s">
        <v>8130</v>
      </c>
      <c r="G1605" t="s">
        <v>4050</v>
      </c>
      <c r="H1605" t="s">
        <v>8131</v>
      </c>
      <c r="I1605" t="s">
        <v>2661</v>
      </c>
      <c r="J1605" t="str">
        <f>IF(0 = IFERROR(VLOOKUP(DBL_FullList!I1605, ContactsDbl!B:D, 2, FALSE), ""), "", IFERROR(VLOOKUP(DBL_FullList!I1605, ContactsDbl!B:D, 2, FALSE), ""))</f>
        <v>dbladmin_intl@sil.org</v>
      </c>
      <c r="K1605" t="str">
        <f>IF(0 = IFERROR(VLOOKUP(DBL_FullList!I1605,ContactsDbl!B:D, 3, FALSE), ""), "", IFERROR(VLOOKUP(DBL_FullList!I1605, ContactsDbl!B:D, 3, FALSE), ""))</f>
        <v>http://www.wycliffe.org</v>
      </c>
      <c r="L1605">
        <f t="shared" si="51"/>
        <v>2</v>
      </c>
    </row>
    <row r="1606" spans="1:12" x14ac:dyDescent="0.25">
      <c r="A1606" t="s">
        <v>8132</v>
      </c>
      <c r="B1606" t="str">
        <f>IF(ISERROR(VLOOKUP(F1606,STEP!A:A, 1, FALSE)), "N", "Y")</f>
        <v>N</v>
      </c>
      <c r="C1606" t="str">
        <f>IF(ISERROR(VLOOKUP(E1606, BibleInEveryLanguageTexts!A:A, 1, FALSE)), "N", "Y")</f>
        <v>N</v>
      </c>
      <c r="D1606" t="str">
        <f t="shared" si="50"/>
        <v>X</v>
      </c>
      <c r="E1606" t="s">
        <v>8133</v>
      </c>
      <c r="F1606" t="s">
        <v>8134</v>
      </c>
      <c r="G1606" t="s">
        <v>4050</v>
      </c>
      <c r="H1606" t="s">
        <v>8135</v>
      </c>
      <c r="I1606" t="s">
        <v>2661</v>
      </c>
      <c r="J1606" t="str">
        <f>IF(0 = IFERROR(VLOOKUP(DBL_FullList!I1606, ContactsDbl!B:D, 2, FALSE), ""), "", IFERROR(VLOOKUP(DBL_FullList!I1606, ContactsDbl!B:D, 2, FALSE), ""))</f>
        <v>dbladmin_intl@sil.org</v>
      </c>
      <c r="K1606" t="str">
        <f>IF(0 = IFERROR(VLOOKUP(DBL_FullList!I1606,ContactsDbl!B:D, 3, FALSE), ""), "", IFERROR(VLOOKUP(DBL_FullList!I1606, ContactsDbl!B:D, 3, FALSE), ""))</f>
        <v>http://www.wycliffe.org</v>
      </c>
      <c r="L1606">
        <f t="shared" si="51"/>
        <v>2</v>
      </c>
    </row>
    <row r="1607" spans="1:12" x14ac:dyDescent="0.25">
      <c r="A1607" t="s">
        <v>8136</v>
      </c>
      <c r="B1607" t="str">
        <f>IF(ISERROR(VLOOKUP(F1607,STEP!A:A, 1, FALSE)), "N", "Y")</f>
        <v>N</v>
      </c>
      <c r="C1607" t="str">
        <f>IF(ISERROR(VLOOKUP(E1607, BibleInEveryLanguageTexts!A:A, 1, FALSE)), "N", "Y")</f>
        <v>N</v>
      </c>
      <c r="D1607" t="str">
        <f t="shared" si="50"/>
        <v>X</v>
      </c>
      <c r="E1607" t="s">
        <v>8137</v>
      </c>
      <c r="F1607" t="s">
        <v>8138</v>
      </c>
      <c r="G1607" t="s">
        <v>4050</v>
      </c>
      <c r="H1607" t="s">
        <v>8139</v>
      </c>
      <c r="I1607" t="s">
        <v>2661</v>
      </c>
      <c r="J1607" t="str">
        <f>IF(0 = IFERROR(VLOOKUP(DBL_FullList!I1607, ContactsDbl!B:D, 2, FALSE), ""), "", IFERROR(VLOOKUP(DBL_FullList!I1607, ContactsDbl!B:D, 2, FALSE), ""))</f>
        <v>dbladmin_intl@sil.org</v>
      </c>
      <c r="K1607" t="str">
        <f>IF(0 = IFERROR(VLOOKUP(DBL_FullList!I1607,ContactsDbl!B:D, 3, FALSE), ""), "", IFERROR(VLOOKUP(DBL_FullList!I1607, ContactsDbl!B:D, 3, FALSE), ""))</f>
        <v>http://www.wycliffe.org</v>
      </c>
      <c r="L1607">
        <f t="shared" si="51"/>
        <v>2</v>
      </c>
    </row>
    <row r="1608" spans="1:12" x14ac:dyDescent="0.25">
      <c r="A1608" t="s">
        <v>8140</v>
      </c>
      <c r="B1608" t="str">
        <f>IF(ISERROR(VLOOKUP(F1608,STEP!A:A, 1, FALSE)), "N", "Y")</f>
        <v>N</v>
      </c>
      <c r="C1608" t="str">
        <f>IF(ISERROR(VLOOKUP(E1608, BibleInEveryLanguageTexts!A:A, 1, FALSE)), "N", "Y")</f>
        <v>N</v>
      </c>
      <c r="D1608" t="str">
        <f t="shared" si="50"/>
        <v>X</v>
      </c>
      <c r="E1608" t="s">
        <v>199</v>
      </c>
      <c r="F1608" t="s">
        <v>197</v>
      </c>
      <c r="G1608" t="s">
        <v>2880</v>
      </c>
      <c r="H1608" t="s">
        <v>8141</v>
      </c>
      <c r="I1608" t="s">
        <v>183</v>
      </c>
      <c r="J1608" t="str">
        <f>IF(0 = IFERROR(VLOOKUP(DBL_FullList!I1608, ContactsDbl!B:D, 2, FALSE), ""), "", IFERROR(VLOOKUP(DBL_FullList!I1608, ContactsDbl!B:D, 2, FALSE), ""))</f>
        <v>dbl@biblesocieties.org</v>
      </c>
      <c r="K1608" t="str">
        <f>IF(0 = IFERROR(VLOOKUP(DBL_FullList!I1608,ContactsDbl!B:D, 3, FALSE), ""), "", IFERROR(VLOOKUP(DBL_FullList!I1608, ContactsDbl!B:D, 3, FALSE), ""))</f>
        <v>http://www.unitedbiblesocieties.org/</v>
      </c>
      <c r="L1608">
        <f t="shared" si="51"/>
        <v>2</v>
      </c>
    </row>
    <row r="1609" spans="1:12" x14ac:dyDescent="0.25">
      <c r="A1609" t="s">
        <v>8142</v>
      </c>
      <c r="B1609" t="str">
        <f>IF(ISERROR(VLOOKUP(F1609,STEP!A:A, 1, FALSE)), "N", "Y")</f>
        <v>N</v>
      </c>
      <c r="C1609" t="str">
        <f>IF(ISERROR(VLOOKUP(E1609, BibleInEveryLanguageTexts!A:A, 1, FALSE)), "N", "Y")</f>
        <v>Y</v>
      </c>
      <c r="D1609" t="str">
        <f t="shared" si="50"/>
        <v/>
      </c>
      <c r="E1609" t="s">
        <v>78</v>
      </c>
      <c r="F1609" t="s">
        <v>76</v>
      </c>
      <c r="G1609" t="s">
        <v>7036</v>
      </c>
      <c r="H1609" t="s">
        <v>8143</v>
      </c>
      <c r="I1609" t="s">
        <v>2657</v>
      </c>
      <c r="J1609" t="str">
        <f>IF(0 = IFERROR(VLOOKUP(DBL_FullList!I1609, ContactsDbl!B:D, 2, FALSE), ""), "", IFERROR(VLOOKUP(DBL_FullList!I1609, ContactsDbl!B:D, 2, FALSE), ""))</f>
        <v>lktam@biblevietnam.org</v>
      </c>
      <c r="K1609" t="str">
        <f>IF(0 = IFERROR(VLOOKUP(DBL_FullList!I1609,ContactsDbl!B:D, 3, FALSE), ""), "", IFERROR(VLOOKUP(DBL_FullList!I1609, ContactsDbl!B:D, 3, FALSE), ""))</f>
        <v>http://www.biblevietnam.org</v>
      </c>
      <c r="L1609">
        <f t="shared" si="51"/>
        <v>2</v>
      </c>
    </row>
    <row r="1610" spans="1:12" x14ac:dyDescent="0.25">
      <c r="A1610" t="s">
        <v>8144</v>
      </c>
      <c r="B1610" t="str">
        <f>IF(ISERROR(VLOOKUP(F1610,STEP!A:A, 1, FALSE)), "N", "Y")</f>
        <v>N</v>
      </c>
      <c r="C1610" t="str">
        <f>IF(ISERROR(VLOOKUP(E1610, BibleInEveryLanguageTexts!A:A, 1, FALSE)), "N", "Y")</f>
        <v>N</v>
      </c>
      <c r="D1610" t="str">
        <f t="shared" si="50"/>
        <v>X</v>
      </c>
      <c r="E1610" t="s">
        <v>199</v>
      </c>
      <c r="F1610" t="s">
        <v>197</v>
      </c>
      <c r="G1610" t="s">
        <v>2880</v>
      </c>
      <c r="H1610" t="s">
        <v>8145</v>
      </c>
      <c r="I1610" t="s">
        <v>2005</v>
      </c>
      <c r="J1610" t="str">
        <f>IF(0 = IFERROR(VLOOKUP(DBL_FullList!I1610, ContactsDbl!B:D, 2, FALSE), ""), "", IFERROR(VLOOKUP(DBL_FullList!I1610, ContactsDbl!B:D, 2, FALSE), ""))</f>
        <v>bmclemore@bibleleague.org</v>
      </c>
      <c r="K1610" t="str">
        <f>IF(0 = IFERROR(VLOOKUP(DBL_FullList!I1610,ContactsDbl!B:D, 3, FALSE), ""), "", IFERROR(VLOOKUP(DBL_FullList!I1610, ContactsDbl!B:D, 3, FALSE), ""))</f>
        <v>http://www.bibleleague.org/</v>
      </c>
      <c r="L1610">
        <f t="shared" si="51"/>
        <v>2</v>
      </c>
    </row>
    <row r="1611" spans="1:12" x14ac:dyDescent="0.25">
      <c r="A1611" t="s">
        <v>8146</v>
      </c>
      <c r="B1611" t="str">
        <f>IF(ISERROR(VLOOKUP(F1611,STEP!A:A, 1, FALSE)), "N", "Y")</f>
        <v>N</v>
      </c>
      <c r="C1611" t="str">
        <f>IF(ISERROR(VLOOKUP(E1611, BibleInEveryLanguageTexts!A:A, 1, FALSE)), "N", "Y")</f>
        <v>Y</v>
      </c>
      <c r="D1611" t="str">
        <f t="shared" si="50"/>
        <v/>
      </c>
      <c r="E1611" t="s">
        <v>12</v>
      </c>
      <c r="F1611" t="s">
        <v>10</v>
      </c>
      <c r="G1611" t="s">
        <v>11</v>
      </c>
      <c r="H1611" t="s">
        <v>8147</v>
      </c>
      <c r="I1611" t="s">
        <v>24</v>
      </c>
      <c r="J1611" t="str">
        <f>IF(0 = IFERROR(VLOOKUP(DBL_FullList!I1611, ContactsDbl!B:D, 2, FALSE), ""), "", IFERROR(VLOOKUP(DBL_FullList!I1611, ContactsDbl!B:D, 2, FALSE), ""))</f>
        <v>Michael@eBible.org</v>
      </c>
      <c r="K1611" t="str">
        <f>IF(0 = IFERROR(VLOOKUP(DBL_FullList!I1611,ContactsDbl!B:D, 3, FALSE), ""), "", IFERROR(VLOOKUP(DBL_FullList!I1611, ContactsDbl!B:D, 3, FALSE), ""))</f>
        <v>http://eBible.org</v>
      </c>
      <c r="L1611">
        <f t="shared" si="51"/>
        <v>2</v>
      </c>
    </row>
    <row r="1612" spans="1:12" x14ac:dyDescent="0.25">
      <c r="A1612" t="s">
        <v>8148</v>
      </c>
      <c r="B1612" t="str">
        <f>IF(ISERROR(VLOOKUP(F1612,STEP!A:A, 1, FALSE)), "N", "Y")</f>
        <v>N</v>
      </c>
      <c r="C1612" t="str">
        <f>IF(ISERROR(VLOOKUP(E1612, BibleInEveryLanguageTexts!A:A, 1, FALSE)), "N", "Y")</f>
        <v>N</v>
      </c>
      <c r="D1612" t="str">
        <f t="shared" si="50"/>
        <v>X</v>
      </c>
      <c r="E1612" t="s">
        <v>8149</v>
      </c>
      <c r="F1612" t="s">
        <v>8150</v>
      </c>
      <c r="G1612" t="s">
        <v>2858</v>
      </c>
      <c r="H1612" t="s">
        <v>8151</v>
      </c>
      <c r="I1612" t="s">
        <v>2661</v>
      </c>
      <c r="J1612" t="str">
        <f>IF(0 = IFERROR(VLOOKUP(DBL_FullList!I1612, ContactsDbl!B:D, 2, FALSE), ""), "", IFERROR(VLOOKUP(DBL_FullList!I1612, ContactsDbl!B:D, 2, FALSE), ""))</f>
        <v>dbladmin_intl@sil.org</v>
      </c>
      <c r="K1612" t="str">
        <f>IF(0 = IFERROR(VLOOKUP(DBL_FullList!I1612,ContactsDbl!B:D, 3, FALSE), ""), "", IFERROR(VLOOKUP(DBL_FullList!I1612, ContactsDbl!B:D, 3, FALSE), ""))</f>
        <v>http://www.wycliffe.org</v>
      </c>
      <c r="L1612">
        <f t="shared" si="51"/>
        <v>2</v>
      </c>
    </row>
    <row r="1613" spans="1:12" x14ac:dyDescent="0.25">
      <c r="A1613" t="s">
        <v>8152</v>
      </c>
      <c r="B1613" t="str">
        <f>IF(ISERROR(VLOOKUP(F1613,STEP!A:A, 1, FALSE)), "N", "Y")</f>
        <v>N</v>
      </c>
      <c r="C1613" t="str">
        <f>IF(ISERROR(VLOOKUP(E1613, BibleInEveryLanguageTexts!A:A, 1, FALSE)), "N", "Y")</f>
        <v>N</v>
      </c>
      <c r="D1613" t="str">
        <f t="shared" si="50"/>
        <v>X</v>
      </c>
      <c r="E1613" t="s">
        <v>8153</v>
      </c>
      <c r="F1613" t="s">
        <v>8154</v>
      </c>
      <c r="G1613" t="s">
        <v>2858</v>
      </c>
      <c r="H1613" t="s">
        <v>8155</v>
      </c>
      <c r="I1613" t="s">
        <v>2661</v>
      </c>
      <c r="J1613" t="str">
        <f>IF(0 = IFERROR(VLOOKUP(DBL_FullList!I1613, ContactsDbl!B:D, 2, FALSE), ""), "", IFERROR(VLOOKUP(DBL_FullList!I1613, ContactsDbl!B:D, 2, FALSE), ""))</f>
        <v>dbladmin_intl@sil.org</v>
      </c>
      <c r="K1613" t="str">
        <f>IF(0 = IFERROR(VLOOKUP(DBL_FullList!I1613,ContactsDbl!B:D, 3, FALSE), ""), "", IFERROR(VLOOKUP(DBL_FullList!I1613, ContactsDbl!B:D, 3, FALSE), ""))</f>
        <v>http://www.wycliffe.org</v>
      </c>
      <c r="L1613">
        <f t="shared" si="51"/>
        <v>2</v>
      </c>
    </row>
    <row r="1614" spans="1:12" x14ac:dyDescent="0.25">
      <c r="A1614" s="1" t="s">
        <v>8156</v>
      </c>
      <c r="B1614" t="str">
        <f>IF(ISERROR(VLOOKUP(F1614,STEP!A:A, 1, FALSE)), "N", "Y")</f>
        <v>N</v>
      </c>
      <c r="C1614" t="str">
        <f>IF(ISERROR(VLOOKUP(E1614, BibleInEveryLanguageTexts!A:A, 1, FALSE)), "N", "Y")</f>
        <v>N</v>
      </c>
      <c r="D1614" t="str">
        <f t="shared" si="50"/>
        <v>X</v>
      </c>
      <c r="E1614" t="s">
        <v>8157</v>
      </c>
      <c r="F1614" t="s">
        <v>8158</v>
      </c>
      <c r="G1614" t="s">
        <v>2858</v>
      </c>
      <c r="H1614" t="s">
        <v>8159</v>
      </c>
      <c r="I1614" t="s">
        <v>2661</v>
      </c>
      <c r="J1614" t="str">
        <f>IF(0 = IFERROR(VLOOKUP(DBL_FullList!I1614, ContactsDbl!B:D, 2, FALSE), ""), "", IFERROR(VLOOKUP(DBL_FullList!I1614, ContactsDbl!B:D, 2, FALSE), ""))</f>
        <v>dbladmin_intl@sil.org</v>
      </c>
      <c r="K1614" t="str">
        <f>IF(0 = IFERROR(VLOOKUP(DBL_FullList!I1614,ContactsDbl!B:D, 3, FALSE), ""), "", IFERROR(VLOOKUP(DBL_FullList!I1614, ContactsDbl!B:D, 3, FALSE), ""))</f>
        <v>http://www.wycliffe.org</v>
      </c>
      <c r="L1614">
        <f t="shared" si="51"/>
        <v>2</v>
      </c>
    </row>
    <row r="1615" spans="1:12" x14ac:dyDescent="0.25">
      <c r="A1615" t="s">
        <v>8160</v>
      </c>
      <c r="B1615" t="str">
        <f>IF(ISERROR(VLOOKUP(F1615,STEP!A:A, 1, FALSE)), "N", "Y")</f>
        <v>N</v>
      </c>
      <c r="C1615" t="str">
        <f>IF(ISERROR(VLOOKUP(E1615, BibleInEveryLanguageTexts!A:A, 1, FALSE)), "N", "Y")</f>
        <v>N</v>
      </c>
      <c r="D1615" t="str">
        <f t="shared" si="50"/>
        <v>X</v>
      </c>
      <c r="E1615" t="s">
        <v>8161</v>
      </c>
      <c r="F1615" t="s">
        <v>8162</v>
      </c>
      <c r="G1615" t="s">
        <v>4050</v>
      </c>
      <c r="H1615" t="s">
        <v>8163</v>
      </c>
      <c r="I1615" t="s">
        <v>2661</v>
      </c>
      <c r="J1615" t="str">
        <f>IF(0 = IFERROR(VLOOKUP(DBL_FullList!I1615, ContactsDbl!B:D, 2, FALSE), ""), "", IFERROR(VLOOKUP(DBL_FullList!I1615, ContactsDbl!B:D, 2, FALSE), ""))</f>
        <v>dbladmin_intl@sil.org</v>
      </c>
      <c r="K1615" t="str">
        <f>IF(0 = IFERROR(VLOOKUP(DBL_FullList!I1615,ContactsDbl!B:D, 3, FALSE), ""), "", IFERROR(VLOOKUP(DBL_FullList!I1615, ContactsDbl!B:D, 3, FALSE), ""))</f>
        <v>http://www.wycliffe.org</v>
      </c>
      <c r="L1615">
        <f t="shared" si="51"/>
        <v>2</v>
      </c>
    </row>
    <row r="1616" spans="1:12" x14ac:dyDescent="0.25">
      <c r="A1616" t="s">
        <v>8164</v>
      </c>
      <c r="B1616" t="str">
        <f>IF(ISERROR(VLOOKUP(F1616,STEP!A:A, 1, FALSE)), "N", "Y")</f>
        <v>N</v>
      </c>
      <c r="C1616" t="str">
        <f>IF(ISERROR(VLOOKUP(E1616, BibleInEveryLanguageTexts!A:A, 1, FALSE)), "N", "Y")</f>
        <v>N</v>
      </c>
      <c r="D1616" t="str">
        <f t="shared" si="50"/>
        <v>X</v>
      </c>
      <c r="E1616" t="s">
        <v>8165</v>
      </c>
      <c r="F1616" t="s">
        <v>8166</v>
      </c>
      <c r="G1616" t="s">
        <v>4050</v>
      </c>
      <c r="H1616" t="s">
        <v>8167</v>
      </c>
      <c r="I1616" t="s">
        <v>2661</v>
      </c>
      <c r="J1616" t="str">
        <f>IF(0 = IFERROR(VLOOKUP(DBL_FullList!I1616, ContactsDbl!B:D, 2, FALSE), ""), "", IFERROR(VLOOKUP(DBL_FullList!I1616, ContactsDbl!B:D, 2, FALSE), ""))</f>
        <v>dbladmin_intl@sil.org</v>
      </c>
      <c r="K1616" t="str">
        <f>IF(0 = IFERROR(VLOOKUP(DBL_FullList!I1616,ContactsDbl!B:D, 3, FALSE), ""), "", IFERROR(VLOOKUP(DBL_FullList!I1616, ContactsDbl!B:D, 3, FALSE), ""))</f>
        <v>http://www.wycliffe.org</v>
      </c>
      <c r="L1616">
        <f t="shared" si="51"/>
        <v>2</v>
      </c>
    </row>
    <row r="1617" spans="1:12" x14ac:dyDescent="0.25">
      <c r="A1617" t="s">
        <v>8168</v>
      </c>
      <c r="B1617" t="str">
        <f>IF(ISERROR(VLOOKUP(F1617,STEP!A:A, 1, FALSE)), "N", "Y")</f>
        <v>N</v>
      </c>
      <c r="C1617" t="str">
        <f>IF(ISERROR(VLOOKUP(E1617, BibleInEveryLanguageTexts!A:A, 1, FALSE)), "N", "Y")</f>
        <v>N</v>
      </c>
      <c r="D1617" t="str">
        <f t="shared" si="50"/>
        <v>X</v>
      </c>
      <c r="E1617" t="s">
        <v>8169</v>
      </c>
      <c r="F1617" t="s">
        <v>8170</v>
      </c>
      <c r="G1617" t="s">
        <v>4050</v>
      </c>
      <c r="H1617" t="s">
        <v>8171</v>
      </c>
      <c r="I1617" t="s">
        <v>2661</v>
      </c>
      <c r="J1617" t="str">
        <f>IF(0 = IFERROR(VLOOKUP(DBL_FullList!I1617, ContactsDbl!B:D, 2, FALSE), ""), "", IFERROR(VLOOKUP(DBL_FullList!I1617, ContactsDbl!B:D, 2, FALSE), ""))</f>
        <v>dbladmin_intl@sil.org</v>
      </c>
      <c r="K1617" t="str">
        <f>IF(0 = IFERROR(VLOOKUP(DBL_FullList!I1617,ContactsDbl!B:D, 3, FALSE), ""), "", IFERROR(VLOOKUP(DBL_FullList!I1617, ContactsDbl!B:D, 3, FALSE), ""))</f>
        <v>http://www.wycliffe.org</v>
      </c>
      <c r="L1617">
        <f t="shared" si="51"/>
        <v>2</v>
      </c>
    </row>
    <row r="1618" spans="1:12" x14ac:dyDescent="0.25">
      <c r="A1618" t="s">
        <v>8172</v>
      </c>
      <c r="B1618" t="str">
        <f>IF(ISERROR(VLOOKUP(F1618,STEP!A:A, 1, FALSE)), "N", "Y")</f>
        <v>N</v>
      </c>
      <c r="C1618" t="str">
        <f>IF(ISERROR(VLOOKUP(E1618, BibleInEveryLanguageTexts!A:A, 1, FALSE)), "N", "Y")</f>
        <v>N</v>
      </c>
      <c r="D1618" t="str">
        <f t="shared" si="50"/>
        <v>X</v>
      </c>
      <c r="E1618" t="s">
        <v>8173</v>
      </c>
      <c r="F1618" t="s">
        <v>8174</v>
      </c>
      <c r="G1618" t="s">
        <v>4050</v>
      </c>
      <c r="H1618" t="s">
        <v>8175</v>
      </c>
      <c r="I1618" t="s">
        <v>2661</v>
      </c>
      <c r="J1618" t="str">
        <f>IF(0 = IFERROR(VLOOKUP(DBL_FullList!I1618, ContactsDbl!B:D, 2, FALSE), ""), "", IFERROR(VLOOKUP(DBL_FullList!I1618, ContactsDbl!B:D, 2, FALSE), ""))</f>
        <v>dbladmin_intl@sil.org</v>
      </c>
      <c r="K1618" t="str">
        <f>IF(0 = IFERROR(VLOOKUP(DBL_FullList!I1618,ContactsDbl!B:D, 3, FALSE), ""), "", IFERROR(VLOOKUP(DBL_FullList!I1618, ContactsDbl!B:D, 3, FALSE), ""))</f>
        <v>http://www.wycliffe.org</v>
      </c>
      <c r="L1618">
        <f t="shared" si="51"/>
        <v>2</v>
      </c>
    </row>
    <row r="1619" spans="1:12" x14ac:dyDescent="0.25">
      <c r="A1619" t="s">
        <v>8176</v>
      </c>
      <c r="B1619" t="str">
        <f>IF(ISERROR(VLOOKUP(F1619,STEP!A:A, 1, FALSE)), "N", "Y")</f>
        <v>N</v>
      </c>
      <c r="C1619" t="str">
        <f>IF(ISERROR(VLOOKUP(E1619, BibleInEveryLanguageTexts!A:A, 1, FALSE)), "N", "Y")</f>
        <v>N</v>
      </c>
      <c r="D1619" t="str">
        <f t="shared" si="50"/>
        <v>X</v>
      </c>
      <c r="E1619" t="s">
        <v>8177</v>
      </c>
      <c r="F1619" t="s">
        <v>8178</v>
      </c>
      <c r="G1619" t="s">
        <v>4050</v>
      </c>
      <c r="H1619" t="s">
        <v>8179</v>
      </c>
      <c r="I1619" t="s">
        <v>2661</v>
      </c>
      <c r="J1619" t="str">
        <f>IF(0 = IFERROR(VLOOKUP(DBL_FullList!I1619, ContactsDbl!B:D, 2, FALSE), ""), "", IFERROR(VLOOKUP(DBL_FullList!I1619, ContactsDbl!B:D, 2, FALSE), ""))</f>
        <v>dbladmin_intl@sil.org</v>
      </c>
      <c r="K1619" t="str">
        <f>IF(0 = IFERROR(VLOOKUP(DBL_FullList!I1619,ContactsDbl!B:D, 3, FALSE), ""), "", IFERROR(VLOOKUP(DBL_FullList!I1619, ContactsDbl!B:D, 3, FALSE), ""))</f>
        <v>http://www.wycliffe.org</v>
      </c>
      <c r="L1619">
        <f t="shared" si="51"/>
        <v>2</v>
      </c>
    </row>
    <row r="1620" spans="1:12" x14ac:dyDescent="0.25">
      <c r="A1620" t="s">
        <v>8180</v>
      </c>
      <c r="B1620" t="str">
        <f>IF(ISERROR(VLOOKUP(F1620,STEP!A:A, 1, FALSE)), "N", "Y")</f>
        <v>N</v>
      </c>
      <c r="C1620" t="str">
        <f>IF(ISERROR(VLOOKUP(E1620, BibleInEveryLanguageTexts!A:A, 1, FALSE)), "N", "Y")</f>
        <v>N</v>
      </c>
      <c r="D1620" t="str">
        <f t="shared" si="50"/>
        <v>X</v>
      </c>
      <c r="E1620" t="s">
        <v>8181</v>
      </c>
      <c r="F1620" t="s">
        <v>8182</v>
      </c>
      <c r="G1620" t="s">
        <v>4050</v>
      </c>
      <c r="H1620" t="s">
        <v>8183</v>
      </c>
      <c r="I1620" t="s">
        <v>2661</v>
      </c>
      <c r="J1620" t="str">
        <f>IF(0 = IFERROR(VLOOKUP(DBL_FullList!I1620, ContactsDbl!B:D, 2, FALSE), ""), "", IFERROR(VLOOKUP(DBL_FullList!I1620, ContactsDbl!B:D, 2, FALSE), ""))</f>
        <v>dbladmin_intl@sil.org</v>
      </c>
      <c r="K1620" t="str">
        <f>IF(0 = IFERROR(VLOOKUP(DBL_FullList!I1620,ContactsDbl!B:D, 3, FALSE), ""), "", IFERROR(VLOOKUP(DBL_FullList!I1620, ContactsDbl!B:D, 3, FALSE), ""))</f>
        <v>http://www.wycliffe.org</v>
      </c>
      <c r="L1620">
        <f t="shared" si="51"/>
        <v>2</v>
      </c>
    </row>
    <row r="1621" spans="1:12" x14ac:dyDescent="0.25">
      <c r="A1621" t="s">
        <v>8184</v>
      </c>
      <c r="B1621" t="str">
        <f>IF(ISERROR(VLOOKUP(F1621,STEP!A:A, 1, FALSE)), "N", "Y")</f>
        <v>N</v>
      </c>
      <c r="C1621" t="str">
        <f>IF(ISERROR(VLOOKUP(E1621, BibleInEveryLanguageTexts!A:A, 1, FALSE)), "N", "Y")</f>
        <v>N</v>
      </c>
      <c r="D1621" t="str">
        <f t="shared" si="50"/>
        <v>X</v>
      </c>
      <c r="E1621" t="s">
        <v>8185</v>
      </c>
      <c r="F1621" t="s">
        <v>8186</v>
      </c>
      <c r="G1621" t="s">
        <v>4050</v>
      </c>
      <c r="H1621" t="s">
        <v>8187</v>
      </c>
      <c r="I1621" t="s">
        <v>2661</v>
      </c>
      <c r="J1621" t="str">
        <f>IF(0 = IFERROR(VLOOKUP(DBL_FullList!I1621, ContactsDbl!B:D, 2, FALSE), ""), "", IFERROR(VLOOKUP(DBL_FullList!I1621, ContactsDbl!B:D, 2, FALSE), ""))</f>
        <v>dbladmin_intl@sil.org</v>
      </c>
      <c r="K1621" t="str">
        <f>IF(0 = IFERROR(VLOOKUP(DBL_FullList!I1621,ContactsDbl!B:D, 3, FALSE), ""), "", IFERROR(VLOOKUP(DBL_FullList!I1621, ContactsDbl!B:D, 3, FALSE), ""))</f>
        <v>http://www.wycliffe.org</v>
      </c>
      <c r="L1621">
        <f t="shared" si="51"/>
        <v>2</v>
      </c>
    </row>
    <row r="1622" spans="1:12" x14ac:dyDescent="0.25">
      <c r="A1622" t="s">
        <v>8188</v>
      </c>
      <c r="B1622" t="str">
        <f>IF(ISERROR(VLOOKUP(F1622,STEP!A:A, 1, FALSE)), "N", "Y")</f>
        <v>N</v>
      </c>
      <c r="C1622" t="str">
        <f>IF(ISERROR(VLOOKUP(E1622, BibleInEveryLanguageTexts!A:A, 1, FALSE)), "N", "Y")</f>
        <v>N</v>
      </c>
      <c r="D1622" t="str">
        <f t="shared" si="50"/>
        <v>X</v>
      </c>
      <c r="E1622" t="s">
        <v>8189</v>
      </c>
      <c r="F1622" t="s">
        <v>7929</v>
      </c>
      <c r="G1622" t="s">
        <v>3083</v>
      </c>
      <c r="H1622" t="s">
        <v>8190</v>
      </c>
      <c r="I1622" t="s">
        <v>2661</v>
      </c>
      <c r="J1622" t="str">
        <f>IF(0 = IFERROR(VLOOKUP(DBL_FullList!I1622, ContactsDbl!B:D, 2, FALSE), ""), "", IFERROR(VLOOKUP(DBL_FullList!I1622, ContactsDbl!B:D, 2, FALSE), ""))</f>
        <v>dbladmin_intl@sil.org</v>
      </c>
      <c r="K1622" t="str">
        <f>IF(0 = IFERROR(VLOOKUP(DBL_FullList!I1622,ContactsDbl!B:D, 3, FALSE), ""), "", IFERROR(VLOOKUP(DBL_FullList!I1622, ContactsDbl!B:D, 3, FALSE), ""))</f>
        <v>http://www.wycliffe.org</v>
      </c>
      <c r="L1622">
        <f t="shared" si="51"/>
        <v>2</v>
      </c>
    </row>
    <row r="1623" spans="1:12" x14ac:dyDescent="0.25">
      <c r="A1623" t="s">
        <v>8191</v>
      </c>
      <c r="B1623" t="str">
        <f>IF(ISERROR(VLOOKUP(F1623,STEP!A:A, 1, FALSE)), "N", "Y")</f>
        <v>N</v>
      </c>
      <c r="C1623" t="str">
        <f>IF(ISERROR(VLOOKUP(E1623, BibleInEveryLanguageTexts!A:A, 1, FALSE)), "N", "Y")</f>
        <v>N</v>
      </c>
      <c r="D1623" t="str">
        <f t="shared" si="50"/>
        <v>X</v>
      </c>
      <c r="E1623" t="s">
        <v>8192</v>
      </c>
      <c r="F1623" t="s">
        <v>8193</v>
      </c>
      <c r="G1623" t="s">
        <v>2723</v>
      </c>
      <c r="H1623" t="s">
        <v>8194</v>
      </c>
      <c r="I1623" t="s">
        <v>2661</v>
      </c>
      <c r="J1623" t="str">
        <f>IF(0 = IFERROR(VLOOKUP(DBL_FullList!I1623, ContactsDbl!B:D, 2, FALSE), ""), "", IFERROR(VLOOKUP(DBL_FullList!I1623, ContactsDbl!B:D, 2, FALSE), ""))</f>
        <v>dbladmin_intl@sil.org</v>
      </c>
      <c r="K1623" t="str">
        <f>IF(0 = IFERROR(VLOOKUP(DBL_FullList!I1623,ContactsDbl!B:D, 3, FALSE), ""), "", IFERROR(VLOOKUP(DBL_FullList!I1623, ContactsDbl!B:D, 3, FALSE), ""))</f>
        <v>http://www.wycliffe.org</v>
      </c>
      <c r="L1623">
        <f t="shared" si="51"/>
        <v>2</v>
      </c>
    </row>
    <row r="1624" spans="1:12" x14ac:dyDescent="0.25">
      <c r="A1624" t="s">
        <v>8195</v>
      </c>
      <c r="B1624" t="str">
        <f>IF(ISERROR(VLOOKUP(F1624,STEP!A:A, 1, FALSE)), "N", "Y")</f>
        <v>N</v>
      </c>
      <c r="C1624" t="str">
        <f>IF(ISERROR(VLOOKUP(E1624, BibleInEveryLanguageTexts!A:A, 1, FALSE)), "N", "Y")</f>
        <v>N</v>
      </c>
      <c r="D1624" t="str">
        <f t="shared" si="50"/>
        <v>X</v>
      </c>
      <c r="E1624" t="s">
        <v>8196</v>
      </c>
      <c r="F1624" t="s">
        <v>8197</v>
      </c>
      <c r="G1624" t="s">
        <v>4050</v>
      </c>
      <c r="H1624" t="s">
        <v>8198</v>
      </c>
      <c r="I1624" t="s">
        <v>2661</v>
      </c>
      <c r="J1624" t="str">
        <f>IF(0 = IFERROR(VLOOKUP(DBL_FullList!I1624, ContactsDbl!B:D, 2, FALSE), ""), "", IFERROR(VLOOKUP(DBL_FullList!I1624, ContactsDbl!B:D, 2, FALSE), ""))</f>
        <v>dbladmin_intl@sil.org</v>
      </c>
      <c r="K1624" t="str">
        <f>IF(0 = IFERROR(VLOOKUP(DBL_FullList!I1624,ContactsDbl!B:D, 3, FALSE), ""), "", IFERROR(VLOOKUP(DBL_FullList!I1624, ContactsDbl!B:D, 3, FALSE), ""))</f>
        <v>http://www.wycliffe.org</v>
      </c>
      <c r="L1624">
        <f t="shared" si="51"/>
        <v>2</v>
      </c>
    </row>
    <row r="1625" spans="1:12" x14ac:dyDescent="0.25">
      <c r="A1625" t="s">
        <v>8199</v>
      </c>
      <c r="B1625" t="str">
        <f>IF(ISERROR(VLOOKUP(F1625,STEP!A:A, 1, FALSE)), "N", "Y")</f>
        <v>N</v>
      </c>
      <c r="C1625" t="str">
        <f>IF(ISERROR(VLOOKUP(E1625, BibleInEveryLanguageTexts!A:A, 1, FALSE)), "N", "Y")</f>
        <v>Y</v>
      </c>
      <c r="D1625" t="str">
        <f t="shared" si="50"/>
        <v/>
      </c>
      <c r="E1625" t="s">
        <v>2700</v>
      </c>
      <c r="F1625" t="s">
        <v>3317</v>
      </c>
      <c r="G1625" t="s">
        <v>3418</v>
      </c>
      <c r="H1625" t="s">
        <v>8200</v>
      </c>
      <c r="I1625" t="s">
        <v>2226</v>
      </c>
      <c r="J1625" t="str">
        <f>IF(0 = IFERROR(VLOOKUP(DBL_FullList!I1625, ContactsDbl!B:D, 2, FALSE), ""), "", IFERROR(VLOOKUP(DBL_FullList!I1625, ContactsDbl!B:D, 2, FALSE), ""))</f>
        <v>alliance.biblique@sbf.fr</v>
      </c>
      <c r="K1625" t="str">
        <f>IF(0 = IFERROR(VLOOKUP(DBL_FullList!I1625,ContactsDbl!B:D, 3, FALSE), ""), "", IFERROR(VLOOKUP(DBL_FullList!I1625, ContactsDbl!B:D, 3, FALSE), ""))</f>
        <v>www.alliancebiblique.fr</v>
      </c>
      <c r="L1625">
        <f t="shared" si="51"/>
        <v>2</v>
      </c>
    </row>
    <row r="1626" spans="1:12" x14ac:dyDescent="0.25">
      <c r="A1626" t="s">
        <v>8201</v>
      </c>
      <c r="B1626" t="str">
        <f>IF(ISERROR(VLOOKUP(F1626,STEP!A:A, 1, FALSE)), "N", "Y")</f>
        <v>N</v>
      </c>
      <c r="C1626" t="str">
        <f>IF(ISERROR(VLOOKUP(E1626, BibleInEveryLanguageTexts!A:A, 1, FALSE)), "N", "Y")</f>
        <v>N</v>
      </c>
      <c r="D1626" t="str">
        <f t="shared" si="50"/>
        <v>X</v>
      </c>
      <c r="E1626" t="s">
        <v>8202</v>
      </c>
      <c r="F1626" t="s">
        <v>8203</v>
      </c>
      <c r="G1626" t="s">
        <v>4050</v>
      </c>
      <c r="H1626" t="s">
        <v>8204</v>
      </c>
      <c r="I1626" t="s">
        <v>2661</v>
      </c>
      <c r="J1626" t="str">
        <f>IF(0 = IFERROR(VLOOKUP(DBL_FullList!I1626, ContactsDbl!B:D, 2, FALSE), ""), "", IFERROR(VLOOKUP(DBL_FullList!I1626, ContactsDbl!B:D, 2, FALSE), ""))</f>
        <v>dbladmin_intl@sil.org</v>
      </c>
      <c r="K1626" t="str">
        <f>IF(0 = IFERROR(VLOOKUP(DBL_FullList!I1626,ContactsDbl!B:D, 3, FALSE), ""), "", IFERROR(VLOOKUP(DBL_FullList!I1626, ContactsDbl!B:D, 3, FALSE), ""))</f>
        <v>http://www.wycliffe.org</v>
      </c>
      <c r="L1626">
        <f t="shared" si="51"/>
        <v>2</v>
      </c>
    </row>
    <row r="1627" spans="1:12" x14ac:dyDescent="0.25">
      <c r="A1627" t="s">
        <v>8205</v>
      </c>
      <c r="B1627" t="str">
        <f>IF(ISERROR(VLOOKUP(F1627,STEP!A:A, 1, FALSE)), "N", "Y")</f>
        <v>N</v>
      </c>
      <c r="C1627" t="str">
        <f>IF(ISERROR(VLOOKUP(E1627, BibleInEveryLanguageTexts!A:A, 1, FALSE)), "N", "Y")</f>
        <v>N</v>
      </c>
      <c r="D1627" t="str">
        <f t="shared" si="50"/>
        <v>X</v>
      </c>
      <c r="E1627" t="s">
        <v>8206</v>
      </c>
      <c r="F1627" t="s">
        <v>8207</v>
      </c>
      <c r="G1627" t="s">
        <v>2723</v>
      </c>
      <c r="H1627" t="s">
        <v>8208</v>
      </c>
      <c r="I1627" t="s">
        <v>2661</v>
      </c>
      <c r="J1627" t="str">
        <f>IF(0 = IFERROR(VLOOKUP(DBL_FullList!I1627, ContactsDbl!B:D, 2, FALSE), ""), "", IFERROR(VLOOKUP(DBL_FullList!I1627, ContactsDbl!B:D, 2, FALSE), ""))</f>
        <v>dbladmin_intl@sil.org</v>
      </c>
      <c r="K1627" t="str">
        <f>IF(0 = IFERROR(VLOOKUP(DBL_FullList!I1627,ContactsDbl!B:D, 3, FALSE), ""), "", IFERROR(VLOOKUP(DBL_FullList!I1627, ContactsDbl!B:D, 3, FALSE), ""))</f>
        <v>http://www.wycliffe.org</v>
      </c>
      <c r="L1627">
        <f t="shared" si="51"/>
        <v>2</v>
      </c>
    </row>
    <row r="1628" spans="1:12" x14ac:dyDescent="0.25">
      <c r="A1628" t="s">
        <v>8209</v>
      </c>
      <c r="B1628" t="str">
        <f>IF(ISERROR(VLOOKUP(F1628,STEP!A:A, 1, FALSE)), "N", "Y")</f>
        <v>N</v>
      </c>
      <c r="C1628" t="str">
        <f>IF(ISERROR(VLOOKUP(E1628, BibleInEveryLanguageTexts!A:A, 1, FALSE)), "N", "Y")</f>
        <v>N</v>
      </c>
      <c r="D1628" t="str">
        <f t="shared" si="50"/>
        <v>X</v>
      </c>
      <c r="E1628" t="s">
        <v>8210</v>
      </c>
      <c r="F1628" t="s">
        <v>8211</v>
      </c>
      <c r="G1628" t="s">
        <v>2858</v>
      </c>
      <c r="H1628" t="s">
        <v>8212</v>
      </c>
      <c r="I1628" t="s">
        <v>2661</v>
      </c>
      <c r="J1628" t="str">
        <f>IF(0 = IFERROR(VLOOKUP(DBL_FullList!I1628, ContactsDbl!B:D, 2, FALSE), ""), "", IFERROR(VLOOKUP(DBL_FullList!I1628, ContactsDbl!B:D, 2, FALSE), ""))</f>
        <v>dbladmin_intl@sil.org</v>
      </c>
      <c r="K1628" t="str">
        <f>IF(0 = IFERROR(VLOOKUP(DBL_FullList!I1628,ContactsDbl!B:D, 3, FALSE), ""), "", IFERROR(VLOOKUP(DBL_FullList!I1628, ContactsDbl!B:D, 3, FALSE), ""))</f>
        <v>http://www.wycliffe.org</v>
      </c>
      <c r="L1628">
        <f t="shared" si="51"/>
        <v>2</v>
      </c>
    </row>
    <row r="1629" spans="1:12" x14ac:dyDescent="0.25">
      <c r="A1629" t="s">
        <v>72</v>
      </c>
      <c r="B1629" t="str">
        <f>IF(ISERROR(VLOOKUP(F1629,STEP!A:A, 1, FALSE)), "N", "Y")</f>
        <v>N</v>
      </c>
      <c r="C1629" t="str">
        <f>IF(ISERROR(VLOOKUP(E1629, BibleInEveryLanguageTexts!A:A, 1, FALSE)), "N", "Y")</f>
        <v>N</v>
      </c>
      <c r="D1629" t="str">
        <f t="shared" si="50"/>
        <v>X</v>
      </c>
      <c r="E1629" t="s">
        <v>71</v>
      </c>
      <c r="F1629" t="s">
        <v>69</v>
      </c>
      <c r="G1629" t="s">
        <v>70</v>
      </c>
      <c r="H1629" t="s">
        <v>67</v>
      </c>
      <c r="I1629" t="s">
        <v>68</v>
      </c>
      <c r="J1629" t="str">
        <f>IF(0 = IFERROR(VLOOKUP(DBL_FullList!I1629, ContactsDbl!B:D, 2, FALSE), ""), "", IFERROR(VLOOKUP(DBL_FullList!I1629, ContactsDbl!B:D, 2, FALSE), ""))</f>
        <v>dengi75@ya.ru</v>
      </c>
      <c r="K1629" t="str">
        <f>IF(0 = IFERROR(VLOOKUP(DBL_FullList!I1629,ContactsDbl!B:D, 3, FALSE), ""), "", IFERROR(VLOOKUP(DBL_FullList!I1629, ContactsDbl!B:D, 3, FALSE), ""))</f>
        <v>www.belreform.org</v>
      </c>
      <c r="L1629">
        <f t="shared" si="51"/>
        <v>2</v>
      </c>
    </row>
    <row r="1630" spans="1:12" x14ac:dyDescent="0.25">
      <c r="A1630" s="1" t="s">
        <v>8213</v>
      </c>
      <c r="B1630" t="str">
        <f>IF(ISERROR(VLOOKUP(F1630,STEP!A:A, 1, FALSE)), "N", "Y")</f>
        <v>N</v>
      </c>
      <c r="C1630" t="str">
        <f>IF(ISERROR(VLOOKUP(E1630, BibleInEveryLanguageTexts!A:A, 1, FALSE)), "N", "Y")</f>
        <v>N</v>
      </c>
      <c r="D1630" t="str">
        <f t="shared" si="50"/>
        <v>X</v>
      </c>
      <c r="E1630" t="s">
        <v>8214</v>
      </c>
      <c r="F1630" t="s">
        <v>8215</v>
      </c>
      <c r="G1630" t="s">
        <v>2858</v>
      </c>
      <c r="H1630" t="s">
        <v>8216</v>
      </c>
      <c r="I1630" t="s">
        <v>2661</v>
      </c>
      <c r="J1630" t="str">
        <f>IF(0 = IFERROR(VLOOKUP(DBL_FullList!I1630, ContactsDbl!B:D, 2, FALSE), ""), "", IFERROR(VLOOKUP(DBL_FullList!I1630, ContactsDbl!B:D, 2, FALSE), ""))</f>
        <v>dbladmin_intl@sil.org</v>
      </c>
      <c r="K1630" t="str">
        <f>IF(0 = IFERROR(VLOOKUP(DBL_FullList!I1630,ContactsDbl!B:D, 3, FALSE), ""), "", IFERROR(VLOOKUP(DBL_FullList!I1630, ContactsDbl!B:D, 3, FALSE), ""))</f>
        <v>http://www.wycliffe.org</v>
      </c>
      <c r="L1630">
        <f t="shared" si="51"/>
        <v>2</v>
      </c>
    </row>
    <row r="1631" spans="1:12" x14ac:dyDescent="0.25">
      <c r="A1631" t="s">
        <v>8217</v>
      </c>
      <c r="B1631" t="str">
        <f>IF(ISERROR(VLOOKUP(F1631,STEP!A:A, 1, FALSE)), "N", "Y")</f>
        <v>N</v>
      </c>
      <c r="C1631" t="str">
        <f>IF(ISERROR(VLOOKUP(E1631, BibleInEveryLanguageTexts!A:A, 1, FALSE)), "N", "Y")</f>
        <v>N</v>
      </c>
      <c r="D1631" t="str">
        <f t="shared" si="50"/>
        <v>X</v>
      </c>
      <c r="E1631" t="s">
        <v>8218</v>
      </c>
      <c r="F1631" t="s">
        <v>8219</v>
      </c>
      <c r="G1631" t="s">
        <v>110</v>
      </c>
      <c r="H1631" t="s">
        <v>8220</v>
      </c>
      <c r="I1631" t="s">
        <v>2370</v>
      </c>
      <c r="J1631" t="str">
        <f>IF(0 = IFERROR(VLOOKUP(DBL_FullList!I1631, ContactsDbl!B:D, 2, FALSE), ""), "", IFERROR(VLOOKUP(DBL_FullList!I1631, ContactsDbl!B:D, 2, FALSE), ""))</f>
        <v>anwartjen@alkitab.or.id</v>
      </c>
      <c r="K1631" t="str">
        <f>IF(0 = IFERROR(VLOOKUP(DBL_FullList!I1631,ContactsDbl!B:D, 3, FALSE), ""), "", IFERROR(VLOOKUP(DBL_FullList!I1631, ContactsDbl!B:D, 3, FALSE), ""))</f>
        <v>http://www.alkitab.or.id/</v>
      </c>
      <c r="L1631">
        <f t="shared" si="51"/>
        <v>2</v>
      </c>
    </row>
    <row r="1632" spans="1:12" x14ac:dyDescent="0.25">
      <c r="A1632" t="s">
        <v>8221</v>
      </c>
      <c r="B1632" t="str">
        <f>IF(ISERROR(VLOOKUP(F1632,STEP!A:A, 1, FALSE)), "N", "Y")</f>
        <v>N</v>
      </c>
      <c r="C1632" t="str">
        <f>IF(ISERROR(VLOOKUP(E1632, BibleInEveryLanguageTexts!A:A, 1, FALSE)), "N", "Y")</f>
        <v>N</v>
      </c>
      <c r="D1632" t="str">
        <f t="shared" si="50"/>
        <v>X</v>
      </c>
      <c r="E1632" t="s">
        <v>8222</v>
      </c>
      <c r="F1632" t="s">
        <v>8223</v>
      </c>
      <c r="G1632" t="s">
        <v>2858</v>
      </c>
      <c r="H1632" t="s">
        <v>8224</v>
      </c>
      <c r="I1632" t="s">
        <v>2661</v>
      </c>
      <c r="J1632" t="str">
        <f>IF(0 = IFERROR(VLOOKUP(DBL_FullList!I1632, ContactsDbl!B:D, 2, FALSE), ""), "", IFERROR(VLOOKUP(DBL_FullList!I1632, ContactsDbl!B:D, 2, FALSE), ""))</f>
        <v>dbladmin_intl@sil.org</v>
      </c>
      <c r="K1632" t="str">
        <f>IF(0 = IFERROR(VLOOKUP(DBL_FullList!I1632,ContactsDbl!B:D, 3, FALSE), ""), "", IFERROR(VLOOKUP(DBL_FullList!I1632, ContactsDbl!B:D, 3, FALSE), ""))</f>
        <v>http://www.wycliffe.org</v>
      </c>
      <c r="L1632">
        <f t="shared" si="51"/>
        <v>2</v>
      </c>
    </row>
    <row r="1633" spans="1:12" x14ac:dyDescent="0.25">
      <c r="A1633" t="s">
        <v>8225</v>
      </c>
      <c r="B1633" t="str">
        <f>IF(ISERROR(VLOOKUP(F1633,STEP!A:A, 1, FALSE)), "N", "Y")</f>
        <v>Y</v>
      </c>
      <c r="C1633" t="str">
        <f>IF(ISERROR(VLOOKUP(E1633, BibleInEveryLanguageTexts!A:A, 1, FALSE)), "N", "Y")</f>
        <v>N</v>
      </c>
      <c r="D1633" t="str">
        <f t="shared" si="50"/>
        <v/>
      </c>
      <c r="E1633" t="s">
        <v>5327</v>
      </c>
      <c r="F1633" t="s">
        <v>5328</v>
      </c>
      <c r="G1633" t="s">
        <v>48</v>
      </c>
      <c r="H1633" t="s">
        <v>8226</v>
      </c>
      <c r="I1633" t="s">
        <v>2512</v>
      </c>
      <c r="J1633" t="str">
        <f>IF(0 = IFERROR(VLOOKUP(DBL_FullList!I1633, ContactsDbl!B:D, 2, FALSE), ""), "", IFERROR(VLOOKUP(DBL_FullList!I1633, ContactsDbl!B:D, 2, FALSE), ""))</f>
        <v/>
      </c>
      <c r="K1633" t="str">
        <f>IF(0 = IFERROR(VLOOKUP(DBL_FullList!I1633,ContactsDbl!B:D, 3, FALSE), ""), "", IFERROR(VLOOKUP(DBL_FullList!I1633, ContactsDbl!B:D, 3, FALSE), ""))</f>
        <v/>
      </c>
      <c r="L1633">
        <f t="shared" si="51"/>
        <v>0</v>
      </c>
    </row>
    <row r="1634" spans="1:12" x14ac:dyDescent="0.25">
      <c r="A1634" t="s">
        <v>8227</v>
      </c>
      <c r="B1634" t="str">
        <f>IF(ISERROR(VLOOKUP(F1634,STEP!A:A, 1, FALSE)), "N", "Y")</f>
        <v>N</v>
      </c>
      <c r="C1634" t="str">
        <f>IF(ISERROR(VLOOKUP(E1634, BibleInEveryLanguageTexts!A:A, 1, FALSE)), "N", "Y")</f>
        <v>N</v>
      </c>
      <c r="D1634" t="str">
        <f t="shared" si="50"/>
        <v>X</v>
      </c>
      <c r="E1634" t="s">
        <v>1745</v>
      </c>
      <c r="F1634" t="s">
        <v>6993</v>
      </c>
      <c r="G1634" t="s">
        <v>2890</v>
      </c>
      <c r="H1634" t="s">
        <v>8228</v>
      </c>
      <c r="I1634" t="s">
        <v>2209</v>
      </c>
      <c r="J1634" t="str">
        <f>IF(0 = IFERROR(VLOOKUP(DBL_FullList!I1634, ContactsDbl!B:D, 2, FALSE), ""), "", IFERROR(VLOOKUP(DBL_FullList!I1634, ContactsDbl!B:D, 2, FALSE), ""))</f>
        <v>contact@elam.com</v>
      </c>
      <c r="K1634" t="str">
        <f>IF(0 = IFERROR(VLOOKUP(DBL_FullList!I1634,ContactsDbl!B:D, 3, FALSE), ""), "", IFERROR(VLOOKUP(DBL_FullList!I1634, ContactsDbl!B:D, 3, FALSE), ""))</f>
        <v>http://www.elam.com/</v>
      </c>
      <c r="L1634">
        <f t="shared" si="51"/>
        <v>2</v>
      </c>
    </row>
    <row r="1635" spans="1:12" x14ac:dyDescent="0.25">
      <c r="A1635" t="s">
        <v>8229</v>
      </c>
      <c r="B1635" t="str">
        <f>IF(ISERROR(VLOOKUP(F1635,STEP!A:A, 1, FALSE)), "N", "Y")</f>
        <v>N</v>
      </c>
      <c r="C1635" t="str">
        <f>IF(ISERROR(VLOOKUP(E1635, BibleInEveryLanguageTexts!A:A, 1, FALSE)), "N", "Y")</f>
        <v>N</v>
      </c>
      <c r="D1635" t="str">
        <f t="shared" si="50"/>
        <v>X</v>
      </c>
      <c r="E1635" t="s">
        <v>8230</v>
      </c>
      <c r="F1635" t="s">
        <v>8231</v>
      </c>
      <c r="G1635" t="s">
        <v>2858</v>
      </c>
      <c r="H1635" t="s">
        <v>8232</v>
      </c>
      <c r="I1635" t="s">
        <v>2661</v>
      </c>
      <c r="J1635" t="str">
        <f>IF(0 = IFERROR(VLOOKUP(DBL_FullList!I1635, ContactsDbl!B:D, 2, FALSE), ""), "", IFERROR(VLOOKUP(DBL_FullList!I1635, ContactsDbl!B:D, 2, FALSE), ""))</f>
        <v>dbladmin_intl@sil.org</v>
      </c>
      <c r="K1635" t="str">
        <f>IF(0 = IFERROR(VLOOKUP(DBL_FullList!I1635,ContactsDbl!B:D, 3, FALSE), ""), "", IFERROR(VLOOKUP(DBL_FullList!I1635, ContactsDbl!B:D, 3, FALSE), ""))</f>
        <v>http://www.wycliffe.org</v>
      </c>
      <c r="L1635">
        <f t="shared" si="51"/>
        <v>2</v>
      </c>
    </row>
    <row r="1636" spans="1:12" x14ac:dyDescent="0.25">
      <c r="A1636" s="1" t="s">
        <v>8233</v>
      </c>
      <c r="B1636" t="str">
        <f>IF(ISERROR(VLOOKUP(F1636,STEP!A:A, 1, FALSE)), "N", "Y")</f>
        <v>Y</v>
      </c>
      <c r="C1636" t="str">
        <f>IF(ISERROR(VLOOKUP(E1636, BibleInEveryLanguageTexts!A:A, 1, FALSE)), "N", "Y")</f>
        <v>N</v>
      </c>
      <c r="D1636" t="str">
        <f t="shared" si="50"/>
        <v/>
      </c>
      <c r="E1636" t="s">
        <v>8234</v>
      </c>
      <c r="F1636" t="s">
        <v>8235</v>
      </c>
      <c r="G1636" t="s">
        <v>4050</v>
      </c>
      <c r="H1636" t="s">
        <v>8236</v>
      </c>
      <c r="I1636" t="s">
        <v>2661</v>
      </c>
      <c r="J1636" t="str">
        <f>IF(0 = IFERROR(VLOOKUP(DBL_FullList!I1636, ContactsDbl!B:D, 2, FALSE), ""), "", IFERROR(VLOOKUP(DBL_FullList!I1636, ContactsDbl!B:D, 2, FALSE), ""))</f>
        <v>dbladmin_intl@sil.org</v>
      </c>
      <c r="K1636" t="str">
        <f>IF(0 = IFERROR(VLOOKUP(DBL_FullList!I1636,ContactsDbl!B:D, 3, FALSE), ""), "", IFERROR(VLOOKUP(DBL_FullList!I1636, ContactsDbl!B:D, 3, FALSE), ""))</f>
        <v>http://www.wycliffe.org</v>
      </c>
      <c r="L1636">
        <f t="shared" si="51"/>
        <v>2</v>
      </c>
    </row>
    <row r="1637" spans="1:12" x14ac:dyDescent="0.25">
      <c r="A1637" t="s">
        <v>8237</v>
      </c>
      <c r="B1637" t="str">
        <f>IF(ISERROR(VLOOKUP(F1637,STEP!A:A, 1, FALSE)), "N", "Y")</f>
        <v>N</v>
      </c>
      <c r="C1637" t="str">
        <f>IF(ISERROR(VLOOKUP(E1637, BibleInEveryLanguageTexts!A:A, 1, FALSE)), "N", "Y")</f>
        <v>N</v>
      </c>
      <c r="D1637" t="str">
        <f t="shared" si="50"/>
        <v>X</v>
      </c>
      <c r="E1637" t="s">
        <v>7074</v>
      </c>
      <c r="F1637" t="s">
        <v>7075</v>
      </c>
      <c r="G1637" t="s">
        <v>25</v>
      </c>
      <c r="H1637" t="s">
        <v>8238</v>
      </c>
      <c r="I1637" t="s">
        <v>2032</v>
      </c>
      <c r="J1637" t="str">
        <f>IF(0 = IFERROR(VLOOKUP(DBL_FullList!I1637, ContactsDbl!B:D, 2, FALSE), ""), "", IFERROR(VLOOKUP(DBL_FullList!I1637, ContactsDbl!B:D, 2, FALSE), ""))</f>
        <v>paul.eckert@biblesociety.org.au</v>
      </c>
      <c r="K1637" t="str">
        <f>IF(0 = IFERROR(VLOOKUP(DBL_FullList!I1637,ContactsDbl!B:D, 3, FALSE), ""), "", IFERROR(VLOOKUP(DBL_FullList!I1637, ContactsDbl!B:D, 3, FALSE), ""))</f>
        <v>http://www.biblesociety.org.au</v>
      </c>
      <c r="L1637">
        <f t="shared" si="51"/>
        <v>2</v>
      </c>
    </row>
    <row r="1638" spans="1:12" x14ac:dyDescent="0.25">
      <c r="A1638" t="s">
        <v>8239</v>
      </c>
      <c r="B1638" t="str">
        <f>IF(ISERROR(VLOOKUP(F1638,STEP!A:A, 1, FALSE)), "N", "Y")</f>
        <v>N</v>
      </c>
      <c r="C1638" t="str">
        <f>IF(ISERROR(VLOOKUP(E1638, BibleInEveryLanguageTexts!A:A, 1, FALSE)), "N", "Y")</f>
        <v>N</v>
      </c>
      <c r="D1638" t="str">
        <f t="shared" si="50"/>
        <v>X</v>
      </c>
      <c r="E1638" t="s">
        <v>1253</v>
      </c>
      <c r="F1638" t="s">
        <v>3819</v>
      </c>
      <c r="G1638" t="s">
        <v>3820</v>
      </c>
      <c r="H1638" t="s">
        <v>8240</v>
      </c>
      <c r="I1638" t="s">
        <v>2009</v>
      </c>
      <c r="J1638" t="str">
        <f>IF(0 = IFERROR(VLOOKUP(DBL_FullList!I1638, ContactsDbl!B:D, 2, FALSE), ""), "", IFERROR(VLOOKUP(DBL_FullList!I1638, ContactsDbl!B:D, 2, FALSE), ""))</f>
        <v>jwatson@biblesociety.org.nz</v>
      </c>
      <c r="K1638" t="str">
        <f>IF(0 = IFERROR(VLOOKUP(DBL_FullList!I1638,ContactsDbl!B:D, 3, FALSE), ""), "", IFERROR(VLOOKUP(DBL_FullList!I1638, ContactsDbl!B:D, 3, FALSE), ""))</f>
        <v>http://www.biblesociety.org.nz/</v>
      </c>
      <c r="L1638">
        <f t="shared" si="51"/>
        <v>2</v>
      </c>
    </row>
    <row r="1639" spans="1:12" x14ac:dyDescent="0.25">
      <c r="A1639" t="s">
        <v>8241</v>
      </c>
      <c r="B1639" t="str">
        <f>IF(ISERROR(VLOOKUP(F1639,STEP!A:A, 1, FALSE)), "N", "Y")</f>
        <v>N</v>
      </c>
      <c r="C1639" t="str">
        <f>IF(ISERROR(VLOOKUP(E1639, BibleInEveryLanguageTexts!A:A, 1, FALSE)), "N", "Y")</f>
        <v>N</v>
      </c>
      <c r="D1639" t="str">
        <f t="shared" si="50"/>
        <v>X</v>
      </c>
      <c r="E1639" t="s">
        <v>8242</v>
      </c>
      <c r="F1639" t="s">
        <v>8243</v>
      </c>
      <c r="G1639" t="s">
        <v>2858</v>
      </c>
      <c r="H1639" t="s">
        <v>8244</v>
      </c>
      <c r="I1639" t="s">
        <v>2661</v>
      </c>
      <c r="J1639" t="str">
        <f>IF(0 = IFERROR(VLOOKUP(DBL_FullList!I1639, ContactsDbl!B:D, 2, FALSE), ""), "", IFERROR(VLOOKUP(DBL_FullList!I1639, ContactsDbl!B:D, 2, FALSE), ""))</f>
        <v>dbladmin_intl@sil.org</v>
      </c>
      <c r="K1639" t="str">
        <f>IF(0 = IFERROR(VLOOKUP(DBL_FullList!I1639,ContactsDbl!B:D, 3, FALSE), ""), "", IFERROR(VLOOKUP(DBL_FullList!I1639, ContactsDbl!B:D, 3, FALSE), ""))</f>
        <v>http://www.wycliffe.org</v>
      </c>
      <c r="L1639">
        <f t="shared" si="51"/>
        <v>2</v>
      </c>
    </row>
    <row r="1640" spans="1:12" x14ac:dyDescent="0.25">
      <c r="A1640" t="s">
        <v>8245</v>
      </c>
      <c r="B1640" t="str">
        <f>IF(ISERROR(VLOOKUP(F1640,STEP!A:A, 1, FALSE)), "N", "Y")</f>
        <v>N</v>
      </c>
      <c r="C1640" t="str">
        <f>IF(ISERROR(VLOOKUP(E1640, BibleInEveryLanguageTexts!A:A, 1, FALSE)), "N", "Y")</f>
        <v>N</v>
      </c>
      <c r="D1640" t="str">
        <f t="shared" si="50"/>
        <v>X</v>
      </c>
      <c r="E1640" t="s">
        <v>8246</v>
      </c>
      <c r="F1640" t="s">
        <v>8247</v>
      </c>
      <c r="G1640" t="s">
        <v>2858</v>
      </c>
      <c r="H1640" t="s">
        <v>8248</v>
      </c>
      <c r="I1640" t="s">
        <v>2661</v>
      </c>
      <c r="J1640" t="str">
        <f>IF(0 = IFERROR(VLOOKUP(DBL_FullList!I1640, ContactsDbl!B:D, 2, FALSE), ""), "", IFERROR(VLOOKUP(DBL_FullList!I1640, ContactsDbl!B:D, 2, FALSE), ""))</f>
        <v>dbladmin_intl@sil.org</v>
      </c>
      <c r="K1640" t="str">
        <f>IF(0 = IFERROR(VLOOKUP(DBL_FullList!I1640,ContactsDbl!B:D, 3, FALSE), ""), "", IFERROR(VLOOKUP(DBL_FullList!I1640, ContactsDbl!B:D, 3, FALSE), ""))</f>
        <v>http://www.wycliffe.org</v>
      </c>
      <c r="L1640">
        <f t="shared" si="51"/>
        <v>2</v>
      </c>
    </row>
    <row r="1641" spans="1:12" x14ac:dyDescent="0.25">
      <c r="A1641" t="s">
        <v>8249</v>
      </c>
      <c r="B1641" t="str">
        <f>IF(ISERROR(VLOOKUP(F1641,STEP!A:A, 1, FALSE)), "N", "Y")</f>
        <v>N</v>
      </c>
      <c r="C1641" t="str">
        <f>IF(ISERROR(VLOOKUP(E1641, BibleInEveryLanguageTexts!A:A, 1, FALSE)), "N", "Y")</f>
        <v>N</v>
      </c>
      <c r="D1641" t="str">
        <f t="shared" si="50"/>
        <v>X</v>
      </c>
      <c r="E1641" t="s">
        <v>8250</v>
      </c>
      <c r="F1641" t="s">
        <v>8251</v>
      </c>
      <c r="G1641" t="s">
        <v>4050</v>
      </c>
      <c r="H1641" t="s">
        <v>8252</v>
      </c>
      <c r="I1641" t="s">
        <v>2661</v>
      </c>
      <c r="J1641" t="str">
        <f>IF(0 = IFERROR(VLOOKUP(DBL_FullList!I1641, ContactsDbl!B:D, 2, FALSE), ""), "", IFERROR(VLOOKUP(DBL_FullList!I1641, ContactsDbl!B:D, 2, FALSE), ""))</f>
        <v>dbladmin_intl@sil.org</v>
      </c>
      <c r="K1641" t="str">
        <f>IF(0 = IFERROR(VLOOKUP(DBL_FullList!I1641,ContactsDbl!B:D, 3, FALSE), ""), "", IFERROR(VLOOKUP(DBL_FullList!I1641, ContactsDbl!B:D, 3, FALSE), ""))</f>
        <v>http://www.wycliffe.org</v>
      </c>
      <c r="L1641">
        <f t="shared" si="51"/>
        <v>2</v>
      </c>
    </row>
    <row r="1642" spans="1:12" x14ac:dyDescent="0.25">
      <c r="A1642" t="s">
        <v>8253</v>
      </c>
      <c r="B1642" t="str">
        <f>IF(ISERROR(VLOOKUP(F1642,STEP!A:A, 1, FALSE)), "N", "Y")</f>
        <v>N</v>
      </c>
      <c r="C1642" t="str">
        <f>IF(ISERROR(VLOOKUP(E1642, BibleInEveryLanguageTexts!A:A, 1, FALSE)), "N", "Y")</f>
        <v>N</v>
      </c>
      <c r="D1642" t="str">
        <f t="shared" si="50"/>
        <v>X</v>
      </c>
      <c r="E1642" t="s">
        <v>8254</v>
      </c>
      <c r="F1642" t="s">
        <v>8255</v>
      </c>
      <c r="G1642" t="s">
        <v>4050</v>
      </c>
      <c r="H1642" t="s">
        <v>8256</v>
      </c>
      <c r="I1642" t="s">
        <v>2661</v>
      </c>
      <c r="J1642" t="str">
        <f>IF(0 = IFERROR(VLOOKUP(DBL_FullList!I1642, ContactsDbl!B:D, 2, FALSE), ""), "", IFERROR(VLOOKUP(DBL_FullList!I1642, ContactsDbl!B:D, 2, FALSE), ""))</f>
        <v>dbladmin_intl@sil.org</v>
      </c>
      <c r="K1642" t="str">
        <f>IF(0 = IFERROR(VLOOKUP(DBL_FullList!I1642,ContactsDbl!B:D, 3, FALSE), ""), "", IFERROR(VLOOKUP(DBL_FullList!I1642, ContactsDbl!B:D, 3, FALSE), ""))</f>
        <v>http://www.wycliffe.org</v>
      </c>
      <c r="L1642">
        <f t="shared" si="51"/>
        <v>2</v>
      </c>
    </row>
    <row r="1643" spans="1:12" x14ac:dyDescent="0.25">
      <c r="A1643" t="s">
        <v>8257</v>
      </c>
      <c r="B1643" t="str">
        <f>IF(ISERROR(VLOOKUP(F1643,STEP!A:A, 1, FALSE)), "N", "Y")</f>
        <v>N</v>
      </c>
      <c r="C1643" t="str">
        <f>IF(ISERROR(VLOOKUP(E1643, BibleInEveryLanguageTexts!A:A, 1, FALSE)), "N", "Y")</f>
        <v>N</v>
      </c>
      <c r="D1643" t="str">
        <f t="shared" si="50"/>
        <v>X</v>
      </c>
      <c r="E1643" t="s">
        <v>8258</v>
      </c>
      <c r="F1643" t="s">
        <v>8259</v>
      </c>
      <c r="G1643" t="s">
        <v>2858</v>
      </c>
      <c r="H1643" t="s">
        <v>8260</v>
      </c>
      <c r="I1643" t="s">
        <v>2661</v>
      </c>
      <c r="J1643" t="str">
        <f>IF(0 = IFERROR(VLOOKUP(DBL_FullList!I1643, ContactsDbl!B:D, 2, FALSE), ""), "", IFERROR(VLOOKUP(DBL_FullList!I1643, ContactsDbl!B:D, 2, FALSE), ""))</f>
        <v>dbladmin_intl@sil.org</v>
      </c>
      <c r="K1643" t="str">
        <f>IF(0 = IFERROR(VLOOKUP(DBL_FullList!I1643,ContactsDbl!B:D, 3, FALSE), ""), "", IFERROR(VLOOKUP(DBL_FullList!I1643, ContactsDbl!B:D, 3, FALSE), ""))</f>
        <v>http://www.wycliffe.org</v>
      </c>
      <c r="L1643">
        <f t="shared" si="51"/>
        <v>2</v>
      </c>
    </row>
    <row r="1644" spans="1:12" x14ac:dyDescent="0.25">
      <c r="A1644" t="s">
        <v>8261</v>
      </c>
      <c r="B1644" t="str">
        <f>IF(ISERROR(VLOOKUP(F1644,STEP!A:A, 1, FALSE)), "N", "Y")</f>
        <v>N</v>
      </c>
      <c r="C1644" t="str">
        <f>IF(ISERROR(VLOOKUP(E1644, BibleInEveryLanguageTexts!A:A, 1, FALSE)), "N", "Y")</f>
        <v>N</v>
      </c>
      <c r="D1644" t="str">
        <f t="shared" si="50"/>
        <v>X</v>
      </c>
      <c r="E1644" t="s">
        <v>8262</v>
      </c>
      <c r="F1644" t="s">
        <v>5434</v>
      </c>
      <c r="G1644" t="s">
        <v>5239</v>
      </c>
      <c r="H1644" t="s">
        <v>8263</v>
      </c>
      <c r="I1644" t="s">
        <v>2487</v>
      </c>
      <c r="J1644" t="str">
        <f>IF(0 = IFERROR(VLOOKUP(DBL_FullList!I1644, ContactsDbl!B:D, 2, FALSE), ""), "", IFERROR(VLOOKUP(DBL_FullList!I1644, ContactsDbl!B:D, 2, FALSE), ""))</f>
        <v/>
      </c>
      <c r="K1644" t="str">
        <f>IF(0 = IFERROR(VLOOKUP(DBL_FullList!I1644,ContactsDbl!B:D, 3, FALSE), ""), "", IFERROR(VLOOKUP(DBL_FullList!I1644, ContactsDbl!B:D, 3, FALSE), ""))</f>
        <v>http://www.bibelselskapet.no/</v>
      </c>
      <c r="L1644">
        <f t="shared" si="51"/>
        <v>1</v>
      </c>
    </row>
    <row r="1645" spans="1:12" x14ac:dyDescent="0.25">
      <c r="A1645" t="s">
        <v>8264</v>
      </c>
      <c r="B1645" t="str">
        <f>IF(ISERROR(VLOOKUP(F1645,STEP!A:A, 1, FALSE)), "N", "Y")</f>
        <v>N</v>
      </c>
      <c r="C1645" t="str">
        <f>IF(ISERROR(VLOOKUP(E1645, BibleInEveryLanguageTexts!A:A, 1, FALSE)), "N", "Y")</f>
        <v>N</v>
      </c>
      <c r="D1645" t="str">
        <f t="shared" si="50"/>
        <v>X</v>
      </c>
      <c r="E1645" t="s">
        <v>8265</v>
      </c>
      <c r="F1645" t="s">
        <v>8266</v>
      </c>
      <c r="G1645" t="s">
        <v>4050</v>
      </c>
      <c r="H1645" t="s">
        <v>8267</v>
      </c>
      <c r="I1645" t="s">
        <v>2661</v>
      </c>
      <c r="J1645" t="str">
        <f>IF(0 = IFERROR(VLOOKUP(DBL_FullList!I1645, ContactsDbl!B:D, 2, FALSE), ""), "", IFERROR(VLOOKUP(DBL_FullList!I1645, ContactsDbl!B:D, 2, FALSE), ""))</f>
        <v>dbladmin_intl@sil.org</v>
      </c>
      <c r="K1645" t="str">
        <f>IF(0 = IFERROR(VLOOKUP(DBL_FullList!I1645,ContactsDbl!B:D, 3, FALSE), ""), "", IFERROR(VLOOKUP(DBL_FullList!I1645, ContactsDbl!B:D, 3, FALSE), ""))</f>
        <v>http://www.wycliffe.org</v>
      </c>
      <c r="L1645">
        <f t="shared" si="51"/>
        <v>2</v>
      </c>
    </row>
    <row r="1646" spans="1:12" x14ac:dyDescent="0.25">
      <c r="A1646" t="s">
        <v>8268</v>
      </c>
      <c r="B1646" t="str">
        <f>IF(ISERROR(VLOOKUP(F1646,STEP!A:A, 1, FALSE)), "N", "Y")</f>
        <v>N</v>
      </c>
      <c r="C1646" t="str">
        <f>IF(ISERROR(VLOOKUP(E1646, BibleInEveryLanguageTexts!A:A, 1, FALSE)), "N", "Y")</f>
        <v>N</v>
      </c>
      <c r="D1646" t="str">
        <f t="shared" si="50"/>
        <v>X</v>
      </c>
      <c r="E1646" t="s">
        <v>8269</v>
      </c>
      <c r="F1646" t="s">
        <v>8270</v>
      </c>
      <c r="G1646" t="s">
        <v>4050</v>
      </c>
      <c r="H1646" t="s">
        <v>8271</v>
      </c>
      <c r="I1646" t="s">
        <v>2661</v>
      </c>
      <c r="J1646" t="str">
        <f>IF(0 = IFERROR(VLOOKUP(DBL_FullList!I1646, ContactsDbl!B:D, 2, FALSE), ""), "", IFERROR(VLOOKUP(DBL_FullList!I1646, ContactsDbl!B:D, 2, FALSE), ""))</f>
        <v>dbladmin_intl@sil.org</v>
      </c>
      <c r="K1646" t="str">
        <f>IF(0 = IFERROR(VLOOKUP(DBL_FullList!I1646,ContactsDbl!B:D, 3, FALSE), ""), "", IFERROR(VLOOKUP(DBL_FullList!I1646, ContactsDbl!B:D, 3, FALSE), ""))</f>
        <v>http://www.wycliffe.org</v>
      </c>
      <c r="L1646">
        <f t="shared" si="51"/>
        <v>2</v>
      </c>
    </row>
    <row r="1647" spans="1:12" x14ac:dyDescent="0.25">
      <c r="A1647" t="s">
        <v>8272</v>
      </c>
      <c r="B1647" t="str">
        <f>IF(ISERROR(VLOOKUP(F1647,STEP!A:A, 1, FALSE)), "N", "Y")</f>
        <v>N</v>
      </c>
      <c r="C1647" t="str">
        <f>IF(ISERROR(VLOOKUP(E1647, BibleInEveryLanguageTexts!A:A, 1, FALSE)), "N", "Y")</f>
        <v>N</v>
      </c>
      <c r="D1647" t="str">
        <f t="shared" si="50"/>
        <v>X</v>
      </c>
      <c r="E1647" t="s">
        <v>8273</v>
      </c>
      <c r="F1647" t="s">
        <v>8274</v>
      </c>
      <c r="G1647" t="s">
        <v>4050</v>
      </c>
      <c r="H1647" t="s">
        <v>8275</v>
      </c>
      <c r="I1647" t="s">
        <v>2661</v>
      </c>
      <c r="J1647" t="str">
        <f>IF(0 = IFERROR(VLOOKUP(DBL_FullList!I1647, ContactsDbl!B:D, 2, FALSE), ""), "", IFERROR(VLOOKUP(DBL_FullList!I1647, ContactsDbl!B:D, 2, FALSE), ""))</f>
        <v>dbladmin_intl@sil.org</v>
      </c>
      <c r="K1647" t="str">
        <f>IF(0 = IFERROR(VLOOKUP(DBL_FullList!I1647,ContactsDbl!B:D, 3, FALSE), ""), "", IFERROR(VLOOKUP(DBL_FullList!I1647, ContactsDbl!B:D, 3, FALSE), ""))</f>
        <v>http://www.wycliffe.org</v>
      </c>
      <c r="L1647">
        <f t="shared" si="51"/>
        <v>2</v>
      </c>
    </row>
    <row r="1648" spans="1:12" x14ac:dyDescent="0.25">
      <c r="A1648" t="s">
        <v>8276</v>
      </c>
      <c r="B1648" t="str">
        <f>IF(ISERROR(VLOOKUP(F1648,STEP!A:A, 1, FALSE)), "N", "Y")</f>
        <v>N</v>
      </c>
      <c r="C1648" t="str">
        <f>IF(ISERROR(VLOOKUP(E1648, BibleInEveryLanguageTexts!A:A, 1, FALSE)), "N", "Y")</f>
        <v>N</v>
      </c>
      <c r="D1648" t="str">
        <f t="shared" si="50"/>
        <v>X</v>
      </c>
      <c r="E1648" t="s">
        <v>8277</v>
      </c>
      <c r="F1648" t="s">
        <v>8278</v>
      </c>
      <c r="G1648" t="s">
        <v>4050</v>
      </c>
      <c r="H1648" t="s">
        <v>8279</v>
      </c>
      <c r="I1648" t="s">
        <v>2661</v>
      </c>
      <c r="J1648" t="str">
        <f>IF(0 = IFERROR(VLOOKUP(DBL_FullList!I1648, ContactsDbl!B:D, 2, FALSE), ""), "", IFERROR(VLOOKUP(DBL_FullList!I1648, ContactsDbl!B:D, 2, FALSE), ""))</f>
        <v>dbladmin_intl@sil.org</v>
      </c>
      <c r="K1648" t="str">
        <f>IF(0 = IFERROR(VLOOKUP(DBL_FullList!I1648,ContactsDbl!B:D, 3, FALSE), ""), "", IFERROR(VLOOKUP(DBL_FullList!I1648, ContactsDbl!B:D, 3, FALSE), ""))</f>
        <v>http://www.wycliffe.org</v>
      </c>
      <c r="L1648">
        <f t="shared" si="51"/>
        <v>2</v>
      </c>
    </row>
    <row r="1649" spans="1:12" x14ac:dyDescent="0.25">
      <c r="A1649" t="s">
        <v>8280</v>
      </c>
      <c r="B1649" t="str">
        <f>IF(ISERROR(VLOOKUP(F1649,STEP!A:A, 1, FALSE)), "N", "Y")</f>
        <v>N</v>
      </c>
      <c r="C1649" t="str">
        <f>IF(ISERROR(VLOOKUP(E1649, BibleInEveryLanguageTexts!A:A, 1, FALSE)), "N", "Y")</f>
        <v>N</v>
      </c>
      <c r="D1649" t="str">
        <f t="shared" si="50"/>
        <v>X</v>
      </c>
      <c r="E1649" t="s">
        <v>8281</v>
      </c>
      <c r="F1649" t="s">
        <v>8282</v>
      </c>
      <c r="G1649" t="s">
        <v>2858</v>
      </c>
      <c r="H1649" t="s">
        <v>8283</v>
      </c>
      <c r="I1649" t="s">
        <v>2661</v>
      </c>
      <c r="J1649" t="str">
        <f>IF(0 = IFERROR(VLOOKUP(DBL_FullList!I1649, ContactsDbl!B:D, 2, FALSE), ""), "", IFERROR(VLOOKUP(DBL_FullList!I1649, ContactsDbl!B:D, 2, FALSE), ""))</f>
        <v>dbladmin_intl@sil.org</v>
      </c>
      <c r="K1649" t="str">
        <f>IF(0 = IFERROR(VLOOKUP(DBL_FullList!I1649,ContactsDbl!B:D, 3, FALSE), ""), "", IFERROR(VLOOKUP(DBL_FullList!I1649, ContactsDbl!B:D, 3, FALSE), ""))</f>
        <v>http://www.wycliffe.org</v>
      </c>
      <c r="L1649">
        <f t="shared" si="51"/>
        <v>2</v>
      </c>
    </row>
    <row r="1650" spans="1:12" x14ac:dyDescent="0.25">
      <c r="A1650" t="s">
        <v>95</v>
      </c>
      <c r="B1650" t="str">
        <f>IF(ISERROR(VLOOKUP(F1650,STEP!A:A, 1, FALSE)), "N", "Y")</f>
        <v>N</v>
      </c>
      <c r="C1650" t="str">
        <f>IF(ISERROR(VLOOKUP(E1650, BibleInEveryLanguageTexts!A:A, 1, FALSE)), "N", "Y")</f>
        <v>N</v>
      </c>
      <c r="D1650" t="str">
        <f t="shared" si="50"/>
        <v>X</v>
      </c>
      <c r="E1650" t="s">
        <v>94</v>
      </c>
      <c r="F1650" t="s">
        <v>93</v>
      </c>
      <c r="G1650" t="s">
        <v>48</v>
      </c>
      <c r="H1650" t="s">
        <v>91</v>
      </c>
      <c r="I1650" t="s">
        <v>45</v>
      </c>
      <c r="J1650" t="str">
        <f>IF(0 = IFERROR(VLOOKUP(DBL_FullList!I1650, ContactsDbl!B:D, 2, FALSE), ""), "", IFERROR(VLOOKUP(DBL_FullList!I1650, ContactsDbl!B:D, 2, FALSE), ""))</f>
        <v>pbt@pbti.org</v>
      </c>
      <c r="K1650" t="str">
        <f>IF(0 = IFERROR(VLOOKUP(DBL_FullList!I1650,ContactsDbl!B:D, 3, FALSE), ""), "", IFERROR(VLOOKUP(DBL_FullList!I1650, ContactsDbl!B:D, 3, FALSE), ""))</f>
        <v>www.pioneerbible.org</v>
      </c>
      <c r="L1650">
        <f t="shared" si="51"/>
        <v>2</v>
      </c>
    </row>
    <row r="1651" spans="1:12" x14ac:dyDescent="0.25">
      <c r="A1651" t="s">
        <v>8284</v>
      </c>
      <c r="B1651" t="str">
        <f>IF(ISERROR(VLOOKUP(F1651,STEP!A:A, 1, FALSE)), "N", "Y")</f>
        <v>Y</v>
      </c>
      <c r="C1651" t="str">
        <f>IF(ISERROR(VLOOKUP(E1651, BibleInEveryLanguageTexts!A:A, 1, FALSE)), "N", "Y")</f>
        <v>N</v>
      </c>
      <c r="D1651" t="str">
        <f t="shared" si="50"/>
        <v/>
      </c>
      <c r="E1651" t="s">
        <v>8285</v>
      </c>
      <c r="F1651" t="s">
        <v>8286</v>
      </c>
      <c r="G1651" t="s">
        <v>110</v>
      </c>
      <c r="H1651" t="s">
        <v>8287</v>
      </c>
      <c r="I1651" t="s">
        <v>2370</v>
      </c>
      <c r="J1651" t="str">
        <f>IF(0 = IFERROR(VLOOKUP(DBL_FullList!I1651, ContactsDbl!B:D, 2, FALSE), ""), "", IFERROR(VLOOKUP(DBL_FullList!I1651, ContactsDbl!B:D, 2, FALSE), ""))</f>
        <v>anwartjen@alkitab.or.id</v>
      </c>
      <c r="K1651" t="str">
        <f>IF(0 = IFERROR(VLOOKUP(DBL_FullList!I1651,ContactsDbl!B:D, 3, FALSE), ""), "", IFERROR(VLOOKUP(DBL_FullList!I1651, ContactsDbl!B:D, 3, FALSE), ""))</f>
        <v>http://www.alkitab.or.id/</v>
      </c>
      <c r="L1651">
        <f t="shared" si="51"/>
        <v>2</v>
      </c>
    </row>
    <row r="1652" spans="1:12" x14ac:dyDescent="0.25">
      <c r="A1652" t="s">
        <v>8288</v>
      </c>
      <c r="B1652" t="str">
        <f>IF(ISERROR(VLOOKUP(F1652,STEP!A:A, 1, FALSE)), "N", "Y")</f>
        <v>N</v>
      </c>
      <c r="C1652" t="str">
        <f>IF(ISERROR(VLOOKUP(E1652, BibleInEveryLanguageTexts!A:A, 1, FALSE)), "N", "Y")</f>
        <v>N</v>
      </c>
      <c r="D1652" t="str">
        <f t="shared" si="50"/>
        <v>X</v>
      </c>
      <c r="E1652" t="s">
        <v>8289</v>
      </c>
      <c r="F1652" t="s">
        <v>8290</v>
      </c>
      <c r="G1652" t="s">
        <v>4050</v>
      </c>
      <c r="H1652" t="s">
        <v>8291</v>
      </c>
      <c r="I1652" t="s">
        <v>2661</v>
      </c>
      <c r="J1652" t="str">
        <f>IF(0 = IFERROR(VLOOKUP(DBL_FullList!I1652, ContactsDbl!B:D, 2, FALSE), ""), "", IFERROR(VLOOKUP(DBL_FullList!I1652, ContactsDbl!B:D, 2, FALSE), ""))</f>
        <v>dbladmin_intl@sil.org</v>
      </c>
      <c r="K1652" t="str">
        <f>IF(0 = IFERROR(VLOOKUP(DBL_FullList!I1652,ContactsDbl!B:D, 3, FALSE), ""), "", IFERROR(VLOOKUP(DBL_FullList!I1652, ContactsDbl!B:D, 3, FALSE), ""))</f>
        <v>http://www.wycliffe.org</v>
      </c>
      <c r="L1652">
        <f t="shared" si="51"/>
        <v>2</v>
      </c>
    </row>
    <row r="1653" spans="1:12" x14ac:dyDescent="0.25">
      <c r="A1653" t="s">
        <v>8292</v>
      </c>
      <c r="B1653" t="str">
        <f>IF(ISERROR(VLOOKUP(F1653,STEP!A:A, 1, FALSE)), "N", "Y")</f>
        <v>N</v>
      </c>
      <c r="C1653" t="str">
        <f>IF(ISERROR(VLOOKUP(E1653, BibleInEveryLanguageTexts!A:A, 1, FALSE)), "N", "Y")</f>
        <v>N</v>
      </c>
      <c r="D1653" t="str">
        <f t="shared" si="50"/>
        <v>X</v>
      </c>
      <c r="E1653" t="s">
        <v>199</v>
      </c>
      <c r="F1653" t="s">
        <v>197</v>
      </c>
      <c r="G1653" t="s">
        <v>198</v>
      </c>
      <c r="H1653" t="s">
        <v>8293</v>
      </c>
      <c r="I1653" t="s">
        <v>2591</v>
      </c>
      <c r="J1653" t="str">
        <f>IF(0 = IFERROR(VLOOKUP(DBL_FullList!I1653, ContactsDbl!B:D, 2, FALSE), ""), "", IFERROR(VLOOKUP(DBL_FullList!I1653, ContactsDbl!B:D, 2, FALSE), ""))</f>
        <v/>
      </c>
      <c r="K1653" t="str">
        <f>IF(0 = IFERROR(VLOOKUP(DBL_FullList!I1653,ContactsDbl!B:D, 3, FALSE), ""), "", IFERROR(VLOOKUP(DBL_FullList!I1653, ContactsDbl!B:D, 3, FALSE), ""))</f>
        <v>http://sociedadbiblica.org</v>
      </c>
      <c r="L1653">
        <f t="shared" si="51"/>
        <v>1</v>
      </c>
    </row>
    <row r="1654" spans="1:12" x14ac:dyDescent="0.25">
      <c r="A1654" t="s">
        <v>8294</v>
      </c>
      <c r="B1654" t="str">
        <f>IF(ISERROR(VLOOKUP(F1654,STEP!A:A, 1, FALSE)), "N", "Y")</f>
        <v>N</v>
      </c>
      <c r="C1654" t="str">
        <f>IF(ISERROR(VLOOKUP(E1654, BibleInEveryLanguageTexts!A:A, 1, FALSE)), "N", "Y")</f>
        <v>N</v>
      </c>
      <c r="D1654" t="str">
        <f t="shared" si="50"/>
        <v>X</v>
      </c>
      <c r="E1654" t="s">
        <v>8295</v>
      </c>
      <c r="F1654" t="s">
        <v>8296</v>
      </c>
      <c r="G1654" t="s">
        <v>2858</v>
      </c>
      <c r="H1654" t="s">
        <v>8297</v>
      </c>
      <c r="I1654" t="s">
        <v>2661</v>
      </c>
      <c r="J1654" t="str">
        <f>IF(0 = IFERROR(VLOOKUP(DBL_FullList!I1654, ContactsDbl!B:D, 2, FALSE), ""), "", IFERROR(VLOOKUP(DBL_FullList!I1654, ContactsDbl!B:D, 2, FALSE), ""))</f>
        <v>dbladmin_intl@sil.org</v>
      </c>
      <c r="K1654" t="str">
        <f>IF(0 = IFERROR(VLOOKUP(DBL_FullList!I1654,ContactsDbl!B:D, 3, FALSE), ""), "", IFERROR(VLOOKUP(DBL_FullList!I1654, ContactsDbl!B:D, 3, FALSE), ""))</f>
        <v>http://www.wycliffe.org</v>
      </c>
      <c r="L1654">
        <f t="shared" si="51"/>
        <v>2</v>
      </c>
    </row>
    <row r="1655" spans="1:12" x14ac:dyDescent="0.25">
      <c r="A1655" t="s">
        <v>117</v>
      </c>
      <c r="B1655" t="str">
        <f>IF(ISERROR(VLOOKUP(F1655,STEP!A:A, 1, FALSE)), "N", "Y")</f>
        <v>N</v>
      </c>
      <c r="C1655" t="str">
        <f>IF(ISERROR(VLOOKUP(E1655, BibleInEveryLanguageTexts!A:A, 1, FALSE)), "N", "Y")</f>
        <v>N</v>
      </c>
      <c r="D1655" t="str">
        <f t="shared" si="50"/>
        <v>X</v>
      </c>
      <c r="E1655" t="s">
        <v>116</v>
      </c>
      <c r="F1655" t="s">
        <v>114</v>
      </c>
      <c r="G1655" t="s">
        <v>115</v>
      </c>
      <c r="H1655" t="s">
        <v>113</v>
      </c>
      <c r="I1655" t="s">
        <v>24</v>
      </c>
      <c r="J1655" t="str">
        <f>IF(0 = IFERROR(VLOOKUP(DBL_FullList!I1655, ContactsDbl!B:D, 2, FALSE), ""), "", IFERROR(VLOOKUP(DBL_FullList!I1655, ContactsDbl!B:D, 2, FALSE), ""))</f>
        <v>Michael@eBible.org</v>
      </c>
      <c r="K1655" t="str">
        <f>IF(0 = IFERROR(VLOOKUP(DBL_FullList!I1655,ContactsDbl!B:D, 3, FALSE), ""), "", IFERROR(VLOOKUP(DBL_FullList!I1655, ContactsDbl!B:D, 3, FALSE), ""))</f>
        <v>http://eBible.org</v>
      </c>
      <c r="L1655">
        <f t="shared" si="51"/>
        <v>2</v>
      </c>
    </row>
    <row r="1656" spans="1:12" x14ac:dyDescent="0.25">
      <c r="A1656" t="s">
        <v>8298</v>
      </c>
      <c r="B1656" t="str">
        <f>IF(ISERROR(VLOOKUP(F1656,STEP!A:A, 1, FALSE)), "N", "Y")</f>
        <v>N</v>
      </c>
      <c r="C1656" t="str">
        <f>IF(ISERROR(VLOOKUP(E1656, BibleInEveryLanguageTexts!A:A, 1, FALSE)), "N", "Y")</f>
        <v>N</v>
      </c>
      <c r="D1656" t="str">
        <f t="shared" si="50"/>
        <v>X</v>
      </c>
      <c r="E1656" t="s">
        <v>4733</v>
      </c>
      <c r="F1656" t="s">
        <v>4734</v>
      </c>
      <c r="G1656" t="s">
        <v>383</v>
      </c>
      <c r="H1656" t="s">
        <v>8299</v>
      </c>
      <c r="I1656" t="s">
        <v>3104</v>
      </c>
      <c r="J1656" t="str">
        <f>IF(0 = IFERROR(VLOOKUP(DBL_FullList!I1656, ContactsDbl!B:D, 2, FALSE), ""), "", IFERROR(VLOOKUP(DBL_FullList!I1656, ContactsDbl!B:D, 2, FALSE), ""))</f>
        <v/>
      </c>
      <c r="K1656" t="str">
        <f>IF(0 = IFERROR(VLOOKUP(DBL_FullList!I1656,ContactsDbl!B:D, 3, FALSE), ""), "", IFERROR(VLOOKUP(DBL_FullList!I1656, ContactsDbl!B:D, 3, FALSE), ""))</f>
        <v/>
      </c>
      <c r="L1656">
        <f t="shared" si="51"/>
        <v>0</v>
      </c>
    </row>
    <row r="1657" spans="1:12" x14ac:dyDescent="0.25">
      <c r="A1657" t="s">
        <v>130</v>
      </c>
      <c r="B1657" t="str">
        <f>IF(ISERROR(VLOOKUP(F1657,STEP!A:A, 1, FALSE)), "N", "Y")</f>
        <v>N</v>
      </c>
      <c r="C1657" t="str">
        <f>IF(ISERROR(VLOOKUP(E1657, BibleInEveryLanguageTexts!A:A, 1, FALSE)), "N", "Y")</f>
        <v>N</v>
      </c>
      <c r="D1657" t="str">
        <f t="shared" si="50"/>
        <v>X</v>
      </c>
      <c r="E1657" t="s">
        <v>129</v>
      </c>
      <c r="F1657" t="s">
        <v>128</v>
      </c>
      <c r="G1657" t="s">
        <v>102</v>
      </c>
      <c r="H1657" t="s">
        <v>8300</v>
      </c>
      <c r="I1657" t="s">
        <v>45</v>
      </c>
      <c r="J1657" t="str">
        <f>IF(0 = IFERROR(VLOOKUP(DBL_FullList!I1657, ContactsDbl!B:D, 2, FALSE), ""), "", IFERROR(VLOOKUP(DBL_FullList!I1657, ContactsDbl!B:D, 2, FALSE), ""))</f>
        <v>pbt@pbti.org</v>
      </c>
      <c r="K1657" t="str">
        <f>IF(0 = IFERROR(VLOOKUP(DBL_FullList!I1657,ContactsDbl!B:D, 3, FALSE), ""), "", IFERROR(VLOOKUP(DBL_FullList!I1657, ContactsDbl!B:D, 3, FALSE), ""))</f>
        <v>www.pioneerbible.org</v>
      </c>
      <c r="L1657">
        <f t="shared" si="51"/>
        <v>2</v>
      </c>
    </row>
    <row r="1658" spans="1:12" x14ac:dyDescent="0.25">
      <c r="A1658" t="s">
        <v>135</v>
      </c>
      <c r="B1658" t="str">
        <f>IF(ISERROR(VLOOKUP(F1658,STEP!A:A, 1, FALSE)), "N", "Y")</f>
        <v>N</v>
      </c>
      <c r="C1658" t="str">
        <f>IF(ISERROR(VLOOKUP(E1658, BibleInEveryLanguageTexts!A:A, 1, FALSE)), "N", "Y")</f>
        <v>N</v>
      </c>
      <c r="D1658" t="str">
        <f t="shared" si="50"/>
        <v>X</v>
      </c>
      <c r="E1658" t="s">
        <v>134</v>
      </c>
      <c r="F1658" t="s">
        <v>133</v>
      </c>
      <c r="G1658" t="s">
        <v>48</v>
      </c>
      <c r="H1658" t="s">
        <v>131</v>
      </c>
      <c r="I1658" t="s">
        <v>24</v>
      </c>
      <c r="J1658" t="str">
        <f>IF(0 = IFERROR(VLOOKUP(DBL_FullList!I1658, ContactsDbl!B:D, 2, FALSE), ""), "", IFERROR(VLOOKUP(DBL_FullList!I1658, ContactsDbl!B:D, 2, FALSE), ""))</f>
        <v>Michael@eBible.org</v>
      </c>
      <c r="K1658" t="str">
        <f>IF(0 = IFERROR(VLOOKUP(DBL_FullList!I1658,ContactsDbl!B:D, 3, FALSE), ""), "", IFERROR(VLOOKUP(DBL_FullList!I1658, ContactsDbl!B:D, 3, FALSE), ""))</f>
        <v>http://eBible.org</v>
      </c>
      <c r="L1658">
        <f t="shared" si="51"/>
        <v>2</v>
      </c>
    </row>
    <row r="1659" spans="1:12" x14ac:dyDescent="0.25">
      <c r="A1659" t="s">
        <v>8301</v>
      </c>
      <c r="B1659" t="str">
        <f>IF(ISERROR(VLOOKUP(F1659,STEP!A:A, 1, FALSE)), "N", "Y")</f>
        <v>N</v>
      </c>
      <c r="C1659" t="str">
        <f>IF(ISERROR(VLOOKUP(E1659, BibleInEveryLanguageTexts!A:A, 1, FALSE)), "N", "Y")</f>
        <v>N</v>
      </c>
      <c r="D1659" t="str">
        <f t="shared" si="50"/>
        <v>X</v>
      </c>
      <c r="E1659" t="s">
        <v>8302</v>
      </c>
      <c r="F1659" t="s">
        <v>8303</v>
      </c>
      <c r="G1659" t="s">
        <v>2858</v>
      </c>
      <c r="H1659" t="s">
        <v>8304</v>
      </c>
      <c r="I1659" t="s">
        <v>2661</v>
      </c>
      <c r="J1659" t="str">
        <f>IF(0 = IFERROR(VLOOKUP(DBL_FullList!I1659, ContactsDbl!B:D, 2, FALSE), ""), "", IFERROR(VLOOKUP(DBL_FullList!I1659, ContactsDbl!B:D, 2, FALSE), ""))</f>
        <v>dbladmin_intl@sil.org</v>
      </c>
      <c r="K1659" t="str">
        <f>IF(0 = IFERROR(VLOOKUP(DBL_FullList!I1659,ContactsDbl!B:D, 3, FALSE), ""), "", IFERROR(VLOOKUP(DBL_FullList!I1659, ContactsDbl!B:D, 3, FALSE), ""))</f>
        <v>http://www.wycliffe.org</v>
      </c>
      <c r="L1659">
        <f t="shared" si="51"/>
        <v>2</v>
      </c>
    </row>
    <row r="1660" spans="1:12" x14ac:dyDescent="0.25">
      <c r="A1660" t="s">
        <v>8305</v>
      </c>
      <c r="B1660" t="str">
        <f>IF(ISERROR(VLOOKUP(F1660,STEP!A:A, 1, FALSE)), "N", "Y")</f>
        <v>N</v>
      </c>
      <c r="C1660" t="str">
        <f>IF(ISERROR(VLOOKUP(E1660, BibleInEveryLanguageTexts!A:A, 1, FALSE)), "N", "Y")</f>
        <v>N</v>
      </c>
      <c r="D1660" t="str">
        <f t="shared" si="50"/>
        <v>X</v>
      </c>
      <c r="E1660" t="s">
        <v>8306</v>
      </c>
      <c r="F1660" t="s">
        <v>8307</v>
      </c>
      <c r="G1660" t="s">
        <v>3861</v>
      </c>
      <c r="H1660" t="s">
        <v>8308</v>
      </c>
      <c r="I1660" t="s">
        <v>2393</v>
      </c>
      <c r="J1660" t="str">
        <f>IF(0 = IFERROR(VLOOKUP(DBL_FullList!I1660, ContactsDbl!B:D, 2, FALSE), ""), "", IFERROR(VLOOKUP(DBL_FullList!I1660, ContactsDbl!B:D, 2, FALSE), ""))</f>
        <v>pstevens@biblesocieties.org</v>
      </c>
      <c r="K1660" t="str">
        <f>IF(0 = IFERROR(VLOOKUP(DBL_FullList!I1660,ContactsDbl!B:D, 3, FALSE), ""), "", IFERROR(VLOOKUP(DBL_FullList!I1660, ContactsDbl!B:D, 3, FALSE), ""))</f>
        <v>http://www.unitedbiblesocieties.org/society/bible-society-in-liberia/</v>
      </c>
      <c r="L1660">
        <f t="shared" si="51"/>
        <v>2</v>
      </c>
    </row>
    <row r="1661" spans="1:12" x14ac:dyDescent="0.25">
      <c r="A1661" t="s">
        <v>8309</v>
      </c>
      <c r="B1661" t="str">
        <f>IF(ISERROR(VLOOKUP(F1661,STEP!A:A, 1, FALSE)), "N", "Y")</f>
        <v>N</v>
      </c>
      <c r="C1661" t="str">
        <f>IF(ISERROR(VLOOKUP(E1661, BibleInEveryLanguageTexts!A:A, 1, FALSE)), "N", "Y")</f>
        <v>N</v>
      </c>
      <c r="D1661" t="str">
        <f t="shared" si="50"/>
        <v>X</v>
      </c>
      <c r="E1661" t="s">
        <v>8310</v>
      </c>
      <c r="F1661" t="s">
        <v>4123</v>
      </c>
      <c r="G1661" t="s">
        <v>8311</v>
      </c>
      <c r="H1661" t="s">
        <v>8312</v>
      </c>
      <c r="I1661" t="s">
        <v>2106</v>
      </c>
      <c r="J1661" t="str">
        <f>IF(0 = IFERROR(VLOOKUP(DBL_FullList!I1661, ContactsDbl!B:D, 2, FALSE), ""), "", IFERROR(VLOOKUP(DBL_FullList!I1661, ContactsDbl!B:D, 2, FALSE), ""))</f>
        <v>info@biblesociety-tanzania.org</v>
      </c>
      <c r="K1661" t="str">
        <f>IF(0 = IFERROR(VLOOKUP(DBL_FullList!I1661,ContactsDbl!B:D, 3, FALSE), ""), "", IFERROR(VLOOKUP(DBL_FullList!I1661, ContactsDbl!B:D, 3, FALSE), ""))</f>
        <v>http://biblesociety-tanzania.org/</v>
      </c>
      <c r="L1661">
        <f t="shared" si="51"/>
        <v>2</v>
      </c>
    </row>
    <row r="1662" spans="1:12" x14ac:dyDescent="0.25">
      <c r="A1662" t="s">
        <v>8313</v>
      </c>
      <c r="B1662" t="str">
        <f>IF(ISERROR(VLOOKUP(F1662,STEP!A:A, 1, FALSE)), "N", "Y")</f>
        <v>N</v>
      </c>
      <c r="C1662" t="str">
        <f>IF(ISERROR(VLOOKUP(E1662, BibleInEveryLanguageTexts!A:A, 1, FALSE)), "N", "Y")</f>
        <v>Y</v>
      </c>
      <c r="D1662" t="str">
        <f t="shared" si="50"/>
        <v/>
      </c>
      <c r="E1662" t="s">
        <v>12</v>
      </c>
      <c r="F1662" t="s">
        <v>10</v>
      </c>
      <c r="G1662" t="s">
        <v>25</v>
      </c>
      <c r="H1662" t="s">
        <v>8314</v>
      </c>
      <c r="I1662" t="s">
        <v>183</v>
      </c>
      <c r="J1662" t="str">
        <f>IF(0 = IFERROR(VLOOKUP(DBL_FullList!I1662, ContactsDbl!B:D, 2, FALSE), ""), "", IFERROR(VLOOKUP(DBL_FullList!I1662, ContactsDbl!B:D, 2, FALSE), ""))</f>
        <v>dbl@biblesocieties.org</v>
      </c>
      <c r="K1662" t="str">
        <f>IF(0 = IFERROR(VLOOKUP(DBL_FullList!I1662,ContactsDbl!B:D, 3, FALSE), ""), "", IFERROR(VLOOKUP(DBL_FullList!I1662, ContactsDbl!B:D, 3, FALSE), ""))</f>
        <v>http://www.unitedbiblesocieties.org/</v>
      </c>
      <c r="L1662">
        <f t="shared" si="51"/>
        <v>2</v>
      </c>
    </row>
    <row r="1663" spans="1:12" x14ac:dyDescent="0.25">
      <c r="A1663" t="s">
        <v>8315</v>
      </c>
      <c r="B1663" t="str">
        <f>IF(ISERROR(VLOOKUP(F1663,STEP!A:A, 1, FALSE)), "N", "Y")</f>
        <v>N</v>
      </c>
      <c r="C1663" t="str">
        <f>IF(ISERROR(VLOOKUP(E1663, BibleInEveryLanguageTexts!A:A, 1, FALSE)), "N", "Y")</f>
        <v>N</v>
      </c>
      <c r="D1663" t="str">
        <f t="shared" si="50"/>
        <v>X</v>
      </c>
      <c r="E1663" t="s">
        <v>8316</v>
      </c>
      <c r="F1663" t="s">
        <v>8317</v>
      </c>
      <c r="G1663" t="s">
        <v>2723</v>
      </c>
      <c r="H1663" t="s">
        <v>8318</v>
      </c>
      <c r="I1663" t="s">
        <v>2661</v>
      </c>
      <c r="J1663" t="str">
        <f>IF(0 = IFERROR(VLOOKUP(DBL_FullList!I1663, ContactsDbl!B:D, 2, FALSE), ""), "", IFERROR(VLOOKUP(DBL_FullList!I1663, ContactsDbl!B:D, 2, FALSE), ""))</f>
        <v>dbladmin_intl@sil.org</v>
      </c>
      <c r="K1663" t="str">
        <f>IF(0 = IFERROR(VLOOKUP(DBL_FullList!I1663,ContactsDbl!B:D, 3, FALSE), ""), "", IFERROR(VLOOKUP(DBL_FullList!I1663, ContactsDbl!B:D, 3, FALSE), ""))</f>
        <v>http://www.wycliffe.org</v>
      </c>
      <c r="L1663">
        <f t="shared" si="51"/>
        <v>2</v>
      </c>
    </row>
    <row r="1664" spans="1:12" x14ac:dyDescent="0.25">
      <c r="A1664" t="s">
        <v>141</v>
      </c>
      <c r="B1664" t="str">
        <f>IF(ISERROR(VLOOKUP(F1664,STEP!A:A, 1, FALSE)), "N", "Y")</f>
        <v>N</v>
      </c>
      <c r="C1664" t="str">
        <f>IF(ISERROR(VLOOKUP(E1664, BibleInEveryLanguageTexts!A:A, 1, FALSE)), "N", "Y")</f>
        <v>N</v>
      </c>
      <c r="D1664" t="str">
        <f t="shared" si="50"/>
        <v>X</v>
      </c>
      <c r="E1664" t="s">
        <v>140</v>
      </c>
      <c r="F1664" t="s">
        <v>138</v>
      </c>
      <c r="G1664" t="s">
        <v>139</v>
      </c>
      <c r="H1664" t="s">
        <v>136</v>
      </c>
      <c r="I1664" t="s">
        <v>2640</v>
      </c>
      <c r="J1664" t="str">
        <f>IF(0 = IFERROR(VLOOKUP(DBL_FullList!I1664, ContactsDbl!B:D, 2, FALSE), ""), "", IFERROR(VLOOKUP(DBL_FullList!I1664, ContactsDbl!B:D, 2, FALSE), ""))</f>
        <v>admin-us@twftw.org</v>
      </c>
      <c r="K1664" t="str">
        <f>IF(0 = IFERROR(VLOOKUP(DBL_FullList!I1664,ContactsDbl!B:D, 3, FALSE), ""), "", IFERROR(VLOOKUP(DBL_FullList!I1664, ContactsDbl!B:D, 3, FALSE), ""))</f>
        <v>www.twftw.org</v>
      </c>
      <c r="L1664">
        <f t="shared" si="51"/>
        <v>2</v>
      </c>
    </row>
    <row r="1665" spans="1:12" x14ac:dyDescent="0.25">
      <c r="A1665" t="s">
        <v>8319</v>
      </c>
      <c r="B1665" t="str">
        <f>IF(ISERROR(VLOOKUP(F1665,STEP!A:A, 1, FALSE)), "N", "Y")</f>
        <v>N</v>
      </c>
      <c r="C1665" t="str">
        <f>IF(ISERROR(VLOOKUP(E1665, BibleInEveryLanguageTexts!A:A, 1, FALSE)), "N", "Y")</f>
        <v>N</v>
      </c>
      <c r="D1665" t="str">
        <f t="shared" si="50"/>
        <v>X</v>
      </c>
      <c r="E1665" t="s">
        <v>116</v>
      </c>
      <c r="F1665" t="s">
        <v>114</v>
      </c>
      <c r="G1665" t="s">
        <v>115</v>
      </c>
      <c r="H1665" t="s">
        <v>8320</v>
      </c>
      <c r="I1665" t="s">
        <v>2623</v>
      </c>
      <c r="J1665" t="str">
        <f>IF(0 = IFERROR(VLOOKUP(DBL_FullList!I1665, ContactsDbl!B:D, 2, FALSE), ""), "", IFERROR(VLOOKUP(DBL_FullList!I1665, ContactsDbl!B:D, 2, FALSE), ""))</f>
        <v>seree@thaibible.or.th</v>
      </c>
      <c r="K1665" t="str">
        <f>IF(0 = IFERROR(VLOOKUP(DBL_FullList!I1665,ContactsDbl!B:D, 3, FALSE), ""), "", IFERROR(VLOOKUP(DBL_FullList!I1665, ContactsDbl!B:D, 3, FALSE), ""))</f>
        <v>http://www.thaibible.or.th/</v>
      </c>
      <c r="L1665">
        <f t="shared" si="51"/>
        <v>2</v>
      </c>
    </row>
    <row r="1666" spans="1:12" x14ac:dyDescent="0.25">
      <c r="A1666" t="s">
        <v>147</v>
      </c>
      <c r="B1666" t="str">
        <f>IF(ISERROR(VLOOKUP(F1666,STEP!A:A, 1, FALSE)), "N", "Y")</f>
        <v>N</v>
      </c>
      <c r="C1666" t="str">
        <f>IF(ISERROR(VLOOKUP(E1666, BibleInEveryLanguageTexts!A:A, 1, FALSE)), "N", "Y")</f>
        <v>N</v>
      </c>
      <c r="D1666" t="str">
        <f t="shared" si="50"/>
        <v>X</v>
      </c>
      <c r="E1666" t="s">
        <v>8321</v>
      </c>
      <c r="F1666" t="s">
        <v>144</v>
      </c>
      <c r="G1666" t="s">
        <v>145</v>
      </c>
      <c r="H1666" t="s">
        <v>8322</v>
      </c>
      <c r="I1666" t="s">
        <v>2640</v>
      </c>
      <c r="J1666" t="str">
        <f>IF(0 = IFERROR(VLOOKUP(DBL_FullList!I1666, ContactsDbl!B:D, 2, FALSE), ""), "", IFERROR(VLOOKUP(DBL_FullList!I1666, ContactsDbl!B:D, 2, FALSE), ""))</f>
        <v>admin-us@twftw.org</v>
      </c>
      <c r="K1666" t="str">
        <f>IF(0 = IFERROR(VLOOKUP(DBL_FullList!I1666,ContactsDbl!B:D, 3, FALSE), ""), "", IFERROR(VLOOKUP(DBL_FullList!I1666, ContactsDbl!B:D, 3, FALSE), ""))</f>
        <v>www.twftw.org</v>
      </c>
      <c r="L1666">
        <f t="shared" si="51"/>
        <v>2</v>
      </c>
    </row>
    <row r="1667" spans="1:12" x14ac:dyDescent="0.25">
      <c r="A1667" t="s">
        <v>8323</v>
      </c>
      <c r="B1667" t="str">
        <f>IF(ISERROR(VLOOKUP(F1667,STEP!A:A, 1, FALSE)), "N", "Y")</f>
        <v>N</v>
      </c>
      <c r="C1667" t="str">
        <f>IF(ISERROR(VLOOKUP(E1667, BibleInEveryLanguageTexts!A:A, 1, FALSE)), "N", "Y")</f>
        <v>N</v>
      </c>
      <c r="D1667" t="str">
        <f t="shared" ref="D1667:D1730" si="52">IF(AND("N" = B1667, "N" = C1667), "X", "")</f>
        <v>X</v>
      </c>
      <c r="E1667" t="s">
        <v>8324</v>
      </c>
      <c r="F1667" t="s">
        <v>8325</v>
      </c>
      <c r="G1667" t="s">
        <v>2723</v>
      </c>
      <c r="H1667" t="s">
        <v>8326</v>
      </c>
      <c r="I1667" t="s">
        <v>2661</v>
      </c>
      <c r="J1667" t="str">
        <f>IF(0 = IFERROR(VLOOKUP(DBL_FullList!I1667, ContactsDbl!B:D, 2, FALSE), ""), "", IFERROR(VLOOKUP(DBL_FullList!I1667, ContactsDbl!B:D, 2, FALSE), ""))</f>
        <v>dbladmin_intl@sil.org</v>
      </c>
      <c r="K1667" t="str">
        <f>IF(0 = IFERROR(VLOOKUP(DBL_FullList!I1667,ContactsDbl!B:D, 3, FALSE), ""), "", IFERROR(VLOOKUP(DBL_FullList!I1667, ContactsDbl!B:D, 3, FALSE), ""))</f>
        <v>http://www.wycliffe.org</v>
      </c>
      <c r="L1667">
        <f t="shared" ref="L1667:L1730" si="53">IF("" &lt;&gt; J1667, 2, IF("" &lt;&gt; K1667, 1, 0))</f>
        <v>2</v>
      </c>
    </row>
    <row r="1668" spans="1:12" x14ac:dyDescent="0.25">
      <c r="A1668" t="s">
        <v>160</v>
      </c>
      <c r="B1668" t="str">
        <f>IF(ISERROR(VLOOKUP(F1668,STEP!A:A, 1, FALSE)), "N", "Y")</f>
        <v>N</v>
      </c>
      <c r="C1668" t="str">
        <f>IF(ISERROR(VLOOKUP(E1668, BibleInEveryLanguageTexts!A:A, 1, FALSE)), "N", "Y")</f>
        <v>N</v>
      </c>
      <c r="D1668" t="str">
        <f t="shared" si="52"/>
        <v>X</v>
      </c>
      <c r="E1668" t="s">
        <v>159</v>
      </c>
      <c r="F1668" t="s">
        <v>158</v>
      </c>
      <c r="G1668" t="s">
        <v>139</v>
      </c>
      <c r="H1668" t="s">
        <v>157</v>
      </c>
      <c r="I1668" t="s">
        <v>2640</v>
      </c>
      <c r="J1668" t="str">
        <f>IF(0 = IFERROR(VLOOKUP(DBL_FullList!I1668, ContactsDbl!B:D, 2, FALSE), ""), "", IFERROR(VLOOKUP(DBL_FullList!I1668, ContactsDbl!B:D, 2, FALSE), ""))</f>
        <v>admin-us@twftw.org</v>
      </c>
      <c r="K1668" t="str">
        <f>IF(0 = IFERROR(VLOOKUP(DBL_FullList!I1668,ContactsDbl!B:D, 3, FALSE), ""), "", IFERROR(VLOOKUP(DBL_FullList!I1668, ContactsDbl!B:D, 3, FALSE), ""))</f>
        <v>www.twftw.org</v>
      </c>
      <c r="L1668">
        <f t="shared" si="53"/>
        <v>2</v>
      </c>
    </row>
    <row r="1669" spans="1:12" x14ac:dyDescent="0.25">
      <c r="A1669" t="s">
        <v>8327</v>
      </c>
      <c r="B1669" t="str">
        <f>IF(ISERROR(VLOOKUP(F1669,STEP!A:A, 1, FALSE)), "N", "Y")</f>
        <v>N</v>
      </c>
      <c r="C1669" t="str">
        <f>IF(ISERROR(VLOOKUP(E1669, BibleInEveryLanguageTexts!A:A, 1, FALSE)), "N", "Y")</f>
        <v>N</v>
      </c>
      <c r="D1669" t="str">
        <f t="shared" si="52"/>
        <v>X</v>
      </c>
      <c r="E1669" t="s">
        <v>8328</v>
      </c>
      <c r="F1669" t="s">
        <v>8329</v>
      </c>
      <c r="G1669" t="s">
        <v>3861</v>
      </c>
      <c r="H1669" t="s">
        <v>8330</v>
      </c>
      <c r="I1669" t="s">
        <v>2393</v>
      </c>
      <c r="J1669" t="str">
        <f>IF(0 = IFERROR(VLOOKUP(DBL_FullList!I1669, ContactsDbl!B:D, 2, FALSE), ""), "", IFERROR(VLOOKUP(DBL_FullList!I1669, ContactsDbl!B:D, 2, FALSE), ""))</f>
        <v>pstevens@biblesocieties.org</v>
      </c>
      <c r="K1669" t="str">
        <f>IF(0 = IFERROR(VLOOKUP(DBL_FullList!I1669,ContactsDbl!B:D, 3, FALSE), ""), "", IFERROR(VLOOKUP(DBL_FullList!I1669, ContactsDbl!B:D, 3, FALSE), ""))</f>
        <v>http://www.unitedbiblesocieties.org/society/bible-society-in-liberia/</v>
      </c>
      <c r="L1669">
        <f t="shared" si="53"/>
        <v>2</v>
      </c>
    </row>
    <row r="1670" spans="1:12" x14ac:dyDescent="0.25">
      <c r="A1670" t="s">
        <v>8331</v>
      </c>
      <c r="B1670" t="str">
        <f>IF(ISERROR(VLOOKUP(F1670,STEP!A:A, 1, FALSE)), "N", "Y")</f>
        <v>N</v>
      </c>
      <c r="C1670" t="str">
        <f>IF(ISERROR(VLOOKUP(E1670, BibleInEveryLanguageTexts!A:A, 1, FALSE)), "N", "Y")</f>
        <v>N</v>
      </c>
      <c r="D1670" t="str">
        <f t="shared" si="52"/>
        <v>X</v>
      </c>
      <c r="E1670" t="s">
        <v>8332</v>
      </c>
      <c r="F1670" t="s">
        <v>8333</v>
      </c>
      <c r="G1670" t="s">
        <v>198</v>
      </c>
      <c r="H1670" t="s">
        <v>8334</v>
      </c>
      <c r="I1670" t="s">
        <v>2591</v>
      </c>
      <c r="J1670" t="str">
        <f>IF(0 = IFERROR(VLOOKUP(DBL_FullList!I1670, ContactsDbl!B:D, 2, FALSE), ""), "", IFERROR(VLOOKUP(DBL_FullList!I1670, ContactsDbl!B:D, 2, FALSE), ""))</f>
        <v/>
      </c>
      <c r="K1670" t="str">
        <f>IF(0 = IFERROR(VLOOKUP(DBL_FullList!I1670,ContactsDbl!B:D, 3, FALSE), ""), "", IFERROR(VLOOKUP(DBL_FullList!I1670, ContactsDbl!B:D, 3, FALSE), ""))</f>
        <v>http://sociedadbiblica.org</v>
      </c>
      <c r="L1670">
        <f t="shared" si="53"/>
        <v>1</v>
      </c>
    </row>
    <row r="1671" spans="1:12" x14ac:dyDescent="0.25">
      <c r="A1671" t="s">
        <v>8335</v>
      </c>
      <c r="B1671" t="str">
        <f>IF(ISERROR(VLOOKUP(F1671,STEP!A:A, 1, FALSE)), "N", "Y")</f>
        <v>N</v>
      </c>
      <c r="C1671" t="str">
        <f>IF(ISERROR(VLOOKUP(E1671, BibleInEveryLanguageTexts!A:A, 1, FALSE)), "N", "Y")</f>
        <v>N</v>
      </c>
      <c r="D1671" t="str">
        <f t="shared" si="52"/>
        <v>X</v>
      </c>
      <c r="E1671" t="s">
        <v>8336</v>
      </c>
      <c r="F1671" t="s">
        <v>8337</v>
      </c>
      <c r="G1671" t="s">
        <v>2858</v>
      </c>
      <c r="H1671" t="s">
        <v>8338</v>
      </c>
      <c r="I1671" t="s">
        <v>2505</v>
      </c>
      <c r="J1671" t="str">
        <f>IF(0 = IFERROR(VLOOKUP(DBL_FullList!I1671, ContactsDbl!B:D, 2, FALSE), ""), "", IFERROR(VLOOKUP(DBL_FullList!I1671, ContactsDbl!B:D, 2, FALSE), ""))</f>
        <v/>
      </c>
      <c r="K1671" t="str">
        <f>IF(0 = IFERROR(VLOOKUP(DBL_FullList!I1671,ContactsDbl!B:D, 3, FALSE), ""), "", IFERROR(VLOOKUP(DBL_FullList!I1671, ContactsDbl!B:D, 3, FALSE), ""))</f>
        <v>http://www.bible.org.ph/</v>
      </c>
      <c r="L1671">
        <f t="shared" si="53"/>
        <v>1</v>
      </c>
    </row>
    <row r="1672" spans="1:12" x14ac:dyDescent="0.25">
      <c r="A1672" t="s">
        <v>8339</v>
      </c>
      <c r="B1672" t="str">
        <f>IF(ISERROR(VLOOKUP(F1672,STEP!A:A, 1, FALSE)), "N", "Y")</f>
        <v>N</v>
      </c>
      <c r="C1672" t="str">
        <f>IF(ISERROR(VLOOKUP(E1672, BibleInEveryLanguageTexts!A:A, 1, FALSE)), "N", "Y")</f>
        <v>Y</v>
      </c>
      <c r="D1672" t="str">
        <f t="shared" si="52"/>
        <v/>
      </c>
      <c r="E1672" t="s">
        <v>111</v>
      </c>
      <c r="F1672" t="s">
        <v>109</v>
      </c>
      <c r="G1672" t="s">
        <v>110</v>
      </c>
      <c r="H1672" t="s">
        <v>8340</v>
      </c>
      <c r="I1672" t="s">
        <v>2370</v>
      </c>
      <c r="J1672" t="str">
        <f>IF(0 = IFERROR(VLOOKUP(DBL_FullList!I1672, ContactsDbl!B:D, 2, FALSE), ""), "", IFERROR(VLOOKUP(DBL_FullList!I1672, ContactsDbl!B:D, 2, FALSE), ""))</f>
        <v>anwartjen@alkitab.or.id</v>
      </c>
      <c r="K1672" t="str">
        <f>IF(0 = IFERROR(VLOOKUP(DBL_FullList!I1672,ContactsDbl!B:D, 3, FALSE), ""), "", IFERROR(VLOOKUP(DBL_FullList!I1672, ContactsDbl!B:D, 3, FALSE), ""))</f>
        <v>http://www.alkitab.or.id/</v>
      </c>
      <c r="L1672">
        <f t="shared" si="53"/>
        <v>2</v>
      </c>
    </row>
    <row r="1673" spans="1:12" x14ac:dyDescent="0.25">
      <c r="A1673" t="s">
        <v>8341</v>
      </c>
      <c r="B1673" t="str">
        <f>IF(ISERROR(VLOOKUP(F1673,STEP!A:A, 1, FALSE)), "N", "Y")</f>
        <v>N</v>
      </c>
      <c r="C1673" t="str">
        <f>IF(ISERROR(VLOOKUP(E1673, BibleInEveryLanguageTexts!A:A, 1, FALSE)), "N", "Y")</f>
        <v>N</v>
      </c>
      <c r="D1673" t="str">
        <f t="shared" si="52"/>
        <v>X</v>
      </c>
      <c r="E1673" t="s">
        <v>8342</v>
      </c>
      <c r="F1673" t="s">
        <v>8343</v>
      </c>
      <c r="G1673" t="s">
        <v>4050</v>
      </c>
      <c r="H1673" t="s">
        <v>8344</v>
      </c>
      <c r="I1673" t="s">
        <v>2661</v>
      </c>
      <c r="J1673" t="str">
        <f>IF(0 = IFERROR(VLOOKUP(DBL_FullList!I1673, ContactsDbl!B:D, 2, FALSE), ""), "", IFERROR(VLOOKUP(DBL_FullList!I1673, ContactsDbl!B:D, 2, FALSE), ""))</f>
        <v>dbladmin_intl@sil.org</v>
      </c>
      <c r="K1673" t="str">
        <f>IF(0 = IFERROR(VLOOKUP(DBL_FullList!I1673,ContactsDbl!B:D, 3, FALSE), ""), "", IFERROR(VLOOKUP(DBL_FullList!I1673, ContactsDbl!B:D, 3, FALSE), ""))</f>
        <v>http://www.wycliffe.org</v>
      </c>
      <c r="L1673">
        <f t="shared" si="53"/>
        <v>2</v>
      </c>
    </row>
    <row r="1674" spans="1:12" x14ac:dyDescent="0.25">
      <c r="A1674" t="s">
        <v>173</v>
      </c>
      <c r="B1674" t="str">
        <f>IF(ISERROR(VLOOKUP(F1674,STEP!A:A, 1, FALSE)), "N", "Y")</f>
        <v>N</v>
      </c>
      <c r="C1674" t="str">
        <f>IF(ISERROR(VLOOKUP(E1674, BibleInEveryLanguageTexts!A:A, 1, FALSE)), "N", "Y")</f>
        <v>N</v>
      </c>
      <c r="D1674" t="str">
        <f t="shared" si="52"/>
        <v>X</v>
      </c>
      <c r="E1674" t="s">
        <v>172</v>
      </c>
      <c r="F1674" t="s">
        <v>170</v>
      </c>
      <c r="G1674" t="s">
        <v>171</v>
      </c>
      <c r="H1674" t="s">
        <v>167</v>
      </c>
      <c r="I1674" t="s">
        <v>168</v>
      </c>
      <c r="J1674" t="str">
        <f>IF(0 = IFERROR(VLOOKUP(DBL_FullList!I1674, ContactsDbl!B:D, 2, FALSE), ""), "", IFERROR(VLOOKUP(DBL_FullList!I1674, ContactsDbl!B:D, 2, FALSE), ""))</f>
        <v>admin@biblesociety-ethiopia.org</v>
      </c>
      <c r="K1674" t="str">
        <f>IF(0 = IFERROR(VLOOKUP(DBL_FullList!I1674,ContactsDbl!B:D, 3, FALSE), ""), "", IFERROR(VLOOKUP(DBL_FullList!I1674, ContactsDbl!B:D, 3, FALSE), ""))</f>
        <v>http://biblesociety-ethiopia.org</v>
      </c>
      <c r="L1674">
        <f t="shared" si="53"/>
        <v>2</v>
      </c>
    </row>
    <row r="1675" spans="1:12" x14ac:dyDescent="0.25">
      <c r="A1675" t="s">
        <v>8345</v>
      </c>
      <c r="B1675" t="str">
        <f>IF(ISERROR(VLOOKUP(F1675,STEP!A:A, 1, FALSE)), "N", "Y")</f>
        <v>N</v>
      </c>
      <c r="C1675" t="str">
        <f>IF(ISERROR(VLOOKUP(E1675, BibleInEveryLanguageTexts!A:A, 1, FALSE)), "N", "Y")</f>
        <v>N</v>
      </c>
      <c r="D1675" t="str">
        <f t="shared" si="52"/>
        <v>X</v>
      </c>
      <c r="E1675" t="s">
        <v>8346</v>
      </c>
      <c r="F1675" t="s">
        <v>8347</v>
      </c>
      <c r="G1675" t="s">
        <v>4050</v>
      </c>
      <c r="H1675" t="s">
        <v>8348</v>
      </c>
      <c r="I1675" t="s">
        <v>2433</v>
      </c>
      <c r="J1675" t="str">
        <f>IF(0 = IFERROR(VLOOKUP(DBL_FullList!I1675, ContactsDbl!B:D, 2, FALSE), ""), "", IFERROR(VLOOKUP(DBL_FullList!I1675, ContactsDbl!B:D, 2, FALSE), ""))</f>
        <v>igalicia@sbm.mx</v>
      </c>
      <c r="K1675" t="str">
        <f>IF(0 = IFERROR(VLOOKUP(DBL_FullList!I1675,ContactsDbl!B:D, 3, FALSE), ""), "", IFERROR(VLOOKUP(DBL_FullList!I1675, ContactsDbl!B:D, 3, FALSE), ""))</f>
        <v>www.sbm.mx</v>
      </c>
      <c r="L1675">
        <f t="shared" si="53"/>
        <v>2</v>
      </c>
    </row>
    <row r="1676" spans="1:12" x14ac:dyDescent="0.25">
      <c r="A1676" t="s">
        <v>8349</v>
      </c>
      <c r="B1676" t="str">
        <f>IF(ISERROR(VLOOKUP(F1676,STEP!A:A, 1, FALSE)), "N", "Y")</f>
        <v>N</v>
      </c>
      <c r="C1676" t="str">
        <f>IF(ISERROR(VLOOKUP(E1676, BibleInEveryLanguageTexts!A:A, 1, FALSE)), "N", "Y")</f>
        <v>N</v>
      </c>
      <c r="D1676" t="str">
        <f t="shared" si="52"/>
        <v>X</v>
      </c>
      <c r="E1676" t="s">
        <v>8350</v>
      </c>
      <c r="F1676" t="s">
        <v>8351</v>
      </c>
      <c r="G1676" t="s">
        <v>4050</v>
      </c>
      <c r="H1676" t="s">
        <v>8352</v>
      </c>
      <c r="I1676" t="s">
        <v>2661</v>
      </c>
      <c r="J1676" t="str">
        <f>IF(0 = IFERROR(VLOOKUP(DBL_FullList!I1676, ContactsDbl!B:D, 2, FALSE), ""), "", IFERROR(VLOOKUP(DBL_FullList!I1676, ContactsDbl!B:D, 2, FALSE), ""))</f>
        <v>dbladmin_intl@sil.org</v>
      </c>
      <c r="K1676" t="str">
        <f>IF(0 = IFERROR(VLOOKUP(DBL_FullList!I1676,ContactsDbl!B:D, 3, FALSE), ""), "", IFERROR(VLOOKUP(DBL_FullList!I1676, ContactsDbl!B:D, 3, FALSE), ""))</f>
        <v>http://www.wycliffe.org</v>
      </c>
      <c r="L1676">
        <f t="shared" si="53"/>
        <v>2</v>
      </c>
    </row>
    <row r="1677" spans="1:12" x14ac:dyDescent="0.25">
      <c r="A1677" t="s">
        <v>8353</v>
      </c>
      <c r="B1677" t="str">
        <f>IF(ISERROR(VLOOKUP(F1677,STEP!A:A, 1, FALSE)), "N", "Y")</f>
        <v>N</v>
      </c>
      <c r="C1677" t="str">
        <f>IF(ISERROR(VLOOKUP(E1677, BibleInEveryLanguageTexts!A:A, 1, FALSE)), "N", "Y")</f>
        <v>N</v>
      </c>
      <c r="D1677" t="str">
        <f t="shared" si="52"/>
        <v>X</v>
      </c>
      <c r="E1677" t="s">
        <v>8354</v>
      </c>
      <c r="F1677" t="s">
        <v>5712</v>
      </c>
      <c r="G1677" t="s">
        <v>4739</v>
      </c>
      <c r="H1677" t="s">
        <v>8355</v>
      </c>
      <c r="I1677" t="s">
        <v>2198</v>
      </c>
      <c r="J1677" t="str">
        <f>IF(0 = IFERROR(VLOOKUP(DBL_FullList!I1677, ContactsDbl!B:D, 2, FALSE), ""), "", IFERROR(VLOOKUP(DBL_FullList!I1677, ContactsDbl!B:D, 2, FALSE), ""))</f>
        <v>admin@bsoe.org</v>
      </c>
      <c r="K1677" t="str">
        <f>IF(0 = IFERROR(VLOOKUP(DBL_FullList!I1677,ContactsDbl!B:D, 3, FALSE), ""), "", IFERROR(VLOOKUP(DBL_FullList!I1677, ContactsDbl!B:D, 3, FALSE), ""))</f>
        <v>http://www.bsoe.org/</v>
      </c>
      <c r="L1677">
        <f t="shared" si="53"/>
        <v>2</v>
      </c>
    </row>
    <row r="1678" spans="1:12" x14ac:dyDescent="0.25">
      <c r="A1678" t="s">
        <v>8356</v>
      </c>
      <c r="B1678" t="str">
        <f>IF(ISERROR(VLOOKUP(F1678,STEP!A:A, 1, FALSE)), "N", "Y")</f>
        <v>N</v>
      </c>
      <c r="C1678" t="str">
        <f>IF(ISERROR(VLOOKUP(E1678, BibleInEveryLanguageTexts!A:A, 1, FALSE)), "N", "Y")</f>
        <v>N</v>
      </c>
      <c r="D1678" t="str">
        <f t="shared" si="52"/>
        <v>X</v>
      </c>
      <c r="E1678" t="s">
        <v>8357</v>
      </c>
      <c r="F1678" t="s">
        <v>8358</v>
      </c>
      <c r="G1678" t="s">
        <v>4050</v>
      </c>
      <c r="H1678" t="s">
        <v>8359</v>
      </c>
      <c r="I1678" t="s">
        <v>2661</v>
      </c>
      <c r="J1678" t="str">
        <f>IF(0 = IFERROR(VLOOKUP(DBL_FullList!I1678, ContactsDbl!B:D, 2, FALSE), ""), "", IFERROR(VLOOKUP(DBL_FullList!I1678, ContactsDbl!B:D, 2, FALSE), ""))</f>
        <v>dbladmin_intl@sil.org</v>
      </c>
      <c r="K1678" t="str">
        <f>IF(0 = IFERROR(VLOOKUP(DBL_FullList!I1678,ContactsDbl!B:D, 3, FALSE), ""), "", IFERROR(VLOOKUP(DBL_FullList!I1678, ContactsDbl!B:D, 3, FALSE), ""))</f>
        <v>http://www.wycliffe.org</v>
      </c>
      <c r="L1678">
        <f t="shared" si="53"/>
        <v>2</v>
      </c>
    </row>
    <row r="1679" spans="1:12" x14ac:dyDescent="0.25">
      <c r="A1679" t="s">
        <v>8360</v>
      </c>
      <c r="B1679" t="str">
        <f>IF(ISERROR(VLOOKUP(F1679,STEP!A:A, 1, FALSE)), "N", "Y")</f>
        <v>N</v>
      </c>
      <c r="C1679" t="str">
        <f>IF(ISERROR(VLOOKUP(E1679, BibleInEveryLanguageTexts!A:A, 1, FALSE)), "N", "Y")</f>
        <v>N</v>
      </c>
      <c r="D1679" t="str">
        <f t="shared" si="52"/>
        <v>X</v>
      </c>
      <c r="E1679" t="s">
        <v>8361</v>
      </c>
      <c r="F1679" t="s">
        <v>8362</v>
      </c>
      <c r="G1679" t="s">
        <v>198</v>
      </c>
      <c r="H1679" t="s">
        <v>8363</v>
      </c>
      <c r="I1679" t="s">
        <v>2591</v>
      </c>
      <c r="J1679" t="str">
        <f>IF(0 = IFERROR(VLOOKUP(DBL_FullList!I1679, ContactsDbl!B:D, 2, FALSE), ""), "", IFERROR(VLOOKUP(DBL_FullList!I1679, ContactsDbl!B:D, 2, FALSE), ""))</f>
        <v/>
      </c>
      <c r="K1679" t="str">
        <f>IF(0 = IFERROR(VLOOKUP(DBL_FullList!I1679,ContactsDbl!B:D, 3, FALSE), ""), "", IFERROR(VLOOKUP(DBL_FullList!I1679, ContactsDbl!B:D, 3, FALSE), ""))</f>
        <v>http://sociedadbiblica.org</v>
      </c>
      <c r="L1679">
        <f t="shared" si="53"/>
        <v>1</v>
      </c>
    </row>
    <row r="1680" spans="1:12" x14ac:dyDescent="0.25">
      <c r="A1680" t="s">
        <v>8364</v>
      </c>
      <c r="B1680" t="str">
        <f>IF(ISERROR(VLOOKUP(F1680,STEP!A:A, 1, FALSE)), "N", "Y")</f>
        <v>N</v>
      </c>
      <c r="C1680" t="str">
        <f>IF(ISERROR(VLOOKUP(E1680, BibleInEveryLanguageTexts!A:A, 1, FALSE)), "N", "Y")</f>
        <v>N</v>
      </c>
      <c r="D1680" t="str">
        <f t="shared" si="52"/>
        <v>X</v>
      </c>
      <c r="E1680" t="s">
        <v>8365</v>
      </c>
      <c r="F1680" t="s">
        <v>8366</v>
      </c>
      <c r="G1680" t="s">
        <v>2858</v>
      </c>
      <c r="H1680" t="s">
        <v>8367</v>
      </c>
      <c r="I1680" t="s">
        <v>2661</v>
      </c>
      <c r="J1680" t="str">
        <f>IF(0 = IFERROR(VLOOKUP(DBL_FullList!I1680, ContactsDbl!B:D, 2, FALSE), ""), "", IFERROR(VLOOKUP(DBL_FullList!I1680, ContactsDbl!B:D, 2, FALSE), ""))</f>
        <v>dbladmin_intl@sil.org</v>
      </c>
      <c r="K1680" t="str">
        <f>IF(0 = IFERROR(VLOOKUP(DBL_FullList!I1680,ContactsDbl!B:D, 3, FALSE), ""), "", IFERROR(VLOOKUP(DBL_FullList!I1680, ContactsDbl!B:D, 3, FALSE), ""))</f>
        <v>http://www.wycliffe.org</v>
      </c>
      <c r="L1680">
        <f t="shared" si="53"/>
        <v>2</v>
      </c>
    </row>
    <row r="1681" spans="1:12" x14ac:dyDescent="0.25">
      <c r="A1681" t="s">
        <v>8368</v>
      </c>
      <c r="B1681" t="str">
        <f>IF(ISERROR(VLOOKUP(F1681,STEP!A:A, 1, FALSE)), "N", "Y")</f>
        <v>N</v>
      </c>
      <c r="C1681" t="str">
        <f>IF(ISERROR(VLOOKUP(E1681, BibleInEveryLanguageTexts!A:A, 1, FALSE)), "N", "Y")</f>
        <v>N</v>
      </c>
      <c r="D1681" t="str">
        <f t="shared" si="52"/>
        <v>X</v>
      </c>
      <c r="E1681" t="s">
        <v>8369</v>
      </c>
      <c r="F1681" t="s">
        <v>8370</v>
      </c>
      <c r="G1681" t="s">
        <v>4050</v>
      </c>
      <c r="H1681" t="s">
        <v>8371</v>
      </c>
      <c r="I1681" t="s">
        <v>2661</v>
      </c>
      <c r="J1681" t="str">
        <f>IF(0 = IFERROR(VLOOKUP(DBL_FullList!I1681, ContactsDbl!B:D, 2, FALSE), ""), "", IFERROR(VLOOKUP(DBL_FullList!I1681, ContactsDbl!B:D, 2, FALSE), ""))</f>
        <v>dbladmin_intl@sil.org</v>
      </c>
      <c r="K1681" t="str">
        <f>IF(0 = IFERROR(VLOOKUP(DBL_FullList!I1681,ContactsDbl!B:D, 3, FALSE), ""), "", IFERROR(VLOOKUP(DBL_FullList!I1681, ContactsDbl!B:D, 3, FALSE), ""))</f>
        <v>http://www.wycliffe.org</v>
      </c>
      <c r="L1681">
        <f t="shared" si="53"/>
        <v>2</v>
      </c>
    </row>
    <row r="1682" spans="1:12" x14ac:dyDescent="0.25">
      <c r="A1682" t="s">
        <v>8372</v>
      </c>
      <c r="B1682" t="str">
        <f>IF(ISERROR(VLOOKUP(F1682,STEP!A:A, 1, FALSE)), "N", "Y")</f>
        <v>N</v>
      </c>
      <c r="C1682" t="str">
        <f>IF(ISERROR(VLOOKUP(E1682, BibleInEveryLanguageTexts!A:A, 1, FALSE)), "N", "Y")</f>
        <v>N</v>
      </c>
      <c r="D1682" t="str">
        <f t="shared" si="52"/>
        <v>X</v>
      </c>
      <c r="E1682" t="s">
        <v>8373</v>
      </c>
      <c r="F1682" t="s">
        <v>8374</v>
      </c>
      <c r="G1682" t="s">
        <v>2858</v>
      </c>
      <c r="H1682" t="s">
        <v>8375</v>
      </c>
      <c r="I1682" t="s">
        <v>2661</v>
      </c>
      <c r="J1682" t="str">
        <f>IF(0 = IFERROR(VLOOKUP(DBL_FullList!I1682, ContactsDbl!B:D, 2, FALSE), ""), "", IFERROR(VLOOKUP(DBL_FullList!I1682, ContactsDbl!B:D, 2, FALSE), ""))</f>
        <v>dbladmin_intl@sil.org</v>
      </c>
      <c r="K1682" t="str">
        <f>IF(0 = IFERROR(VLOOKUP(DBL_FullList!I1682,ContactsDbl!B:D, 3, FALSE), ""), "", IFERROR(VLOOKUP(DBL_FullList!I1682, ContactsDbl!B:D, 3, FALSE), ""))</f>
        <v>http://www.wycliffe.org</v>
      </c>
      <c r="L1682">
        <f t="shared" si="53"/>
        <v>2</v>
      </c>
    </row>
    <row r="1683" spans="1:12" x14ac:dyDescent="0.25">
      <c r="A1683" t="s">
        <v>8376</v>
      </c>
      <c r="B1683" t="str">
        <f>IF(ISERROR(VLOOKUP(F1683,STEP!A:A, 1, FALSE)), "N", "Y")</f>
        <v>N</v>
      </c>
      <c r="C1683" t="str">
        <f>IF(ISERROR(VLOOKUP(E1683, BibleInEveryLanguageTexts!A:A, 1, FALSE)), "N", "Y")</f>
        <v>N</v>
      </c>
      <c r="D1683" t="str">
        <f t="shared" si="52"/>
        <v>X</v>
      </c>
      <c r="E1683" t="s">
        <v>8377</v>
      </c>
      <c r="F1683" t="s">
        <v>8378</v>
      </c>
      <c r="G1683" t="s">
        <v>4050</v>
      </c>
      <c r="H1683" t="s">
        <v>8379</v>
      </c>
      <c r="I1683" t="s">
        <v>2661</v>
      </c>
      <c r="J1683" t="str">
        <f>IF(0 = IFERROR(VLOOKUP(DBL_FullList!I1683, ContactsDbl!B:D, 2, FALSE), ""), "", IFERROR(VLOOKUP(DBL_FullList!I1683, ContactsDbl!B:D, 2, FALSE), ""))</f>
        <v>dbladmin_intl@sil.org</v>
      </c>
      <c r="K1683" t="str">
        <f>IF(0 = IFERROR(VLOOKUP(DBL_FullList!I1683,ContactsDbl!B:D, 3, FALSE), ""), "", IFERROR(VLOOKUP(DBL_FullList!I1683, ContactsDbl!B:D, 3, FALSE), ""))</f>
        <v>http://www.wycliffe.org</v>
      </c>
      <c r="L1683">
        <f t="shared" si="53"/>
        <v>2</v>
      </c>
    </row>
    <row r="1684" spans="1:12" x14ac:dyDescent="0.25">
      <c r="A1684" t="s">
        <v>180</v>
      </c>
      <c r="B1684" t="str">
        <f>IF(ISERROR(VLOOKUP(F1684,STEP!A:A, 1, FALSE)), "N", "Y")</f>
        <v>N</v>
      </c>
      <c r="C1684" t="str">
        <f>IF(ISERROR(VLOOKUP(E1684, BibleInEveryLanguageTexts!A:A, 1, FALSE)), "N", "Y")</f>
        <v>Y</v>
      </c>
      <c r="D1684" t="str">
        <f t="shared" si="52"/>
        <v/>
      </c>
      <c r="E1684" t="s">
        <v>12</v>
      </c>
      <c r="F1684" t="s">
        <v>10</v>
      </c>
      <c r="G1684" t="s">
        <v>11</v>
      </c>
      <c r="H1684" t="s">
        <v>179</v>
      </c>
      <c r="I1684" t="s">
        <v>24</v>
      </c>
      <c r="J1684" t="str">
        <f>IF(0 = IFERROR(VLOOKUP(DBL_FullList!I1684, ContactsDbl!B:D, 2, FALSE), ""), "", IFERROR(VLOOKUP(DBL_FullList!I1684, ContactsDbl!B:D, 2, FALSE), ""))</f>
        <v>Michael@eBible.org</v>
      </c>
      <c r="K1684" t="str">
        <f>IF(0 = IFERROR(VLOOKUP(DBL_FullList!I1684,ContactsDbl!B:D, 3, FALSE), ""), "", IFERROR(VLOOKUP(DBL_FullList!I1684, ContactsDbl!B:D, 3, FALSE), ""))</f>
        <v>http://eBible.org</v>
      </c>
      <c r="L1684">
        <f t="shared" si="53"/>
        <v>2</v>
      </c>
    </row>
    <row r="1685" spans="1:12" x14ac:dyDescent="0.25">
      <c r="A1685" t="s">
        <v>8380</v>
      </c>
      <c r="B1685" t="str">
        <f>IF(ISERROR(VLOOKUP(F1685,STEP!A:A, 1, FALSE)), "N", "Y")</f>
        <v>N</v>
      </c>
      <c r="C1685" t="str">
        <f>IF(ISERROR(VLOOKUP(E1685, BibleInEveryLanguageTexts!A:A, 1, FALSE)), "N", "Y")</f>
        <v>N</v>
      </c>
      <c r="D1685" t="str">
        <f t="shared" si="52"/>
        <v>X</v>
      </c>
      <c r="E1685" t="s">
        <v>8381</v>
      </c>
      <c r="F1685" t="s">
        <v>8382</v>
      </c>
      <c r="G1685" t="s">
        <v>2723</v>
      </c>
      <c r="H1685" t="s">
        <v>8318</v>
      </c>
      <c r="I1685" t="s">
        <v>2661</v>
      </c>
      <c r="J1685" t="str">
        <f>IF(0 = IFERROR(VLOOKUP(DBL_FullList!I1685, ContactsDbl!B:D, 2, FALSE), ""), "", IFERROR(VLOOKUP(DBL_FullList!I1685, ContactsDbl!B:D, 2, FALSE), ""))</f>
        <v>dbladmin_intl@sil.org</v>
      </c>
      <c r="K1685" t="str">
        <f>IF(0 = IFERROR(VLOOKUP(DBL_FullList!I1685,ContactsDbl!B:D, 3, FALSE), ""), "", IFERROR(VLOOKUP(DBL_FullList!I1685, ContactsDbl!B:D, 3, FALSE), ""))</f>
        <v>http://www.wycliffe.org</v>
      </c>
      <c r="L1685">
        <f t="shared" si="53"/>
        <v>2</v>
      </c>
    </row>
    <row r="1686" spans="1:12" x14ac:dyDescent="0.25">
      <c r="A1686" t="s">
        <v>188</v>
      </c>
      <c r="B1686" t="str">
        <f>IF(ISERROR(VLOOKUP(F1686,STEP!A:A, 1, FALSE)), "N", "Y")</f>
        <v>N</v>
      </c>
      <c r="C1686" t="str">
        <f>IF(ISERROR(VLOOKUP(E1686, BibleInEveryLanguageTexts!A:A, 1, FALSE)), "N", "Y")</f>
        <v>N</v>
      </c>
      <c r="D1686" t="str">
        <f t="shared" si="52"/>
        <v>X</v>
      </c>
      <c r="E1686" t="s">
        <v>187</v>
      </c>
      <c r="F1686" t="s">
        <v>185</v>
      </c>
      <c r="G1686" t="s">
        <v>186</v>
      </c>
      <c r="H1686" t="s">
        <v>8383</v>
      </c>
      <c r="I1686" t="s">
        <v>183</v>
      </c>
      <c r="J1686" t="str">
        <f>IF(0 = IFERROR(VLOOKUP(DBL_FullList!I1686, ContactsDbl!B:D, 2, FALSE), ""), "", IFERROR(VLOOKUP(DBL_FullList!I1686, ContactsDbl!B:D, 2, FALSE), ""))</f>
        <v>dbl@biblesocieties.org</v>
      </c>
      <c r="K1686" t="str">
        <f>IF(0 = IFERROR(VLOOKUP(DBL_FullList!I1686,ContactsDbl!B:D, 3, FALSE), ""), "", IFERROR(VLOOKUP(DBL_FullList!I1686, ContactsDbl!B:D, 3, FALSE), ""))</f>
        <v>http://www.unitedbiblesocieties.org/</v>
      </c>
      <c r="L1686">
        <f t="shared" si="53"/>
        <v>2</v>
      </c>
    </row>
    <row r="1687" spans="1:12" x14ac:dyDescent="0.25">
      <c r="A1687" t="s">
        <v>8384</v>
      </c>
      <c r="B1687" t="str">
        <f>IF(ISERROR(VLOOKUP(F1687,STEP!A:A, 1, FALSE)), "N", "Y")</f>
        <v>N</v>
      </c>
      <c r="C1687" t="str">
        <f>IF(ISERROR(VLOOKUP(E1687, BibleInEveryLanguageTexts!A:A, 1, FALSE)), "N", "Y")</f>
        <v>N</v>
      </c>
      <c r="D1687" t="str">
        <f t="shared" si="52"/>
        <v>X</v>
      </c>
      <c r="E1687" t="s">
        <v>8385</v>
      </c>
      <c r="F1687" t="s">
        <v>8386</v>
      </c>
      <c r="G1687" t="s">
        <v>2858</v>
      </c>
      <c r="H1687" t="s">
        <v>8387</v>
      </c>
      <c r="I1687" t="s">
        <v>2661</v>
      </c>
      <c r="J1687" t="str">
        <f>IF(0 = IFERROR(VLOOKUP(DBL_FullList!I1687, ContactsDbl!B:D, 2, FALSE), ""), "", IFERROR(VLOOKUP(DBL_FullList!I1687, ContactsDbl!B:D, 2, FALSE), ""))</f>
        <v>dbladmin_intl@sil.org</v>
      </c>
      <c r="K1687" t="str">
        <f>IF(0 = IFERROR(VLOOKUP(DBL_FullList!I1687,ContactsDbl!B:D, 3, FALSE), ""), "", IFERROR(VLOOKUP(DBL_FullList!I1687, ContactsDbl!B:D, 3, FALSE), ""))</f>
        <v>http://www.wycliffe.org</v>
      </c>
      <c r="L1687">
        <f t="shared" si="53"/>
        <v>2</v>
      </c>
    </row>
    <row r="1688" spans="1:12" x14ac:dyDescent="0.25">
      <c r="A1688" t="s">
        <v>8388</v>
      </c>
      <c r="B1688" t="str">
        <f>IF(ISERROR(VLOOKUP(F1688,STEP!A:A, 1, FALSE)), "N", "Y")</f>
        <v>N</v>
      </c>
      <c r="C1688" t="str">
        <f>IF(ISERROR(VLOOKUP(E1688, BibleInEveryLanguageTexts!A:A, 1, FALSE)), "N", "Y")</f>
        <v>N</v>
      </c>
      <c r="D1688" t="str">
        <f t="shared" si="52"/>
        <v>X</v>
      </c>
      <c r="E1688" t="s">
        <v>5607</v>
      </c>
      <c r="F1688" t="s">
        <v>5608</v>
      </c>
      <c r="G1688" t="s">
        <v>2858</v>
      </c>
      <c r="H1688" t="s">
        <v>8389</v>
      </c>
      <c r="I1688" t="s">
        <v>2505</v>
      </c>
      <c r="J1688" t="str">
        <f>IF(0 = IFERROR(VLOOKUP(DBL_FullList!I1688, ContactsDbl!B:D, 2, FALSE), ""), "", IFERROR(VLOOKUP(DBL_FullList!I1688, ContactsDbl!B:D, 2, FALSE), ""))</f>
        <v/>
      </c>
      <c r="K1688" t="str">
        <f>IF(0 = IFERROR(VLOOKUP(DBL_FullList!I1688,ContactsDbl!B:D, 3, FALSE), ""), "", IFERROR(VLOOKUP(DBL_FullList!I1688, ContactsDbl!B:D, 3, FALSE), ""))</f>
        <v>http://www.bible.org.ph/</v>
      </c>
      <c r="L1688">
        <f t="shared" si="53"/>
        <v>1</v>
      </c>
    </row>
    <row r="1689" spans="1:12" x14ac:dyDescent="0.25">
      <c r="A1689" t="s">
        <v>8390</v>
      </c>
      <c r="B1689" t="str">
        <f>IF(ISERROR(VLOOKUP(F1689,STEP!A:A, 1, FALSE)), "N", "Y")</f>
        <v>N</v>
      </c>
      <c r="C1689" t="str">
        <f>IF(ISERROR(VLOOKUP(E1689, BibleInEveryLanguageTexts!A:A, 1, FALSE)), "N", "Y")</f>
        <v>N</v>
      </c>
      <c r="D1689" t="str">
        <f t="shared" si="52"/>
        <v>X</v>
      </c>
      <c r="E1689" t="s">
        <v>8391</v>
      </c>
      <c r="F1689" t="s">
        <v>5590</v>
      </c>
      <c r="G1689" t="s">
        <v>5239</v>
      </c>
      <c r="H1689" t="s">
        <v>8392</v>
      </c>
      <c r="I1689" t="s">
        <v>2487</v>
      </c>
      <c r="J1689" t="str">
        <f>IF(0 = IFERROR(VLOOKUP(DBL_FullList!I1689, ContactsDbl!B:D, 2, FALSE), ""), "", IFERROR(VLOOKUP(DBL_FullList!I1689, ContactsDbl!B:D, 2, FALSE), ""))</f>
        <v/>
      </c>
      <c r="K1689" t="str">
        <f>IF(0 = IFERROR(VLOOKUP(DBL_FullList!I1689,ContactsDbl!B:D, 3, FALSE), ""), "", IFERROR(VLOOKUP(DBL_FullList!I1689, ContactsDbl!B:D, 3, FALSE), ""))</f>
        <v>http://www.bibelselskapet.no/</v>
      </c>
      <c r="L1689">
        <f t="shared" si="53"/>
        <v>1</v>
      </c>
    </row>
    <row r="1690" spans="1:12" x14ac:dyDescent="0.25">
      <c r="A1690" t="s">
        <v>8393</v>
      </c>
      <c r="B1690" t="str">
        <f>IF(ISERROR(VLOOKUP(F1690,STEP!A:A, 1, FALSE)), "N", "Y")</f>
        <v>N</v>
      </c>
      <c r="C1690" t="str">
        <f>IF(ISERROR(VLOOKUP(E1690, BibleInEveryLanguageTexts!A:A, 1, FALSE)), "N", "Y")</f>
        <v>N</v>
      </c>
      <c r="D1690" t="str">
        <f t="shared" si="52"/>
        <v>X</v>
      </c>
      <c r="E1690" t="s">
        <v>1229</v>
      </c>
      <c r="F1690" t="s">
        <v>8394</v>
      </c>
      <c r="G1690" t="s">
        <v>3609</v>
      </c>
      <c r="H1690" t="s">
        <v>8395</v>
      </c>
      <c r="I1690" t="s">
        <v>2373</v>
      </c>
      <c r="J1690" t="str">
        <f>IF(0 = IFERROR(VLOOKUP(DBL_FullList!I1690, ContactsDbl!B:D, 2, FALSE), ""), "", IFERROR(VLOOKUP(DBL_FullList!I1690, ContactsDbl!B:D, 2, FALSE), ""))</f>
        <v/>
      </c>
      <c r="K1690" t="str">
        <f>IF(0 = IFERROR(VLOOKUP(DBL_FullList!I1690,ContactsDbl!B:D, 3, FALSE), ""), "", IFERROR(VLOOKUP(DBL_FullList!I1690, ContactsDbl!B:D, 3, FALSE), ""))</f>
        <v>http://www.bibelesbiedriba.lv/</v>
      </c>
      <c r="L1690">
        <f t="shared" si="53"/>
        <v>1</v>
      </c>
    </row>
    <row r="1691" spans="1:12" x14ac:dyDescent="0.25">
      <c r="A1691" t="s">
        <v>8396</v>
      </c>
      <c r="B1691" t="str">
        <f>IF(ISERROR(VLOOKUP(F1691,STEP!A:A, 1, FALSE)), "N", "Y")</f>
        <v>N</v>
      </c>
      <c r="C1691" t="str">
        <f>IF(ISERROR(VLOOKUP(E1691, BibleInEveryLanguageTexts!A:A, 1, FALSE)), "N", "Y")</f>
        <v>N</v>
      </c>
      <c r="D1691" t="str">
        <f t="shared" si="52"/>
        <v>X</v>
      </c>
      <c r="E1691" t="s">
        <v>8397</v>
      </c>
      <c r="F1691" t="s">
        <v>8398</v>
      </c>
      <c r="G1691" t="s">
        <v>2858</v>
      </c>
      <c r="H1691" t="s">
        <v>8399</v>
      </c>
      <c r="I1691" t="s">
        <v>2661</v>
      </c>
      <c r="J1691" t="str">
        <f>IF(0 = IFERROR(VLOOKUP(DBL_FullList!I1691, ContactsDbl!B:D, 2, FALSE), ""), "", IFERROR(VLOOKUP(DBL_FullList!I1691, ContactsDbl!B:D, 2, FALSE), ""))</f>
        <v>dbladmin_intl@sil.org</v>
      </c>
      <c r="K1691" t="str">
        <f>IF(0 = IFERROR(VLOOKUP(DBL_FullList!I1691,ContactsDbl!B:D, 3, FALSE), ""), "", IFERROR(VLOOKUP(DBL_FullList!I1691, ContactsDbl!B:D, 3, FALSE), ""))</f>
        <v>http://www.wycliffe.org</v>
      </c>
      <c r="L1691">
        <f t="shared" si="53"/>
        <v>2</v>
      </c>
    </row>
    <row r="1692" spans="1:12" x14ac:dyDescent="0.25">
      <c r="A1692" t="s">
        <v>8400</v>
      </c>
      <c r="B1692" t="str">
        <f>IF(ISERROR(VLOOKUP(F1692,STEP!A:A, 1, FALSE)), "N", "Y")</f>
        <v>N</v>
      </c>
      <c r="C1692" t="str">
        <f>IF(ISERROR(VLOOKUP(E1692, BibleInEveryLanguageTexts!A:A, 1, FALSE)), "N", "Y")</f>
        <v>N</v>
      </c>
      <c r="D1692" t="str">
        <f t="shared" si="52"/>
        <v>X</v>
      </c>
      <c r="E1692" t="s">
        <v>8401</v>
      </c>
      <c r="F1692" t="s">
        <v>8402</v>
      </c>
      <c r="G1692" t="s">
        <v>2723</v>
      </c>
      <c r="H1692" t="s">
        <v>8403</v>
      </c>
      <c r="I1692" t="s">
        <v>2661</v>
      </c>
      <c r="J1692" t="str">
        <f>IF(0 = IFERROR(VLOOKUP(DBL_FullList!I1692, ContactsDbl!B:D, 2, FALSE), ""), "", IFERROR(VLOOKUP(DBL_FullList!I1692, ContactsDbl!B:D, 2, FALSE), ""))</f>
        <v>dbladmin_intl@sil.org</v>
      </c>
      <c r="K1692" t="str">
        <f>IF(0 = IFERROR(VLOOKUP(DBL_FullList!I1692,ContactsDbl!B:D, 3, FALSE), ""), "", IFERROR(VLOOKUP(DBL_FullList!I1692, ContactsDbl!B:D, 3, FALSE), ""))</f>
        <v>http://www.wycliffe.org</v>
      </c>
      <c r="L1692">
        <f t="shared" si="53"/>
        <v>2</v>
      </c>
    </row>
    <row r="1693" spans="1:12" x14ac:dyDescent="0.25">
      <c r="A1693" t="s">
        <v>8404</v>
      </c>
      <c r="B1693" t="str">
        <f>IF(ISERROR(VLOOKUP(F1693,STEP!A:A, 1, FALSE)), "N", "Y")</f>
        <v>N</v>
      </c>
      <c r="C1693" t="str">
        <f>IF(ISERROR(VLOOKUP(E1693, BibleInEveryLanguageTexts!A:A, 1, FALSE)), "N", "Y")</f>
        <v>Y</v>
      </c>
      <c r="D1693" t="str">
        <f t="shared" si="52"/>
        <v/>
      </c>
      <c r="E1693" t="s">
        <v>2683</v>
      </c>
      <c r="F1693" t="s">
        <v>2954</v>
      </c>
      <c r="G1693" t="s">
        <v>2955</v>
      </c>
      <c r="H1693" t="s">
        <v>8405</v>
      </c>
      <c r="I1693" t="s">
        <v>1997</v>
      </c>
      <c r="J1693" t="str">
        <f>IF(0 = IFERROR(VLOOKUP(DBL_FullList!I1693, ContactsDbl!B:D, 2, FALSE), ""), "", IFERROR(VLOOKUP(DBL_FullList!I1693, ContactsDbl!B:D, 2, FALSE), ""))</f>
        <v>Lee.Harris@biblica.com</v>
      </c>
      <c r="K1693" t="str">
        <f>IF(0 = IFERROR(VLOOKUP(DBL_FullList!I1693,ContactsDbl!B:D, 3, FALSE), ""), "", IFERROR(VLOOKUP(DBL_FullList!I1693, ContactsDbl!B:D, 3, FALSE), ""))</f>
        <v>http://www.Biblica.com</v>
      </c>
      <c r="L1693">
        <f t="shared" si="53"/>
        <v>2</v>
      </c>
    </row>
    <row r="1694" spans="1:12" x14ac:dyDescent="0.25">
      <c r="A1694" t="s">
        <v>8406</v>
      </c>
      <c r="B1694" t="str">
        <f>IF(ISERROR(VLOOKUP(F1694,STEP!A:A, 1, FALSE)), "N", "Y")</f>
        <v>N</v>
      </c>
      <c r="C1694" t="str">
        <f>IF(ISERROR(VLOOKUP(E1694, BibleInEveryLanguageTexts!A:A, 1, FALSE)), "N", "Y")</f>
        <v>N</v>
      </c>
      <c r="D1694" t="str">
        <f t="shared" si="52"/>
        <v>X</v>
      </c>
      <c r="E1694" t="s">
        <v>8407</v>
      </c>
      <c r="F1694" t="s">
        <v>8408</v>
      </c>
      <c r="G1694" t="s">
        <v>3861</v>
      </c>
      <c r="H1694" t="s">
        <v>8409</v>
      </c>
      <c r="I1694" t="s">
        <v>2393</v>
      </c>
      <c r="J1694" t="str">
        <f>IF(0 = IFERROR(VLOOKUP(DBL_FullList!I1694, ContactsDbl!B:D, 2, FALSE), ""), "", IFERROR(VLOOKUP(DBL_FullList!I1694, ContactsDbl!B:D, 2, FALSE), ""))</f>
        <v>pstevens@biblesocieties.org</v>
      </c>
      <c r="K1694" t="str">
        <f>IF(0 = IFERROR(VLOOKUP(DBL_FullList!I1694,ContactsDbl!B:D, 3, FALSE), ""), "", IFERROR(VLOOKUP(DBL_FullList!I1694, ContactsDbl!B:D, 3, FALSE), ""))</f>
        <v>http://www.unitedbiblesocieties.org/society/bible-society-in-liberia/</v>
      </c>
      <c r="L1694">
        <f t="shared" si="53"/>
        <v>2</v>
      </c>
    </row>
    <row r="1695" spans="1:12" x14ac:dyDescent="0.25">
      <c r="A1695" t="s">
        <v>8410</v>
      </c>
      <c r="B1695" t="str">
        <f>IF(ISERROR(VLOOKUP(F1695,STEP!A:A, 1, FALSE)), "N", "Y")</f>
        <v>N</v>
      </c>
      <c r="C1695" t="str">
        <f>IF(ISERROR(VLOOKUP(E1695, BibleInEveryLanguageTexts!A:A, 1, FALSE)), "N", "Y")</f>
        <v>N</v>
      </c>
      <c r="D1695" t="str">
        <f t="shared" si="52"/>
        <v>X</v>
      </c>
      <c r="E1695" t="s">
        <v>8411</v>
      </c>
      <c r="F1695" t="s">
        <v>8412</v>
      </c>
      <c r="G1695" t="s">
        <v>4050</v>
      </c>
      <c r="H1695" t="s">
        <v>8413</v>
      </c>
      <c r="I1695" t="s">
        <v>2661</v>
      </c>
      <c r="J1695" t="str">
        <f>IF(0 = IFERROR(VLOOKUP(DBL_FullList!I1695, ContactsDbl!B:D, 2, FALSE), ""), "", IFERROR(VLOOKUP(DBL_FullList!I1695, ContactsDbl!B:D, 2, FALSE), ""))</f>
        <v>dbladmin_intl@sil.org</v>
      </c>
      <c r="K1695" t="str">
        <f>IF(0 = IFERROR(VLOOKUP(DBL_FullList!I1695,ContactsDbl!B:D, 3, FALSE), ""), "", IFERROR(VLOOKUP(DBL_FullList!I1695, ContactsDbl!B:D, 3, FALSE), ""))</f>
        <v>http://www.wycliffe.org</v>
      </c>
      <c r="L1695">
        <f t="shared" si="53"/>
        <v>2</v>
      </c>
    </row>
    <row r="1696" spans="1:12" x14ac:dyDescent="0.25">
      <c r="A1696" t="s">
        <v>8414</v>
      </c>
      <c r="B1696" t="str">
        <f>IF(ISERROR(VLOOKUP(F1696,STEP!A:A, 1, FALSE)), "N", "Y")</f>
        <v>N</v>
      </c>
      <c r="C1696" t="str">
        <f>IF(ISERROR(VLOOKUP(E1696, BibleInEveryLanguageTexts!A:A, 1, FALSE)), "N", "Y")</f>
        <v>N</v>
      </c>
      <c r="D1696" t="str">
        <f t="shared" si="52"/>
        <v>X</v>
      </c>
      <c r="E1696" t="s">
        <v>8415</v>
      </c>
      <c r="F1696" t="s">
        <v>8416</v>
      </c>
      <c r="G1696" t="s">
        <v>2723</v>
      </c>
      <c r="H1696" t="s">
        <v>8417</v>
      </c>
      <c r="I1696" t="s">
        <v>2661</v>
      </c>
      <c r="J1696" t="str">
        <f>IF(0 = IFERROR(VLOOKUP(DBL_FullList!I1696, ContactsDbl!B:D, 2, FALSE), ""), "", IFERROR(VLOOKUP(DBL_FullList!I1696, ContactsDbl!B:D, 2, FALSE), ""))</f>
        <v>dbladmin_intl@sil.org</v>
      </c>
      <c r="K1696" t="str">
        <f>IF(0 = IFERROR(VLOOKUP(DBL_FullList!I1696,ContactsDbl!B:D, 3, FALSE), ""), "", IFERROR(VLOOKUP(DBL_FullList!I1696, ContactsDbl!B:D, 3, FALSE), ""))</f>
        <v>http://www.wycliffe.org</v>
      </c>
      <c r="L1696">
        <f t="shared" si="53"/>
        <v>2</v>
      </c>
    </row>
    <row r="1697" spans="1:12" x14ac:dyDescent="0.25">
      <c r="A1697" t="s">
        <v>8418</v>
      </c>
      <c r="B1697" t="str">
        <f>IF(ISERROR(VLOOKUP(F1697,STEP!A:A, 1, FALSE)), "N", "Y")</f>
        <v>N</v>
      </c>
      <c r="C1697" t="str">
        <f>IF(ISERROR(VLOOKUP(E1697, BibleInEveryLanguageTexts!A:A, 1, FALSE)), "N", "Y")</f>
        <v>N</v>
      </c>
      <c r="D1697" t="str">
        <f t="shared" si="52"/>
        <v>X</v>
      </c>
      <c r="E1697" t="s">
        <v>8419</v>
      </c>
      <c r="F1697" t="s">
        <v>8420</v>
      </c>
      <c r="G1697" t="s">
        <v>2858</v>
      </c>
      <c r="H1697" t="s">
        <v>8421</v>
      </c>
      <c r="I1697" t="s">
        <v>2661</v>
      </c>
      <c r="J1697" t="str">
        <f>IF(0 = IFERROR(VLOOKUP(DBL_FullList!I1697, ContactsDbl!B:D, 2, FALSE), ""), "", IFERROR(VLOOKUP(DBL_FullList!I1697, ContactsDbl!B:D, 2, FALSE), ""))</f>
        <v>dbladmin_intl@sil.org</v>
      </c>
      <c r="K1697" t="str">
        <f>IF(0 = IFERROR(VLOOKUP(DBL_FullList!I1697,ContactsDbl!B:D, 3, FALSE), ""), "", IFERROR(VLOOKUP(DBL_FullList!I1697, ContactsDbl!B:D, 3, FALSE), ""))</f>
        <v>http://www.wycliffe.org</v>
      </c>
      <c r="L1697">
        <f t="shared" si="53"/>
        <v>2</v>
      </c>
    </row>
    <row r="1698" spans="1:12" x14ac:dyDescent="0.25">
      <c r="A1698" t="s">
        <v>8422</v>
      </c>
      <c r="B1698" t="str">
        <f>IF(ISERROR(VLOOKUP(F1698,STEP!A:A, 1, FALSE)), "N", "Y")</f>
        <v>N</v>
      </c>
      <c r="C1698" t="str">
        <f>IF(ISERROR(VLOOKUP(E1698, BibleInEveryLanguageTexts!A:A, 1, FALSE)), "N", "Y")</f>
        <v>Y</v>
      </c>
      <c r="D1698" t="str">
        <f t="shared" si="52"/>
        <v/>
      </c>
      <c r="E1698" t="s">
        <v>2704</v>
      </c>
      <c r="F1698" t="s">
        <v>3193</v>
      </c>
      <c r="G1698" t="s">
        <v>3194</v>
      </c>
      <c r="H1698" t="s">
        <v>8423</v>
      </c>
      <c r="I1698" t="s">
        <v>2080</v>
      </c>
      <c r="J1698" t="str">
        <f>IF(0 = IFERROR(VLOOKUP(DBL_FullList!I1698, ContactsDbl!B:D, 2, FALSE), ""), "", IFERROR(VLOOKUP(DBL_FullList!I1698, ContactsDbl!B:D, 2, FALSE), ""))</f>
        <v>dbl@biblesocieties.org</v>
      </c>
      <c r="K1698" t="str">
        <f>IF(0 = IFERROR(VLOOKUP(DBL_FullList!I1698,ContactsDbl!B:D, 3, FALSE), ""), "", IFERROR(VLOOKUP(DBL_FullList!I1698, ContactsDbl!B:D, 3, FALSE), ""))</f>
        <v>http://www.biblia.ru/</v>
      </c>
      <c r="L1698">
        <f t="shared" si="53"/>
        <v>2</v>
      </c>
    </row>
    <row r="1699" spans="1:12" x14ac:dyDescent="0.25">
      <c r="A1699" t="s">
        <v>8424</v>
      </c>
      <c r="B1699" t="str">
        <f>IF(ISERROR(VLOOKUP(F1699,STEP!A:A, 1, FALSE)), "N", "Y")</f>
        <v>N</v>
      </c>
      <c r="C1699" t="str">
        <f>IF(ISERROR(VLOOKUP(E1699, BibleInEveryLanguageTexts!A:A, 1, FALSE)), "N", "Y")</f>
        <v>N</v>
      </c>
      <c r="D1699" t="str">
        <f t="shared" si="52"/>
        <v>X</v>
      </c>
      <c r="E1699" t="s">
        <v>8425</v>
      </c>
      <c r="F1699" t="s">
        <v>8426</v>
      </c>
      <c r="G1699" t="s">
        <v>3861</v>
      </c>
      <c r="H1699" t="s">
        <v>8427</v>
      </c>
      <c r="I1699" t="s">
        <v>2393</v>
      </c>
      <c r="J1699" t="str">
        <f>IF(0 = IFERROR(VLOOKUP(DBL_FullList!I1699, ContactsDbl!B:D, 2, FALSE), ""), "", IFERROR(VLOOKUP(DBL_FullList!I1699, ContactsDbl!B:D, 2, FALSE), ""))</f>
        <v>pstevens@biblesocieties.org</v>
      </c>
      <c r="K1699" t="str">
        <f>IF(0 = IFERROR(VLOOKUP(DBL_FullList!I1699,ContactsDbl!B:D, 3, FALSE), ""), "", IFERROR(VLOOKUP(DBL_FullList!I1699, ContactsDbl!B:D, 3, FALSE), ""))</f>
        <v>http://www.unitedbiblesocieties.org/society/bible-society-in-liberia/</v>
      </c>
      <c r="L1699">
        <f t="shared" si="53"/>
        <v>2</v>
      </c>
    </row>
    <row r="1700" spans="1:12" x14ac:dyDescent="0.25">
      <c r="A1700" t="s">
        <v>8428</v>
      </c>
      <c r="B1700" t="str">
        <f>IF(ISERROR(VLOOKUP(F1700,STEP!A:A, 1, FALSE)), "N", "Y")</f>
        <v>N</v>
      </c>
      <c r="C1700" t="str">
        <f>IF(ISERROR(VLOOKUP(E1700, BibleInEveryLanguageTexts!A:A, 1, FALSE)), "N", "Y")</f>
        <v>N</v>
      </c>
      <c r="D1700" t="str">
        <f t="shared" si="52"/>
        <v>X</v>
      </c>
      <c r="E1700" t="s">
        <v>8429</v>
      </c>
      <c r="F1700" t="s">
        <v>8430</v>
      </c>
      <c r="G1700" t="s">
        <v>4050</v>
      </c>
      <c r="H1700" t="s">
        <v>8431</v>
      </c>
      <c r="I1700" t="s">
        <v>2661</v>
      </c>
      <c r="J1700" t="str">
        <f>IF(0 = IFERROR(VLOOKUP(DBL_FullList!I1700, ContactsDbl!B:D, 2, FALSE), ""), "", IFERROR(VLOOKUP(DBL_FullList!I1700, ContactsDbl!B:D, 2, FALSE), ""))</f>
        <v>dbladmin_intl@sil.org</v>
      </c>
      <c r="K1700" t="str">
        <f>IF(0 = IFERROR(VLOOKUP(DBL_FullList!I1700,ContactsDbl!B:D, 3, FALSE), ""), "", IFERROR(VLOOKUP(DBL_FullList!I1700, ContactsDbl!B:D, 3, FALSE), ""))</f>
        <v>http://www.wycliffe.org</v>
      </c>
      <c r="L1700">
        <f t="shared" si="53"/>
        <v>2</v>
      </c>
    </row>
    <row r="1701" spans="1:12" x14ac:dyDescent="0.25">
      <c r="A1701" t="s">
        <v>8432</v>
      </c>
      <c r="B1701" t="str">
        <f>IF(ISERROR(VLOOKUP(F1701,STEP!A:A, 1, FALSE)), "N", "Y")</f>
        <v>N</v>
      </c>
      <c r="C1701" t="str">
        <f>IF(ISERROR(VLOOKUP(E1701, BibleInEveryLanguageTexts!A:A, 1, FALSE)), "N", "Y")</f>
        <v>N</v>
      </c>
      <c r="D1701" t="str">
        <f t="shared" si="52"/>
        <v>X</v>
      </c>
      <c r="E1701" t="s">
        <v>6493</v>
      </c>
      <c r="F1701" t="s">
        <v>6494</v>
      </c>
      <c r="G1701" t="s">
        <v>4050</v>
      </c>
      <c r="H1701" t="s">
        <v>8433</v>
      </c>
      <c r="I1701" t="s">
        <v>2433</v>
      </c>
      <c r="J1701" t="str">
        <f>IF(0 = IFERROR(VLOOKUP(DBL_FullList!I1701, ContactsDbl!B:D, 2, FALSE), ""), "", IFERROR(VLOOKUP(DBL_FullList!I1701, ContactsDbl!B:D, 2, FALSE), ""))</f>
        <v>igalicia@sbm.mx</v>
      </c>
      <c r="K1701" t="str">
        <f>IF(0 = IFERROR(VLOOKUP(DBL_FullList!I1701,ContactsDbl!B:D, 3, FALSE), ""), "", IFERROR(VLOOKUP(DBL_FullList!I1701, ContactsDbl!B:D, 3, FALSE), ""))</f>
        <v>www.sbm.mx</v>
      </c>
      <c r="L1701">
        <f t="shared" si="53"/>
        <v>2</v>
      </c>
    </row>
    <row r="1702" spans="1:12" x14ac:dyDescent="0.25">
      <c r="A1702" t="s">
        <v>8434</v>
      </c>
      <c r="B1702" t="str">
        <f>IF(ISERROR(VLOOKUP(F1702,STEP!A:A, 1, FALSE)), "N", "Y")</f>
        <v>N</v>
      </c>
      <c r="C1702" t="str">
        <f>IF(ISERROR(VLOOKUP(E1702, BibleInEveryLanguageTexts!A:A, 1, FALSE)), "N", "Y")</f>
        <v>N</v>
      </c>
      <c r="D1702" t="str">
        <f t="shared" si="52"/>
        <v>X</v>
      </c>
      <c r="E1702" t="s">
        <v>199</v>
      </c>
      <c r="F1702" t="s">
        <v>197</v>
      </c>
      <c r="G1702" t="s">
        <v>198</v>
      </c>
      <c r="H1702" t="s">
        <v>8435</v>
      </c>
      <c r="I1702" t="s">
        <v>2591</v>
      </c>
      <c r="J1702" t="str">
        <f>IF(0 = IFERROR(VLOOKUP(DBL_FullList!I1702, ContactsDbl!B:D, 2, FALSE), ""), "", IFERROR(VLOOKUP(DBL_FullList!I1702, ContactsDbl!B:D, 2, FALSE), ""))</f>
        <v/>
      </c>
      <c r="K1702" t="str">
        <f>IF(0 = IFERROR(VLOOKUP(DBL_FullList!I1702,ContactsDbl!B:D, 3, FALSE), ""), "", IFERROR(VLOOKUP(DBL_FullList!I1702, ContactsDbl!B:D, 3, FALSE), ""))</f>
        <v>http://sociedadbiblica.org</v>
      </c>
      <c r="L1702">
        <f t="shared" si="53"/>
        <v>1</v>
      </c>
    </row>
    <row r="1703" spans="1:12" x14ac:dyDescent="0.25">
      <c r="A1703" t="s">
        <v>8436</v>
      </c>
      <c r="B1703" t="str">
        <f>IF(ISERROR(VLOOKUP(F1703,STEP!A:A, 1, FALSE)), "N", "Y")</f>
        <v>N</v>
      </c>
      <c r="C1703" t="str">
        <f>IF(ISERROR(VLOOKUP(E1703, BibleInEveryLanguageTexts!A:A, 1, FALSE)), "N", "Y")</f>
        <v>N</v>
      </c>
      <c r="D1703" t="str">
        <f t="shared" si="52"/>
        <v>X</v>
      </c>
      <c r="E1703" t="s">
        <v>4321</v>
      </c>
      <c r="F1703" t="s">
        <v>4322</v>
      </c>
      <c r="G1703" t="s">
        <v>4323</v>
      </c>
      <c r="H1703" t="s">
        <v>8437</v>
      </c>
      <c r="I1703" t="s">
        <v>2013</v>
      </c>
      <c r="J1703" t="str">
        <f>IF(0 = IFERROR(VLOOKUP(DBL_FullList!I1703, ContactsDbl!B:D, 2, FALSE), ""), "", IFERROR(VLOOKUP(DBL_FullList!I1703, ContactsDbl!B:D, 2, FALSE), ""))</f>
        <v>fcossio@biblesocieties.org</v>
      </c>
      <c r="K1703" t="str">
        <f>IF(0 = IFERROR(VLOOKUP(DBL_FullList!I1703,ContactsDbl!B:D, 3, FALSE), ""), "", IFERROR(VLOOKUP(DBL_FullList!I1703, ContactsDbl!B:D, 3, FALSE), ""))</f>
        <v>http://sociedadbiblicaboliviana.org</v>
      </c>
      <c r="L1703">
        <f t="shared" si="53"/>
        <v>2</v>
      </c>
    </row>
    <row r="1704" spans="1:12" x14ac:dyDescent="0.25">
      <c r="A1704" t="s">
        <v>8438</v>
      </c>
      <c r="B1704" t="str">
        <f>IF(ISERROR(VLOOKUP(F1704,STEP!A:A, 1, FALSE)), "N", "Y")</f>
        <v>N</v>
      </c>
      <c r="C1704" t="str">
        <f>IF(ISERROR(VLOOKUP(E1704, BibleInEveryLanguageTexts!A:A, 1, FALSE)), "N", "Y")</f>
        <v>N</v>
      </c>
      <c r="D1704" t="str">
        <f t="shared" si="52"/>
        <v>X</v>
      </c>
      <c r="E1704" t="s">
        <v>8262</v>
      </c>
      <c r="F1704" t="s">
        <v>5434</v>
      </c>
      <c r="G1704" t="s">
        <v>5239</v>
      </c>
      <c r="H1704" t="s">
        <v>8439</v>
      </c>
      <c r="I1704" t="s">
        <v>2487</v>
      </c>
      <c r="J1704" t="str">
        <f>IF(0 = IFERROR(VLOOKUP(DBL_FullList!I1704, ContactsDbl!B:D, 2, FALSE), ""), "", IFERROR(VLOOKUP(DBL_FullList!I1704, ContactsDbl!B:D, 2, FALSE), ""))</f>
        <v/>
      </c>
      <c r="K1704" t="str">
        <f>IF(0 = IFERROR(VLOOKUP(DBL_FullList!I1704,ContactsDbl!B:D, 3, FALSE), ""), "", IFERROR(VLOOKUP(DBL_FullList!I1704, ContactsDbl!B:D, 3, FALSE), ""))</f>
        <v>http://www.bibelselskapet.no/</v>
      </c>
      <c r="L1704">
        <f t="shared" si="53"/>
        <v>1</v>
      </c>
    </row>
    <row r="1705" spans="1:12" x14ac:dyDescent="0.25">
      <c r="A1705" t="s">
        <v>8440</v>
      </c>
      <c r="B1705" t="str">
        <f>IF(ISERROR(VLOOKUP(F1705,STEP!A:A, 1, FALSE)), "N", "Y")</f>
        <v>N</v>
      </c>
      <c r="C1705" t="str">
        <f>IF(ISERROR(VLOOKUP(E1705, BibleInEveryLanguageTexts!A:A, 1, FALSE)), "N", "Y")</f>
        <v>N</v>
      </c>
      <c r="D1705" t="str">
        <f t="shared" si="52"/>
        <v>X</v>
      </c>
      <c r="E1705" t="s">
        <v>8441</v>
      </c>
      <c r="F1705" t="s">
        <v>8442</v>
      </c>
      <c r="G1705" t="s">
        <v>110</v>
      </c>
      <c r="H1705" t="s">
        <v>8443</v>
      </c>
      <c r="I1705" t="s">
        <v>2370</v>
      </c>
      <c r="J1705" t="str">
        <f>IF(0 = IFERROR(VLOOKUP(DBL_FullList!I1705, ContactsDbl!B:D, 2, FALSE), ""), "", IFERROR(VLOOKUP(DBL_FullList!I1705, ContactsDbl!B:D, 2, FALSE), ""))</f>
        <v>anwartjen@alkitab.or.id</v>
      </c>
      <c r="K1705" t="str">
        <f>IF(0 = IFERROR(VLOOKUP(DBL_FullList!I1705,ContactsDbl!B:D, 3, FALSE), ""), "", IFERROR(VLOOKUP(DBL_FullList!I1705, ContactsDbl!B:D, 3, FALSE), ""))</f>
        <v>http://www.alkitab.or.id/</v>
      </c>
      <c r="L1705">
        <f t="shared" si="53"/>
        <v>2</v>
      </c>
    </row>
    <row r="1706" spans="1:12" x14ac:dyDescent="0.25">
      <c r="A1706" t="s">
        <v>8444</v>
      </c>
      <c r="B1706" t="str">
        <f>IF(ISERROR(VLOOKUP(F1706,STEP!A:A, 1, FALSE)), "N", "Y")</f>
        <v>N</v>
      </c>
      <c r="C1706" t="str">
        <f>IF(ISERROR(VLOOKUP(E1706, BibleInEveryLanguageTexts!A:A, 1, FALSE)), "N", "Y")</f>
        <v>N</v>
      </c>
      <c r="D1706" t="str">
        <f t="shared" si="52"/>
        <v>X</v>
      </c>
      <c r="E1706" t="s">
        <v>8445</v>
      </c>
      <c r="F1706" t="s">
        <v>8446</v>
      </c>
      <c r="G1706" t="s">
        <v>4050</v>
      </c>
      <c r="H1706" t="s">
        <v>8447</v>
      </c>
      <c r="I1706" t="s">
        <v>2661</v>
      </c>
      <c r="J1706" t="str">
        <f>IF(0 = IFERROR(VLOOKUP(DBL_FullList!I1706, ContactsDbl!B:D, 2, FALSE), ""), "", IFERROR(VLOOKUP(DBL_FullList!I1706, ContactsDbl!B:D, 2, FALSE), ""))</f>
        <v>dbladmin_intl@sil.org</v>
      </c>
      <c r="K1706" t="str">
        <f>IF(0 = IFERROR(VLOOKUP(DBL_FullList!I1706,ContactsDbl!B:D, 3, FALSE), ""), "", IFERROR(VLOOKUP(DBL_FullList!I1706, ContactsDbl!B:D, 3, FALSE), ""))</f>
        <v>http://www.wycliffe.org</v>
      </c>
      <c r="L1706">
        <f t="shared" si="53"/>
        <v>2</v>
      </c>
    </row>
    <row r="1707" spans="1:12" x14ac:dyDescent="0.25">
      <c r="A1707" t="s">
        <v>8448</v>
      </c>
      <c r="B1707" t="str">
        <f>IF(ISERROR(VLOOKUP(F1707,STEP!A:A, 1, FALSE)), "N", "Y")</f>
        <v>N</v>
      </c>
      <c r="C1707" t="str">
        <f>IF(ISERROR(VLOOKUP(E1707, BibleInEveryLanguageTexts!A:A, 1, FALSE)), "N", "Y")</f>
        <v>N</v>
      </c>
      <c r="D1707" t="str">
        <f t="shared" si="52"/>
        <v>X</v>
      </c>
      <c r="E1707" t="s">
        <v>3831</v>
      </c>
      <c r="F1707" t="s">
        <v>3832</v>
      </c>
      <c r="G1707" t="s">
        <v>8449</v>
      </c>
      <c r="H1707" t="s">
        <v>8450</v>
      </c>
      <c r="I1707" t="s">
        <v>2354</v>
      </c>
      <c r="J1707" t="str">
        <f>IF(0 = IFERROR(VLOOKUP(DBL_FullList!I1707, ContactsDbl!B:D, 2, FALSE), ""), "", IFERROR(VLOOKUP(DBL_FullList!I1707, ContactsDbl!B:D, 2, FALSE), ""))</f>
        <v>hjyang@bskorea.or.kr</v>
      </c>
      <c r="K1707" t="str">
        <f>IF(0 = IFERROR(VLOOKUP(DBL_FullList!I1707,ContactsDbl!B:D, 3, FALSE), ""), "", IFERROR(VLOOKUP(DBL_FullList!I1707, ContactsDbl!B:D, 3, FALSE), ""))</f>
        <v>http://www.bskorea.or.kr/</v>
      </c>
      <c r="L1707">
        <f t="shared" si="53"/>
        <v>2</v>
      </c>
    </row>
    <row r="1708" spans="1:12" x14ac:dyDescent="0.25">
      <c r="A1708" t="s">
        <v>211</v>
      </c>
      <c r="B1708" t="str">
        <f>IF(ISERROR(VLOOKUP(F1708,STEP!A:A, 1, FALSE)), "N", "Y")</f>
        <v>N</v>
      </c>
      <c r="C1708" t="str">
        <f>IF(ISERROR(VLOOKUP(E1708, BibleInEveryLanguageTexts!A:A, 1, FALSE)), "N", "Y")</f>
        <v>N</v>
      </c>
      <c r="D1708" t="str">
        <f t="shared" si="52"/>
        <v>X</v>
      </c>
      <c r="E1708" t="s">
        <v>210</v>
      </c>
      <c r="F1708" t="s">
        <v>209</v>
      </c>
      <c r="G1708" t="s">
        <v>102</v>
      </c>
      <c r="H1708" t="s">
        <v>8451</v>
      </c>
      <c r="I1708" t="s">
        <v>45</v>
      </c>
      <c r="J1708" t="str">
        <f>IF(0 = IFERROR(VLOOKUP(DBL_FullList!I1708, ContactsDbl!B:D, 2, FALSE), ""), "", IFERROR(VLOOKUP(DBL_FullList!I1708, ContactsDbl!B:D, 2, FALSE), ""))</f>
        <v>pbt@pbti.org</v>
      </c>
      <c r="K1708" t="str">
        <f>IF(0 = IFERROR(VLOOKUP(DBL_FullList!I1708,ContactsDbl!B:D, 3, FALSE), ""), "", IFERROR(VLOOKUP(DBL_FullList!I1708, ContactsDbl!B:D, 3, FALSE), ""))</f>
        <v>www.pioneerbible.org</v>
      </c>
      <c r="L1708">
        <f t="shared" si="53"/>
        <v>2</v>
      </c>
    </row>
    <row r="1709" spans="1:12" x14ac:dyDescent="0.25">
      <c r="A1709" t="s">
        <v>8452</v>
      </c>
      <c r="B1709" t="str">
        <f>IF(ISERROR(VLOOKUP(F1709,STEP!A:A, 1, FALSE)), "N", "Y")</f>
        <v>N</v>
      </c>
      <c r="C1709" t="str">
        <f>IF(ISERROR(VLOOKUP(E1709, BibleInEveryLanguageTexts!A:A, 1, FALSE)), "N", "Y")</f>
        <v>N</v>
      </c>
      <c r="D1709" t="str">
        <f t="shared" si="52"/>
        <v>X</v>
      </c>
      <c r="E1709" t="s">
        <v>8453</v>
      </c>
      <c r="F1709" t="s">
        <v>8454</v>
      </c>
      <c r="G1709" t="s">
        <v>4919</v>
      </c>
      <c r="H1709" t="s">
        <v>8455</v>
      </c>
      <c r="I1709" t="s">
        <v>2661</v>
      </c>
      <c r="J1709" t="str">
        <f>IF(0 = IFERROR(VLOOKUP(DBL_FullList!I1709, ContactsDbl!B:D, 2, FALSE), ""), "", IFERROR(VLOOKUP(DBL_FullList!I1709, ContactsDbl!B:D, 2, FALSE), ""))</f>
        <v>dbladmin_intl@sil.org</v>
      </c>
      <c r="K1709" t="str">
        <f>IF(0 = IFERROR(VLOOKUP(DBL_FullList!I1709,ContactsDbl!B:D, 3, FALSE), ""), "", IFERROR(VLOOKUP(DBL_FullList!I1709, ContactsDbl!B:D, 3, FALSE), ""))</f>
        <v>http://www.wycliffe.org</v>
      </c>
      <c r="L1709">
        <f t="shared" si="53"/>
        <v>2</v>
      </c>
    </row>
    <row r="1710" spans="1:12" x14ac:dyDescent="0.25">
      <c r="A1710" t="s">
        <v>8456</v>
      </c>
      <c r="B1710" t="str">
        <f>IF(ISERROR(VLOOKUP(F1710,STEP!A:A, 1, FALSE)), "N", "Y")</f>
        <v>N</v>
      </c>
      <c r="C1710" t="str">
        <f>IF(ISERROR(VLOOKUP(E1710, BibleInEveryLanguageTexts!A:A, 1, FALSE)), "N", "Y")</f>
        <v>Y</v>
      </c>
      <c r="D1710" t="str">
        <f t="shared" si="52"/>
        <v/>
      </c>
      <c r="E1710" t="s">
        <v>111</v>
      </c>
      <c r="F1710" t="s">
        <v>109</v>
      </c>
      <c r="G1710" t="s">
        <v>110</v>
      </c>
      <c r="H1710" t="s">
        <v>8457</v>
      </c>
      <c r="I1710" t="s">
        <v>2370</v>
      </c>
      <c r="J1710" t="str">
        <f>IF(0 = IFERROR(VLOOKUP(DBL_FullList!I1710, ContactsDbl!B:D, 2, FALSE), ""), "", IFERROR(VLOOKUP(DBL_FullList!I1710, ContactsDbl!B:D, 2, FALSE), ""))</f>
        <v>anwartjen@alkitab.or.id</v>
      </c>
      <c r="K1710" t="str">
        <f>IF(0 = IFERROR(VLOOKUP(DBL_FullList!I1710,ContactsDbl!B:D, 3, FALSE), ""), "", IFERROR(VLOOKUP(DBL_FullList!I1710, ContactsDbl!B:D, 3, FALSE), ""))</f>
        <v>http://www.alkitab.or.id/</v>
      </c>
      <c r="L1710">
        <f t="shared" si="53"/>
        <v>2</v>
      </c>
    </row>
    <row r="1711" spans="1:12" x14ac:dyDescent="0.25">
      <c r="A1711" t="s">
        <v>8458</v>
      </c>
      <c r="B1711" t="str">
        <f>IF(ISERROR(VLOOKUP(F1711,STEP!A:A, 1, FALSE)), "N", "Y")</f>
        <v>N</v>
      </c>
      <c r="C1711" t="str">
        <f>IF(ISERROR(VLOOKUP(E1711, BibleInEveryLanguageTexts!A:A, 1, FALSE)), "N", "Y")</f>
        <v>Y</v>
      </c>
      <c r="D1711" t="str">
        <f t="shared" si="52"/>
        <v/>
      </c>
      <c r="E1711" t="s">
        <v>2704</v>
      </c>
      <c r="F1711" t="s">
        <v>3193</v>
      </c>
      <c r="G1711" t="s">
        <v>8459</v>
      </c>
      <c r="H1711" t="s">
        <v>8460</v>
      </c>
      <c r="I1711" t="s">
        <v>1997</v>
      </c>
      <c r="J1711" t="str">
        <f>IF(0 = IFERROR(VLOOKUP(DBL_FullList!I1711, ContactsDbl!B:D, 2, FALSE), ""), "", IFERROR(VLOOKUP(DBL_FullList!I1711, ContactsDbl!B:D, 2, FALSE), ""))</f>
        <v>Lee.Harris@biblica.com</v>
      </c>
      <c r="K1711" t="str">
        <f>IF(0 = IFERROR(VLOOKUP(DBL_FullList!I1711,ContactsDbl!B:D, 3, FALSE), ""), "", IFERROR(VLOOKUP(DBL_FullList!I1711, ContactsDbl!B:D, 3, FALSE), ""))</f>
        <v>http://www.Biblica.com</v>
      </c>
      <c r="L1711">
        <f t="shared" si="53"/>
        <v>2</v>
      </c>
    </row>
    <row r="1712" spans="1:12" x14ac:dyDescent="0.25">
      <c r="A1712" t="s">
        <v>8461</v>
      </c>
      <c r="B1712" t="str">
        <f>IF(ISERROR(VLOOKUP(F1712,STEP!A:A, 1, FALSE)), "N", "Y")</f>
        <v>N</v>
      </c>
      <c r="C1712" t="str">
        <f>IF(ISERROR(VLOOKUP(E1712, BibleInEveryLanguageTexts!A:A, 1, FALSE)), "N", "Y")</f>
        <v>N</v>
      </c>
      <c r="D1712" t="str">
        <f t="shared" si="52"/>
        <v>X</v>
      </c>
      <c r="E1712" t="s">
        <v>8462</v>
      </c>
      <c r="F1712" t="s">
        <v>8463</v>
      </c>
      <c r="G1712" t="s">
        <v>4050</v>
      </c>
      <c r="H1712" t="s">
        <v>8464</v>
      </c>
      <c r="I1712" t="s">
        <v>2661</v>
      </c>
      <c r="J1712" t="str">
        <f>IF(0 = IFERROR(VLOOKUP(DBL_FullList!I1712, ContactsDbl!B:D, 2, FALSE), ""), "", IFERROR(VLOOKUP(DBL_FullList!I1712, ContactsDbl!B:D, 2, FALSE), ""))</f>
        <v>dbladmin_intl@sil.org</v>
      </c>
      <c r="K1712" t="str">
        <f>IF(0 = IFERROR(VLOOKUP(DBL_FullList!I1712,ContactsDbl!B:D, 3, FALSE), ""), "", IFERROR(VLOOKUP(DBL_FullList!I1712, ContactsDbl!B:D, 3, FALSE), ""))</f>
        <v>http://www.wycliffe.org</v>
      </c>
      <c r="L1712">
        <f t="shared" si="53"/>
        <v>2</v>
      </c>
    </row>
    <row r="1713" spans="1:12" x14ac:dyDescent="0.25">
      <c r="A1713" t="s">
        <v>8465</v>
      </c>
      <c r="B1713" t="str">
        <f>IF(ISERROR(VLOOKUP(F1713,STEP!A:A, 1, FALSE)), "N", "Y")</f>
        <v>N</v>
      </c>
      <c r="C1713" t="str">
        <f>IF(ISERROR(VLOOKUP(E1713, BibleInEveryLanguageTexts!A:A, 1, FALSE)), "N", "Y")</f>
        <v>N</v>
      </c>
      <c r="D1713" t="str">
        <f t="shared" si="52"/>
        <v>X</v>
      </c>
      <c r="E1713" t="s">
        <v>8466</v>
      </c>
      <c r="F1713" t="s">
        <v>8467</v>
      </c>
      <c r="G1713" t="s">
        <v>4050</v>
      </c>
      <c r="H1713" t="s">
        <v>8468</v>
      </c>
      <c r="I1713" t="s">
        <v>2661</v>
      </c>
      <c r="J1713" t="str">
        <f>IF(0 = IFERROR(VLOOKUP(DBL_FullList!I1713, ContactsDbl!B:D, 2, FALSE), ""), "", IFERROR(VLOOKUP(DBL_FullList!I1713, ContactsDbl!B:D, 2, FALSE), ""))</f>
        <v>dbladmin_intl@sil.org</v>
      </c>
      <c r="K1713" t="str">
        <f>IF(0 = IFERROR(VLOOKUP(DBL_FullList!I1713,ContactsDbl!B:D, 3, FALSE), ""), "", IFERROR(VLOOKUP(DBL_FullList!I1713, ContactsDbl!B:D, 3, FALSE), ""))</f>
        <v>http://www.wycliffe.org</v>
      </c>
      <c r="L1713">
        <f t="shared" si="53"/>
        <v>2</v>
      </c>
    </row>
    <row r="1714" spans="1:12" x14ac:dyDescent="0.25">
      <c r="A1714" t="s">
        <v>8469</v>
      </c>
      <c r="B1714" t="str">
        <f>IF(ISERROR(VLOOKUP(F1714,STEP!A:A, 1, FALSE)), "N", "Y")</f>
        <v>N</v>
      </c>
      <c r="C1714" t="str">
        <f>IF(ISERROR(VLOOKUP(E1714, BibleInEveryLanguageTexts!A:A, 1, FALSE)), "N", "Y")</f>
        <v>N</v>
      </c>
      <c r="D1714" t="str">
        <f t="shared" si="52"/>
        <v>X</v>
      </c>
      <c r="E1714" t="s">
        <v>8470</v>
      </c>
      <c r="F1714" t="s">
        <v>8471</v>
      </c>
      <c r="G1714" t="s">
        <v>4050</v>
      </c>
      <c r="H1714" t="s">
        <v>8472</v>
      </c>
      <c r="I1714" t="s">
        <v>2661</v>
      </c>
      <c r="J1714" t="str">
        <f>IF(0 = IFERROR(VLOOKUP(DBL_FullList!I1714, ContactsDbl!B:D, 2, FALSE), ""), "", IFERROR(VLOOKUP(DBL_FullList!I1714, ContactsDbl!B:D, 2, FALSE), ""))</f>
        <v>dbladmin_intl@sil.org</v>
      </c>
      <c r="K1714" t="str">
        <f>IF(0 = IFERROR(VLOOKUP(DBL_FullList!I1714,ContactsDbl!B:D, 3, FALSE), ""), "", IFERROR(VLOOKUP(DBL_FullList!I1714, ContactsDbl!B:D, 3, FALSE), ""))</f>
        <v>http://www.wycliffe.org</v>
      </c>
      <c r="L1714">
        <f t="shared" si="53"/>
        <v>2</v>
      </c>
    </row>
    <row r="1715" spans="1:12" x14ac:dyDescent="0.25">
      <c r="A1715" t="s">
        <v>8473</v>
      </c>
      <c r="B1715" t="str">
        <f>IF(ISERROR(VLOOKUP(F1715,STEP!A:A, 1, FALSE)), "N", "Y")</f>
        <v>N</v>
      </c>
      <c r="C1715" t="str">
        <f>IF(ISERROR(VLOOKUP(E1715, BibleInEveryLanguageTexts!A:A, 1, FALSE)), "N", "Y")</f>
        <v>N</v>
      </c>
      <c r="D1715" t="str">
        <f t="shared" si="52"/>
        <v>X</v>
      </c>
      <c r="E1715" t="s">
        <v>8474</v>
      </c>
      <c r="F1715" t="s">
        <v>8475</v>
      </c>
      <c r="G1715" t="s">
        <v>4050</v>
      </c>
      <c r="H1715" t="s">
        <v>8476</v>
      </c>
      <c r="I1715" t="s">
        <v>2661</v>
      </c>
      <c r="J1715" t="str">
        <f>IF(0 = IFERROR(VLOOKUP(DBL_FullList!I1715, ContactsDbl!B:D, 2, FALSE), ""), "", IFERROR(VLOOKUP(DBL_FullList!I1715, ContactsDbl!B:D, 2, FALSE), ""))</f>
        <v>dbladmin_intl@sil.org</v>
      </c>
      <c r="K1715" t="str">
        <f>IF(0 = IFERROR(VLOOKUP(DBL_FullList!I1715,ContactsDbl!B:D, 3, FALSE), ""), "", IFERROR(VLOOKUP(DBL_FullList!I1715, ContactsDbl!B:D, 3, FALSE), ""))</f>
        <v>http://www.wycliffe.org</v>
      </c>
      <c r="L1715">
        <f t="shared" si="53"/>
        <v>2</v>
      </c>
    </row>
    <row r="1716" spans="1:12" x14ac:dyDescent="0.25">
      <c r="A1716" t="s">
        <v>8477</v>
      </c>
      <c r="B1716" t="str">
        <f>IF(ISERROR(VLOOKUP(F1716,STEP!A:A, 1, FALSE)), "N", "Y")</f>
        <v>N</v>
      </c>
      <c r="C1716" t="str">
        <f>IF(ISERROR(VLOOKUP(E1716, BibleInEveryLanguageTexts!A:A, 1, FALSE)), "N", "Y")</f>
        <v>N</v>
      </c>
      <c r="D1716" t="str">
        <f t="shared" si="52"/>
        <v>X</v>
      </c>
      <c r="E1716" t="s">
        <v>8478</v>
      </c>
      <c r="F1716" t="s">
        <v>8479</v>
      </c>
      <c r="G1716" t="s">
        <v>4050</v>
      </c>
      <c r="H1716" t="s">
        <v>8480</v>
      </c>
      <c r="I1716" t="s">
        <v>2661</v>
      </c>
      <c r="J1716" t="str">
        <f>IF(0 = IFERROR(VLOOKUP(DBL_FullList!I1716, ContactsDbl!B:D, 2, FALSE), ""), "", IFERROR(VLOOKUP(DBL_FullList!I1716, ContactsDbl!B:D, 2, FALSE), ""))</f>
        <v>dbladmin_intl@sil.org</v>
      </c>
      <c r="K1716" t="str">
        <f>IF(0 = IFERROR(VLOOKUP(DBL_FullList!I1716,ContactsDbl!B:D, 3, FALSE), ""), "", IFERROR(VLOOKUP(DBL_FullList!I1716, ContactsDbl!B:D, 3, FALSE), ""))</f>
        <v>http://www.wycliffe.org</v>
      </c>
      <c r="L1716">
        <f t="shared" si="53"/>
        <v>2</v>
      </c>
    </row>
    <row r="1717" spans="1:12" x14ac:dyDescent="0.25">
      <c r="A1717" t="s">
        <v>8481</v>
      </c>
      <c r="B1717" t="str">
        <f>IF(ISERROR(VLOOKUP(F1717,STEP!A:A, 1, FALSE)), "N", "Y")</f>
        <v>N</v>
      </c>
      <c r="C1717" t="str">
        <f>IF(ISERROR(VLOOKUP(E1717, BibleInEveryLanguageTexts!A:A, 1, FALSE)), "N", "Y")</f>
        <v>N</v>
      </c>
      <c r="D1717" t="str">
        <f t="shared" si="52"/>
        <v>X</v>
      </c>
      <c r="E1717" t="s">
        <v>8482</v>
      </c>
      <c r="F1717" t="s">
        <v>8483</v>
      </c>
      <c r="G1717" t="s">
        <v>2858</v>
      </c>
      <c r="H1717" t="s">
        <v>8484</v>
      </c>
      <c r="I1717" t="s">
        <v>2661</v>
      </c>
      <c r="J1717" t="str">
        <f>IF(0 = IFERROR(VLOOKUP(DBL_FullList!I1717, ContactsDbl!B:D, 2, FALSE), ""), "", IFERROR(VLOOKUP(DBL_FullList!I1717, ContactsDbl!B:D, 2, FALSE), ""))</f>
        <v>dbladmin_intl@sil.org</v>
      </c>
      <c r="K1717" t="str">
        <f>IF(0 = IFERROR(VLOOKUP(DBL_FullList!I1717,ContactsDbl!B:D, 3, FALSE), ""), "", IFERROR(VLOOKUP(DBL_FullList!I1717, ContactsDbl!B:D, 3, FALSE), ""))</f>
        <v>http://www.wycliffe.org</v>
      </c>
      <c r="L1717">
        <f t="shared" si="53"/>
        <v>2</v>
      </c>
    </row>
    <row r="1718" spans="1:12" x14ac:dyDescent="0.25">
      <c r="A1718" t="s">
        <v>8485</v>
      </c>
      <c r="B1718" t="str">
        <f>IF(ISERROR(VLOOKUP(F1718,STEP!A:A, 1, FALSE)), "N", "Y")</f>
        <v>N</v>
      </c>
      <c r="C1718" t="str">
        <f>IF(ISERROR(VLOOKUP(E1718, BibleInEveryLanguageTexts!A:A, 1, FALSE)), "N", "Y")</f>
        <v>N</v>
      </c>
      <c r="D1718" t="str">
        <f t="shared" si="52"/>
        <v>X</v>
      </c>
      <c r="E1718" t="s">
        <v>8486</v>
      </c>
      <c r="F1718" t="s">
        <v>8487</v>
      </c>
      <c r="G1718" t="s">
        <v>2723</v>
      </c>
      <c r="H1718" t="s">
        <v>8488</v>
      </c>
      <c r="I1718" t="s">
        <v>2661</v>
      </c>
      <c r="J1718" t="str">
        <f>IF(0 = IFERROR(VLOOKUP(DBL_FullList!I1718, ContactsDbl!B:D, 2, FALSE), ""), "", IFERROR(VLOOKUP(DBL_FullList!I1718, ContactsDbl!B:D, 2, FALSE), ""))</f>
        <v>dbladmin_intl@sil.org</v>
      </c>
      <c r="K1718" t="str">
        <f>IF(0 = IFERROR(VLOOKUP(DBL_FullList!I1718,ContactsDbl!B:D, 3, FALSE), ""), "", IFERROR(VLOOKUP(DBL_FullList!I1718, ContactsDbl!B:D, 3, FALSE), ""))</f>
        <v>http://www.wycliffe.org</v>
      </c>
      <c r="L1718">
        <f t="shared" si="53"/>
        <v>2</v>
      </c>
    </row>
    <row r="1719" spans="1:12" x14ac:dyDescent="0.25">
      <c r="A1719" t="s">
        <v>8489</v>
      </c>
      <c r="B1719" t="str">
        <f>IF(ISERROR(VLOOKUP(F1719,STEP!A:A, 1, FALSE)), "N", "Y")</f>
        <v>N</v>
      </c>
      <c r="C1719" t="str">
        <f>IF(ISERROR(VLOOKUP(E1719, BibleInEveryLanguageTexts!A:A, 1, FALSE)), "N", "Y")</f>
        <v>N</v>
      </c>
      <c r="D1719" t="str">
        <f t="shared" si="52"/>
        <v>X</v>
      </c>
      <c r="E1719" t="s">
        <v>8490</v>
      </c>
      <c r="F1719" t="s">
        <v>8491</v>
      </c>
      <c r="G1719" t="s">
        <v>4050</v>
      </c>
      <c r="H1719" t="s">
        <v>8492</v>
      </c>
      <c r="I1719" t="s">
        <v>2661</v>
      </c>
      <c r="J1719" t="str">
        <f>IF(0 = IFERROR(VLOOKUP(DBL_FullList!I1719, ContactsDbl!B:D, 2, FALSE), ""), "", IFERROR(VLOOKUP(DBL_FullList!I1719, ContactsDbl!B:D, 2, FALSE), ""))</f>
        <v>dbladmin_intl@sil.org</v>
      </c>
      <c r="K1719" t="str">
        <f>IF(0 = IFERROR(VLOOKUP(DBL_FullList!I1719,ContactsDbl!B:D, 3, FALSE), ""), "", IFERROR(VLOOKUP(DBL_FullList!I1719, ContactsDbl!B:D, 3, FALSE), ""))</f>
        <v>http://www.wycliffe.org</v>
      </c>
      <c r="L1719">
        <f t="shared" si="53"/>
        <v>2</v>
      </c>
    </row>
    <row r="1720" spans="1:12" x14ac:dyDescent="0.25">
      <c r="A1720" t="s">
        <v>8493</v>
      </c>
      <c r="B1720" t="str">
        <f>IF(ISERROR(VLOOKUP(F1720,STEP!A:A, 1, FALSE)), "N", "Y")</f>
        <v>N</v>
      </c>
      <c r="C1720" t="str">
        <f>IF(ISERROR(VLOOKUP(E1720, BibleInEveryLanguageTexts!A:A, 1, FALSE)), "N", "Y")</f>
        <v>N</v>
      </c>
      <c r="D1720" t="str">
        <f t="shared" si="52"/>
        <v>X</v>
      </c>
      <c r="E1720" t="s">
        <v>8494</v>
      </c>
      <c r="F1720" t="s">
        <v>8495</v>
      </c>
      <c r="G1720" t="s">
        <v>4050</v>
      </c>
      <c r="H1720" t="s">
        <v>8496</v>
      </c>
      <c r="I1720" t="s">
        <v>2661</v>
      </c>
      <c r="J1720" t="str">
        <f>IF(0 = IFERROR(VLOOKUP(DBL_FullList!I1720, ContactsDbl!B:D, 2, FALSE), ""), "", IFERROR(VLOOKUP(DBL_FullList!I1720, ContactsDbl!B:D, 2, FALSE), ""))</f>
        <v>dbladmin_intl@sil.org</v>
      </c>
      <c r="K1720" t="str">
        <f>IF(0 = IFERROR(VLOOKUP(DBL_FullList!I1720,ContactsDbl!B:D, 3, FALSE), ""), "", IFERROR(VLOOKUP(DBL_FullList!I1720, ContactsDbl!B:D, 3, FALSE), ""))</f>
        <v>http://www.wycliffe.org</v>
      </c>
      <c r="L1720">
        <f t="shared" si="53"/>
        <v>2</v>
      </c>
    </row>
    <row r="1721" spans="1:12" x14ac:dyDescent="0.25">
      <c r="A1721" t="s">
        <v>8497</v>
      </c>
      <c r="B1721" t="str">
        <f>IF(ISERROR(VLOOKUP(F1721,STEP!A:A, 1, FALSE)), "N", "Y")</f>
        <v>N</v>
      </c>
      <c r="C1721" t="str">
        <f>IF(ISERROR(VLOOKUP(E1721, BibleInEveryLanguageTexts!A:A, 1, FALSE)), "N", "Y")</f>
        <v>N</v>
      </c>
      <c r="D1721" t="str">
        <f t="shared" si="52"/>
        <v>X</v>
      </c>
      <c r="E1721" t="s">
        <v>334</v>
      </c>
      <c r="F1721" t="s">
        <v>332</v>
      </c>
      <c r="G1721" t="s">
        <v>4253</v>
      </c>
      <c r="H1721" t="s">
        <v>8498</v>
      </c>
      <c r="I1721" t="s">
        <v>2513</v>
      </c>
      <c r="J1721" t="str">
        <f>IF(0 = IFERROR(VLOOKUP(DBL_FullList!I1721, ContactsDbl!B:D, 2, FALSE), ""), "", IFERROR(VLOOKUP(DBL_FullList!I1721, ContactsDbl!B:D, 2, FALSE), ""))</f>
        <v/>
      </c>
      <c r="K1721" t="str">
        <f>IF(0 = IFERROR(VLOOKUP(DBL_FullList!I1721,ContactsDbl!B:D, 3, FALSE), ""), "", IFERROR(VLOOKUP(DBL_FullList!I1721, ContactsDbl!B:D, 3, FALSE), ""))</f>
        <v>http://www.sociedade-biblica.pt/</v>
      </c>
      <c r="L1721">
        <f t="shared" si="53"/>
        <v>1</v>
      </c>
    </row>
    <row r="1722" spans="1:12" x14ac:dyDescent="0.25">
      <c r="A1722" t="s">
        <v>8499</v>
      </c>
      <c r="B1722" t="str">
        <f>IF(ISERROR(VLOOKUP(F1722,STEP!A:A, 1, FALSE)), "N", "Y")</f>
        <v>N</v>
      </c>
      <c r="C1722" t="str">
        <f>IF(ISERROR(VLOOKUP(E1722, BibleInEveryLanguageTexts!A:A, 1, FALSE)), "N", "Y")</f>
        <v>Y</v>
      </c>
      <c r="D1722" t="str">
        <f t="shared" si="52"/>
        <v/>
      </c>
      <c r="E1722" t="s">
        <v>12</v>
      </c>
      <c r="F1722" t="s">
        <v>10</v>
      </c>
      <c r="G1722" t="s">
        <v>27</v>
      </c>
      <c r="H1722" t="s">
        <v>8500</v>
      </c>
      <c r="I1722" t="s">
        <v>3104</v>
      </c>
      <c r="J1722" t="str">
        <f>IF(0 = IFERROR(VLOOKUP(DBL_FullList!I1722, ContactsDbl!B:D, 2, FALSE), ""), "", IFERROR(VLOOKUP(DBL_FullList!I1722, ContactsDbl!B:D, 2, FALSE), ""))</f>
        <v/>
      </c>
      <c r="K1722" t="str">
        <f>IF(0 = IFERROR(VLOOKUP(DBL_FullList!I1722,ContactsDbl!B:D, 3, FALSE), ""), "", IFERROR(VLOOKUP(DBL_FullList!I1722, ContactsDbl!B:D, 3, FALSE), ""))</f>
        <v/>
      </c>
      <c r="L1722">
        <f t="shared" si="53"/>
        <v>0</v>
      </c>
    </row>
    <row r="1723" spans="1:12" x14ac:dyDescent="0.25">
      <c r="A1723" s="1" t="s">
        <v>8501</v>
      </c>
      <c r="B1723" t="str">
        <f>IF(ISERROR(VLOOKUP(F1723,STEP!A:A, 1, FALSE)), "N", "Y")</f>
        <v>N</v>
      </c>
      <c r="C1723" t="str">
        <f>IF(ISERROR(VLOOKUP(E1723, BibleInEveryLanguageTexts!A:A, 1, FALSE)), "N", "Y")</f>
        <v>N</v>
      </c>
      <c r="D1723" t="str">
        <f t="shared" si="52"/>
        <v>X</v>
      </c>
      <c r="E1723" t="s">
        <v>116</v>
      </c>
      <c r="F1723" t="s">
        <v>114</v>
      </c>
      <c r="G1723" t="s">
        <v>115</v>
      </c>
      <c r="H1723" t="s">
        <v>8502</v>
      </c>
      <c r="I1723" t="s">
        <v>2623</v>
      </c>
      <c r="J1723" t="str">
        <f>IF(0 = IFERROR(VLOOKUP(DBL_FullList!I1723, ContactsDbl!B:D, 2, FALSE), ""), "", IFERROR(VLOOKUP(DBL_FullList!I1723, ContactsDbl!B:D, 2, FALSE), ""))</f>
        <v>seree@thaibible.or.th</v>
      </c>
      <c r="K1723" t="str">
        <f>IF(0 = IFERROR(VLOOKUP(DBL_FullList!I1723,ContactsDbl!B:D, 3, FALSE), ""), "", IFERROR(VLOOKUP(DBL_FullList!I1723, ContactsDbl!B:D, 3, FALSE), ""))</f>
        <v>http://www.thaibible.or.th/</v>
      </c>
      <c r="L1723">
        <f t="shared" si="53"/>
        <v>2</v>
      </c>
    </row>
    <row r="1724" spans="1:12" x14ac:dyDescent="0.25">
      <c r="A1724" t="s">
        <v>8503</v>
      </c>
      <c r="B1724" t="str">
        <f>IF(ISERROR(VLOOKUP(F1724,STEP!A:A, 1, FALSE)), "N", "Y")</f>
        <v>N</v>
      </c>
      <c r="C1724" t="str">
        <f>IF(ISERROR(VLOOKUP(E1724, BibleInEveryLanguageTexts!A:A, 1, FALSE)), "N", "Y")</f>
        <v>N</v>
      </c>
      <c r="D1724" t="str">
        <f t="shared" si="52"/>
        <v>X</v>
      </c>
      <c r="E1724" t="s">
        <v>8504</v>
      </c>
      <c r="F1724" t="s">
        <v>8505</v>
      </c>
      <c r="G1724" t="s">
        <v>2858</v>
      </c>
      <c r="H1724" t="s">
        <v>8506</v>
      </c>
      <c r="I1724" t="s">
        <v>2661</v>
      </c>
      <c r="J1724" t="str">
        <f>IF(0 = IFERROR(VLOOKUP(DBL_FullList!I1724, ContactsDbl!B:D, 2, FALSE), ""), "", IFERROR(VLOOKUP(DBL_FullList!I1724, ContactsDbl!B:D, 2, FALSE), ""))</f>
        <v>dbladmin_intl@sil.org</v>
      </c>
      <c r="K1724" t="str">
        <f>IF(0 = IFERROR(VLOOKUP(DBL_FullList!I1724,ContactsDbl!B:D, 3, FALSE), ""), "", IFERROR(VLOOKUP(DBL_FullList!I1724, ContactsDbl!B:D, 3, FALSE), ""))</f>
        <v>http://www.wycliffe.org</v>
      </c>
      <c r="L1724">
        <f t="shared" si="53"/>
        <v>2</v>
      </c>
    </row>
    <row r="1725" spans="1:12" x14ac:dyDescent="0.25">
      <c r="A1725" t="s">
        <v>8507</v>
      </c>
      <c r="B1725" t="str">
        <f>IF(ISERROR(VLOOKUP(F1725,STEP!A:A, 1, FALSE)), "N", "Y")</f>
        <v>N</v>
      </c>
      <c r="C1725" t="str">
        <f>IF(ISERROR(VLOOKUP(E1725, BibleInEveryLanguageTexts!A:A, 1, FALSE)), "N", "Y")</f>
        <v>N</v>
      </c>
      <c r="D1725" t="str">
        <f t="shared" si="52"/>
        <v>X</v>
      </c>
      <c r="E1725" t="s">
        <v>8508</v>
      </c>
      <c r="F1725" t="s">
        <v>8509</v>
      </c>
      <c r="G1725" t="s">
        <v>3861</v>
      </c>
      <c r="H1725" t="s">
        <v>8510</v>
      </c>
      <c r="I1725" t="s">
        <v>2393</v>
      </c>
      <c r="J1725" t="str">
        <f>IF(0 = IFERROR(VLOOKUP(DBL_FullList!I1725, ContactsDbl!B:D, 2, FALSE), ""), "", IFERROR(VLOOKUP(DBL_FullList!I1725, ContactsDbl!B:D, 2, FALSE), ""))</f>
        <v>pstevens@biblesocieties.org</v>
      </c>
      <c r="K1725" t="str">
        <f>IF(0 = IFERROR(VLOOKUP(DBL_FullList!I1725,ContactsDbl!B:D, 3, FALSE), ""), "", IFERROR(VLOOKUP(DBL_FullList!I1725, ContactsDbl!B:D, 3, FALSE), ""))</f>
        <v>http://www.unitedbiblesocieties.org/society/bible-society-in-liberia/</v>
      </c>
      <c r="L1725">
        <f t="shared" si="53"/>
        <v>2</v>
      </c>
    </row>
    <row r="1726" spans="1:12" x14ac:dyDescent="0.25">
      <c r="A1726" t="s">
        <v>8511</v>
      </c>
      <c r="B1726" t="str">
        <f>IF(ISERROR(VLOOKUP(F1726,STEP!A:A, 1, FALSE)), "N", "Y")</f>
        <v>N</v>
      </c>
      <c r="C1726" t="str">
        <f>IF(ISERROR(VLOOKUP(E1726, BibleInEveryLanguageTexts!A:A, 1, FALSE)), "N", "Y")</f>
        <v>N</v>
      </c>
      <c r="D1726" t="str">
        <f t="shared" si="52"/>
        <v>X</v>
      </c>
      <c r="E1726" t="s">
        <v>8512</v>
      </c>
      <c r="F1726" t="s">
        <v>8513</v>
      </c>
      <c r="G1726" t="s">
        <v>4050</v>
      </c>
      <c r="H1726" t="s">
        <v>8514</v>
      </c>
      <c r="I1726" t="s">
        <v>2661</v>
      </c>
      <c r="J1726" t="str">
        <f>IF(0 = IFERROR(VLOOKUP(DBL_FullList!I1726, ContactsDbl!B:D, 2, FALSE), ""), "", IFERROR(VLOOKUP(DBL_FullList!I1726, ContactsDbl!B:D, 2, FALSE), ""))</f>
        <v>dbladmin_intl@sil.org</v>
      </c>
      <c r="K1726" t="str">
        <f>IF(0 = IFERROR(VLOOKUP(DBL_FullList!I1726,ContactsDbl!B:D, 3, FALSE), ""), "", IFERROR(VLOOKUP(DBL_FullList!I1726, ContactsDbl!B:D, 3, FALSE), ""))</f>
        <v>http://www.wycliffe.org</v>
      </c>
      <c r="L1726">
        <f t="shared" si="53"/>
        <v>2</v>
      </c>
    </row>
    <row r="1727" spans="1:12" x14ac:dyDescent="0.25">
      <c r="A1727" t="s">
        <v>8515</v>
      </c>
      <c r="B1727" t="str">
        <f>IF(ISERROR(VLOOKUP(F1727,STEP!A:A, 1, FALSE)), "N", "Y")</f>
        <v>N</v>
      </c>
      <c r="C1727" t="str">
        <f>IF(ISERROR(VLOOKUP(E1727, BibleInEveryLanguageTexts!A:A, 1, FALSE)), "N", "Y")</f>
        <v>N</v>
      </c>
      <c r="D1727" t="str">
        <f t="shared" si="52"/>
        <v>X</v>
      </c>
      <c r="E1727" t="s">
        <v>8516</v>
      </c>
      <c r="F1727" t="s">
        <v>8517</v>
      </c>
      <c r="G1727" t="s">
        <v>4050</v>
      </c>
      <c r="H1727" t="s">
        <v>8518</v>
      </c>
      <c r="I1727" t="s">
        <v>2661</v>
      </c>
      <c r="J1727" t="str">
        <f>IF(0 = IFERROR(VLOOKUP(DBL_FullList!I1727, ContactsDbl!B:D, 2, FALSE), ""), "", IFERROR(VLOOKUP(DBL_FullList!I1727, ContactsDbl!B:D, 2, FALSE), ""))</f>
        <v>dbladmin_intl@sil.org</v>
      </c>
      <c r="K1727" t="str">
        <f>IF(0 = IFERROR(VLOOKUP(DBL_FullList!I1727,ContactsDbl!B:D, 3, FALSE), ""), "", IFERROR(VLOOKUP(DBL_FullList!I1727, ContactsDbl!B:D, 3, FALSE), ""))</f>
        <v>http://www.wycliffe.org</v>
      </c>
      <c r="L1727">
        <f t="shared" si="53"/>
        <v>2</v>
      </c>
    </row>
    <row r="1728" spans="1:12" x14ac:dyDescent="0.25">
      <c r="A1728" t="s">
        <v>8519</v>
      </c>
      <c r="B1728" t="str">
        <f>IF(ISERROR(VLOOKUP(F1728,STEP!A:A, 1, FALSE)), "N", "Y")</f>
        <v>N</v>
      </c>
      <c r="C1728" t="str">
        <f>IF(ISERROR(VLOOKUP(E1728, BibleInEveryLanguageTexts!A:A, 1, FALSE)), "N", "Y")</f>
        <v>N</v>
      </c>
      <c r="D1728" t="str">
        <f t="shared" si="52"/>
        <v>X</v>
      </c>
      <c r="E1728" t="s">
        <v>8520</v>
      </c>
      <c r="F1728" t="s">
        <v>8521</v>
      </c>
      <c r="G1728" t="s">
        <v>2858</v>
      </c>
      <c r="H1728" t="s">
        <v>8522</v>
      </c>
      <c r="I1728" t="s">
        <v>2661</v>
      </c>
      <c r="J1728" t="str">
        <f>IF(0 = IFERROR(VLOOKUP(DBL_FullList!I1728, ContactsDbl!B:D, 2, FALSE), ""), "", IFERROR(VLOOKUP(DBL_FullList!I1728, ContactsDbl!B:D, 2, FALSE), ""))</f>
        <v>dbladmin_intl@sil.org</v>
      </c>
      <c r="K1728" t="str">
        <f>IF(0 = IFERROR(VLOOKUP(DBL_FullList!I1728,ContactsDbl!B:D, 3, FALSE), ""), "", IFERROR(VLOOKUP(DBL_FullList!I1728, ContactsDbl!B:D, 3, FALSE), ""))</f>
        <v>http://www.wycliffe.org</v>
      </c>
      <c r="L1728">
        <f t="shared" si="53"/>
        <v>2</v>
      </c>
    </row>
    <row r="1729" spans="1:12" x14ac:dyDescent="0.25">
      <c r="A1729" t="s">
        <v>8523</v>
      </c>
      <c r="B1729" t="str">
        <f>IF(ISERROR(VLOOKUP(F1729,STEP!A:A, 1, FALSE)), "N", "Y")</f>
        <v>N</v>
      </c>
      <c r="C1729" t="str">
        <f>IF(ISERROR(VLOOKUP(E1729, BibleInEveryLanguageTexts!A:A, 1, FALSE)), "N", "Y")</f>
        <v>N</v>
      </c>
      <c r="D1729" t="str">
        <f t="shared" si="52"/>
        <v>X</v>
      </c>
      <c r="E1729" t="s">
        <v>8524</v>
      </c>
      <c r="F1729" t="s">
        <v>8525</v>
      </c>
      <c r="G1729" t="s">
        <v>4050</v>
      </c>
      <c r="H1729" t="s">
        <v>8526</v>
      </c>
      <c r="I1729" t="s">
        <v>2661</v>
      </c>
      <c r="J1729" t="str">
        <f>IF(0 = IFERROR(VLOOKUP(DBL_FullList!I1729, ContactsDbl!B:D, 2, FALSE), ""), "", IFERROR(VLOOKUP(DBL_FullList!I1729, ContactsDbl!B:D, 2, FALSE), ""))</f>
        <v>dbladmin_intl@sil.org</v>
      </c>
      <c r="K1729" t="str">
        <f>IF(0 = IFERROR(VLOOKUP(DBL_FullList!I1729,ContactsDbl!B:D, 3, FALSE), ""), "", IFERROR(VLOOKUP(DBL_FullList!I1729, ContactsDbl!B:D, 3, FALSE), ""))</f>
        <v>http://www.wycliffe.org</v>
      </c>
      <c r="L1729">
        <f t="shared" si="53"/>
        <v>2</v>
      </c>
    </row>
    <row r="1730" spans="1:12" x14ac:dyDescent="0.25">
      <c r="A1730" t="s">
        <v>8527</v>
      </c>
      <c r="B1730" t="str">
        <f>IF(ISERROR(VLOOKUP(F1730,STEP!A:A, 1, FALSE)), "N", "Y")</f>
        <v>N</v>
      </c>
      <c r="C1730" t="str">
        <f>IF(ISERROR(VLOOKUP(E1730, BibleInEveryLanguageTexts!A:A, 1, FALSE)), "N", "Y")</f>
        <v>N</v>
      </c>
      <c r="D1730" t="str">
        <f t="shared" si="52"/>
        <v>X</v>
      </c>
      <c r="E1730" t="s">
        <v>8528</v>
      </c>
      <c r="F1730" t="s">
        <v>7317</v>
      </c>
      <c r="G1730" t="s">
        <v>3133</v>
      </c>
      <c r="H1730" t="s">
        <v>8529</v>
      </c>
      <c r="I1730" t="s">
        <v>2264</v>
      </c>
      <c r="J1730" t="str">
        <f>IF(0 = IFERROR(VLOOKUP(DBL_FullList!I1730, ContactsDbl!B:D, 2, FALSE), ""), "", IFERROR(VLOOKUP(DBL_FullList!I1730, ContactsDbl!B:D, 2, FALSE), ""))</f>
        <v/>
      </c>
      <c r="K1730" t="str">
        <f>IF(0 = IFERROR(VLOOKUP(DBL_FullList!I1730,ContactsDbl!B:D, 3, FALSE), ""), "", IFERROR(VLOOKUP(DBL_FullList!I1730, ContactsDbl!B:D, 3, FALSE), ""))</f>
        <v>http://www.sbiblica.org</v>
      </c>
      <c r="L1730">
        <f t="shared" si="53"/>
        <v>1</v>
      </c>
    </row>
    <row r="1731" spans="1:12" x14ac:dyDescent="0.25">
      <c r="A1731" t="s">
        <v>8530</v>
      </c>
      <c r="B1731" t="str">
        <f>IF(ISERROR(VLOOKUP(F1731,STEP!A:A, 1, FALSE)), "N", "Y")</f>
        <v>N</v>
      </c>
      <c r="C1731" t="str">
        <f>IF(ISERROR(VLOOKUP(E1731, BibleInEveryLanguageTexts!A:A, 1, FALSE)), "N", "Y")</f>
        <v>N</v>
      </c>
      <c r="D1731" t="str">
        <f t="shared" ref="D1731:D1794" si="54">IF(AND("N" = B1731, "N" = C1731), "X", "")</f>
        <v>X</v>
      </c>
      <c r="E1731" t="s">
        <v>8531</v>
      </c>
      <c r="F1731" t="s">
        <v>8532</v>
      </c>
      <c r="G1731" t="s">
        <v>2858</v>
      </c>
      <c r="H1731" t="s">
        <v>8533</v>
      </c>
      <c r="I1731" t="s">
        <v>2661</v>
      </c>
      <c r="J1731" t="str">
        <f>IF(0 = IFERROR(VLOOKUP(DBL_FullList!I1731, ContactsDbl!B:D, 2, FALSE), ""), "", IFERROR(VLOOKUP(DBL_FullList!I1731, ContactsDbl!B:D, 2, FALSE), ""))</f>
        <v>dbladmin_intl@sil.org</v>
      </c>
      <c r="K1731" t="str">
        <f>IF(0 = IFERROR(VLOOKUP(DBL_FullList!I1731,ContactsDbl!B:D, 3, FALSE), ""), "", IFERROR(VLOOKUP(DBL_FullList!I1731, ContactsDbl!B:D, 3, FALSE), ""))</f>
        <v>http://www.wycliffe.org</v>
      </c>
      <c r="L1731">
        <f t="shared" ref="L1731:L1794" si="55">IF("" &lt;&gt; J1731, 2, IF("" &lt;&gt; K1731, 1, 0))</f>
        <v>2</v>
      </c>
    </row>
    <row r="1732" spans="1:12" x14ac:dyDescent="0.25">
      <c r="A1732" t="s">
        <v>8534</v>
      </c>
      <c r="B1732" t="str">
        <f>IF(ISERROR(VLOOKUP(F1732,STEP!A:A, 1, FALSE)), "N", "Y")</f>
        <v>N</v>
      </c>
      <c r="C1732" t="str">
        <f>IF(ISERROR(VLOOKUP(E1732, BibleInEveryLanguageTexts!A:A, 1, FALSE)), "N", "Y")</f>
        <v>N</v>
      </c>
      <c r="D1732" t="str">
        <f t="shared" si="54"/>
        <v>X</v>
      </c>
      <c r="E1732" t="s">
        <v>8535</v>
      </c>
      <c r="F1732" t="s">
        <v>8536</v>
      </c>
      <c r="G1732" t="s">
        <v>4050</v>
      </c>
      <c r="H1732" t="s">
        <v>8537</v>
      </c>
      <c r="I1732" t="s">
        <v>2661</v>
      </c>
      <c r="J1732" t="str">
        <f>IF(0 = IFERROR(VLOOKUP(DBL_FullList!I1732, ContactsDbl!B:D, 2, FALSE), ""), "", IFERROR(VLOOKUP(DBL_FullList!I1732, ContactsDbl!B:D, 2, FALSE), ""))</f>
        <v>dbladmin_intl@sil.org</v>
      </c>
      <c r="K1732" t="str">
        <f>IF(0 = IFERROR(VLOOKUP(DBL_FullList!I1732,ContactsDbl!B:D, 3, FALSE), ""), "", IFERROR(VLOOKUP(DBL_FullList!I1732, ContactsDbl!B:D, 3, FALSE), ""))</f>
        <v>http://www.wycliffe.org</v>
      </c>
      <c r="L1732">
        <f t="shared" si="55"/>
        <v>2</v>
      </c>
    </row>
    <row r="1733" spans="1:12" x14ac:dyDescent="0.25">
      <c r="A1733" t="s">
        <v>8538</v>
      </c>
      <c r="B1733" t="str">
        <f>IF(ISERROR(VLOOKUP(F1733,STEP!A:A, 1, FALSE)), "N", "Y")</f>
        <v>N</v>
      </c>
      <c r="C1733" t="str">
        <f>IF(ISERROR(VLOOKUP(E1733, BibleInEveryLanguageTexts!A:A, 1, FALSE)), "N", "Y")</f>
        <v>N</v>
      </c>
      <c r="D1733" t="str">
        <f t="shared" si="54"/>
        <v>X</v>
      </c>
      <c r="E1733" t="s">
        <v>8539</v>
      </c>
      <c r="F1733" t="s">
        <v>8540</v>
      </c>
      <c r="G1733" t="s">
        <v>4050</v>
      </c>
      <c r="H1733" t="s">
        <v>8541</v>
      </c>
      <c r="I1733" t="s">
        <v>2433</v>
      </c>
      <c r="J1733" t="str">
        <f>IF(0 = IFERROR(VLOOKUP(DBL_FullList!I1733, ContactsDbl!B:D, 2, FALSE), ""), "", IFERROR(VLOOKUP(DBL_FullList!I1733, ContactsDbl!B:D, 2, FALSE), ""))</f>
        <v>igalicia@sbm.mx</v>
      </c>
      <c r="K1733" t="str">
        <f>IF(0 = IFERROR(VLOOKUP(DBL_FullList!I1733,ContactsDbl!B:D, 3, FALSE), ""), "", IFERROR(VLOOKUP(DBL_FullList!I1733, ContactsDbl!B:D, 3, FALSE), ""))</f>
        <v>www.sbm.mx</v>
      </c>
      <c r="L1733">
        <f t="shared" si="55"/>
        <v>2</v>
      </c>
    </row>
    <row r="1734" spans="1:12" x14ac:dyDescent="0.25">
      <c r="A1734" t="s">
        <v>8542</v>
      </c>
      <c r="B1734" t="str">
        <f>IF(ISERROR(VLOOKUP(F1734,STEP!A:A, 1, FALSE)), "N", "Y")</f>
        <v>N</v>
      </c>
      <c r="C1734" t="str">
        <f>IF(ISERROR(VLOOKUP(E1734, BibleInEveryLanguageTexts!A:A, 1, FALSE)), "N", "Y")</f>
        <v>N</v>
      </c>
      <c r="D1734" t="str">
        <f t="shared" si="54"/>
        <v>X</v>
      </c>
      <c r="E1734" t="s">
        <v>3706</v>
      </c>
      <c r="F1734" t="s">
        <v>3707</v>
      </c>
      <c r="G1734" t="s">
        <v>2743</v>
      </c>
      <c r="H1734" t="s">
        <v>2956</v>
      </c>
      <c r="I1734" t="s">
        <v>2073</v>
      </c>
      <c r="J1734" t="str">
        <f>IF(0 = IFERROR(VLOOKUP(DBL_FullList!I1734, ContactsDbl!B:D, 2, FALSE), ""), "", IFERROR(VLOOKUP(DBL_FullList!I1734, ContactsDbl!B:D, 2, FALSE), ""))</f>
        <v>ajiboye@biblesociety-nigeria.org</v>
      </c>
      <c r="K1734" t="str">
        <f>IF(0 = IFERROR(VLOOKUP(DBL_FullList!I1734,ContactsDbl!B:D, 3, FALSE), ""), "", IFERROR(VLOOKUP(DBL_FullList!I1734, ContactsDbl!B:D, 3, FALSE), ""))</f>
        <v>http://www.biblesociety-nigeria.org/</v>
      </c>
      <c r="L1734">
        <f t="shared" si="55"/>
        <v>2</v>
      </c>
    </row>
    <row r="1735" spans="1:12" x14ac:dyDescent="0.25">
      <c r="A1735" t="s">
        <v>8543</v>
      </c>
      <c r="B1735" t="str">
        <f>IF(ISERROR(VLOOKUP(F1735,STEP!A:A, 1, FALSE)), "N", "Y")</f>
        <v>N</v>
      </c>
      <c r="C1735" t="str">
        <f>IF(ISERROR(VLOOKUP(E1735, BibleInEveryLanguageTexts!A:A, 1, FALSE)), "N", "Y")</f>
        <v>N</v>
      </c>
      <c r="D1735" t="str">
        <f t="shared" si="54"/>
        <v>X</v>
      </c>
      <c r="E1735" t="s">
        <v>8544</v>
      </c>
      <c r="F1735" t="s">
        <v>8545</v>
      </c>
      <c r="G1735" t="s">
        <v>115</v>
      </c>
      <c r="H1735" t="s">
        <v>8546</v>
      </c>
      <c r="I1735" t="s">
        <v>2623</v>
      </c>
      <c r="J1735" t="str">
        <f>IF(0 = IFERROR(VLOOKUP(DBL_FullList!I1735, ContactsDbl!B:D, 2, FALSE), ""), "", IFERROR(VLOOKUP(DBL_FullList!I1735, ContactsDbl!B:D, 2, FALSE), ""))</f>
        <v>seree@thaibible.or.th</v>
      </c>
      <c r="K1735" t="str">
        <f>IF(0 = IFERROR(VLOOKUP(DBL_FullList!I1735,ContactsDbl!B:D, 3, FALSE), ""), "", IFERROR(VLOOKUP(DBL_FullList!I1735, ContactsDbl!B:D, 3, FALSE), ""))</f>
        <v>http://www.thaibible.or.th/</v>
      </c>
      <c r="L1735">
        <f t="shared" si="55"/>
        <v>2</v>
      </c>
    </row>
    <row r="1736" spans="1:12" x14ac:dyDescent="0.25">
      <c r="A1736" t="s">
        <v>8547</v>
      </c>
      <c r="B1736" t="str">
        <f>IF(ISERROR(VLOOKUP(F1736,STEP!A:A, 1, FALSE)), "N", "Y")</f>
        <v>N</v>
      </c>
      <c r="C1736" t="str">
        <f>IF(ISERROR(VLOOKUP(E1736, BibleInEveryLanguageTexts!A:A, 1, FALSE)), "N", "Y")</f>
        <v>N</v>
      </c>
      <c r="D1736" t="str">
        <f t="shared" si="54"/>
        <v>X</v>
      </c>
      <c r="E1736" t="s">
        <v>5589</v>
      </c>
      <c r="F1736" t="s">
        <v>5590</v>
      </c>
      <c r="G1736" t="s">
        <v>5239</v>
      </c>
      <c r="H1736" t="s">
        <v>8548</v>
      </c>
      <c r="I1736" t="s">
        <v>2487</v>
      </c>
      <c r="J1736" t="str">
        <f>IF(0 = IFERROR(VLOOKUP(DBL_FullList!I1736, ContactsDbl!B:D, 2, FALSE), ""), "", IFERROR(VLOOKUP(DBL_FullList!I1736, ContactsDbl!B:D, 2, FALSE), ""))</f>
        <v/>
      </c>
      <c r="K1736" t="str">
        <f>IF(0 = IFERROR(VLOOKUP(DBL_FullList!I1736,ContactsDbl!B:D, 3, FALSE), ""), "", IFERROR(VLOOKUP(DBL_FullList!I1736, ContactsDbl!B:D, 3, FALSE), ""))</f>
        <v>http://www.bibelselskapet.no/</v>
      </c>
      <c r="L1736">
        <f t="shared" si="55"/>
        <v>1</v>
      </c>
    </row>
    <row r="1737" spans="1:12" x14ac:dyDescent="0.25">
      <c r="A1737" t="s">
        <v>8549</v>
      </c>
      <c r="B1737" t="str">
        <f>IF(ISERROR(VLOOKUP(F1737,STEP!A:A, 1, FALSE)), "N", "Y")</f>
        <v>N</v>
      </c>
      <c r="C1737" t="str">
        <f>IF(ISERROR(VLOOKUP(E1737, BibleInEveryLanguageTexts!A:A, 1, FALSE)), "N", "Y")</f>
        <v>N</v>
      </c>
      <c r="D1737" t="str">
        <f t="shared" si="54"/>
        <v>X</v>
      </c>
      <c r="E1737" t="s">
        <v>8550</v>
      </c>
      <c r="F1737" t="s">
        <v>8551</v>
      </c>
      <c r="G1737" t="s">
        <v>20</v>
      </c>
      <c r="H1737" t="s">
        <v>8552</v>
      </c>
      <c r="I1737" t="s">
        <v>2661</v>
      </c>
      <c r="J1737" t="str">
        <f>IF(0 = IFERROR(VLOOKUP(DBL_FullList!I1737, ContactsDbl!B:D, 2, FALSE), ""), "", IFERROR(VLOOKUP(DBL_FullList!I1737, ContactsDbl!B:D, 2, FALSE), ""))</f>
        <v>dbladmin_intl@sil.org</v>
      </c>
      <c r="K1737" t="str">
        <f>IF(0 = IFERROR(VLOOKUP(DBL_FullList!I1737,ContactsDbl!B:D, 3, FALSE), ""), "", IFERROR(VLOOKUP(DBL_FullList!I1737, ContactsDbl!B:D, 3, FALSE), ""))</f>
        <v>http://www.wycliffe.org</v>
      </c>
      <c r="L1737">
        <f t="shared" si="55"/>
        <v>2</v>
      </c>
    </row>
    <row r="1738" spans="1:12" x14ac:dyDescent="0.25">
      <c r="A1738" t="s">
        <v>8553</v>
      </c>
      <c r="B1738" t="str">
        <f>IF(ISERROR(VLOOKUP(F1738,STEP!A:A, 1, FALSE)), "N", "Y")</f>
        <v>N</v>
      </c>
      <c r="C1738" t="str">
        <f>IF(ISERROR(VLOOKUP(E1738, BibleInEveryLanguageTexts!A:A, 1, FALSE)), "N", "Y")</f>
        <v>N</v>
      </c>
      <c r="D1738" t="str">
        <f t="shared" si="54"/>
        <v>X</v>
      </c>
      <c r="E1738" t="s">
        <v>8554</v>
      </c>
      <c r="F1738" t="s">
        <v>8555</v>
      </c>
      <c r="G1738" t="s">
        <v>110</v>
      </c>
      <c r="H1738" t="s">
        <v>8556</v>
      </c>
      <c r="I1738" t="s">
        <v>2370</v>
      </c>
      <c r="J1738" t="str">
        <f>IF(0 = IFERROR(VLOOKUP(DBL_FullList!I1738, ContactsDbl!B:D, 2, FALSE), ""), "", IFERROR(VLOOKUP(DBL_FullList!I1738, ContactsDbl!B:D, 2, FALSE), ""))</f>
        <v>anwartjen@alkitab.or.id</v>
      </c>
      <c r="K1738" t="str">
        <f>IF(0 = IFERROR(VLOOKUP(DBL_FullList!I1738,ContactsDbl!B:D, 3, FALSE), ""), "", IFERROR(VLOOKUP(DBL_FullList!I1738, ContactsDbl!B:D, 3, FALSE), ""))</f>
        <v>http://www.alkitab.or.id/</v>
      </c>
      <c r="L1738">
        <f t="shared" si="55"/>
        <v>2</v>
      </c>
    </row>
    <row r="1739" spans="1:12" x14ac:dyDescent="0.25">
      <c r="A1739" t="s">
        <v>8557</v>
      </c>
      <c r="B1739" t="str">
        <f>IF(ISERROR(VLOOKUP(F1739,STEP!A:A, 1, FALSE)), "N", "Y")</f>
        <v>N</v>
      </c>
      <c r="C1739" t="str">
        <f>IF(ISERROR(VLOOKUP(E1739, BibleInEveryLanguageTexts!A:A, 1, FALSE)), "N", "Y")</f>
        <v>N</v>
      </c>
      <c r="D1739" t="str">
        <f t="shared" si="54"/>
        <v>X</v>
      </c>
      <c r="E1739" t="s">
        <v>3320</v>
      </c>
      <c r="F1739" t="s">
        <v>3321</v>
      </c>
      <c r="G1739" t="s">
        <v>3322</v>
      </c>
      <c r="H1739" t="s">
        <v>8558</v>
      </c>
      <c r="I1739" t="s">
        <v>1997</v>
      </c>
      <c r="J1739" t="str">
        <f>IF(0 = IFERROR(VLOOKUP(DBL_FullList!I1739, ContactsDbl!B:D, 2, FALSE), ""), "", IFERROR(VLOOKUP(DBL_FullList!I1739, ContactsDbl!B:D, 2, FALSE), ""))</f>
        <v>Lee.Harris@biblica.com</v>
      </c>
      <c r="K1739" t="str">
        <f>IF(0 = IFERROR(VLOOKUP(DBL_FullList!I1739,ContactsDbl!B:D, 3, FALSE), ""), "", IFERROR(VLOOKUP(DBL_FullList!I1739, ContactsDbl!B:D, 3, FALSE), ""))</f>
        <v>http://www.Biblica.com</v>
      </c>
      <c r="L1739">
        <f t="shared" si="55"/>
        <v>2</v>
      </c>
    </row>
    <row r="1740" spans="1:12" x14ac:dyDescent="0.25">
      <c r="A1740" t="s">
        <v>8559</v>
      </c>
      <c r="B1740" t="str">
        <f>IF(ISERROR(VLOOKUP(F1740,STEP!A:A, 1, FALSE)), "N", "Y")</f>
        <v>N</v>
      </c>
      <c r="C1740" t="str">
        <f>IF(ISERROR(VLOOKUP(E1740, BibleInEveryLanguageTexts!A:A, 1, FALSE)), "N", "Y")</f>
        <v>N</v>
      </c>
      <c r="D1740" t="str">
        <f t="shared" si="54"/>
        <v>X</v>
      </c>
      <c r="E1740" t="s">
        <v>8560</v>
      </c>
      <c r="F1740" t="s">
        <v>8561</v>
      </c>
      <c r="G1740" t="s">
        <v>2858</v>
      </c>
      <c r="H1740" t="s">
        <v>8562</v>
      </c>
      <c r="I1740" t="s">
        <v>2661</v>
      </c>
      <c r="J1740" t="str">
        <f>IF(0 = IFERROR(VLOOKUP(DBL_FullList!I1740, ContactsDbl!B:D, 2, FALSE), ""), "", IFERROR(VLOOKUP(DBL_FullList!I1740, ContactsDbl!B:D, 2, FALSE), ""))</f>
        <v>dbladmin_intl@sil.org</v>
      </c>
      <c r="K1740" t="str">
        <f>IF(0 = IFERROR(VLOOKUP(DBL_FullList!I1740,ContactsDbl!B:D, 3, FALSE), ""), "", IFERROR(VLOOKUP(DBL_FullList!I1740, ContactsDbl!B:D, 3, FALSE), ""))</f>
        <v>http://www.wycliffe.org</v>
      </c>
      <c r="L1740">
        <f t="shared" si="55"/>
        <v>2</v>
      </c>
    </row>
    <row r="1741" spans="1:12" x14ac:dyDescent="0.25">
      <c r="A1741" t="s">
        <v>8563</v>
      </c>
      <c r="B1741" t="str">
        <f>IF(ISERROR(VLOOKUP(F1741,STEP!A:A, 1, FALSE)), "N", "Y")</f>
        <v>N</v>
      </c>
      <c r="C1741" t="str">
        <f>IF(ISERROR(VLOOKUP(E1741, BibleInEveryLanguageTexts!A:A, 1, FALSE)), "N", "Y")</f>
        <v>N</v>
      </c>
      <c r="D1741" t="str">
        <f t="shared" si="54"/>
        <v>X</v>
      </c>
      <c r="E1741" t="s">
        <v>219</v>
      </c>
      <c r="F1741" t="s">
        <v>217</v>
      </c>
      <c r="G1741" t="s">
        <v>218</v>
      </c>
      <c r="H1741" t="s">
        <v>8564</v>
      </c>
      <c r="I1741" t="s">
        <v>2241</v>
      </c>
      <c r="J1741" t="str">
        <f>IF(0 = IFERROR(VLOOKUP(DBL_FullList!I1741, ContactsDbl!B:D, 2, FALSE), ""), "", IFERROR(VLOOKUP(DBL_FullList!I1741, ContactsDbl!B:D, 2, FALSE), ""))</f>
        <v>dbl@dbg.de</v>
      </c>
      <c r="K1741" t="str">
        <f>IF(0 = IFERROR(VLOOKUP(DBL_FullList!I1741,ContactsDbl!B:D, 3, FALSE), ""), "", IFERROR(VLOOKUP(DBL_FullList!I1741, ContactsDbl!B:D, 3, FALSE), ""))</f>
        <v>http://www.die-bibel.de</v>
      </c>
      <c r="L1741">
        <f t="shared" si="55"/>
        <v>2</v>
      </c>
    </row>
    <row r="1742" spans="1:12" x14ac:dyDescent="0.25">
      <c r="A1742" t="s">
        <v>8565</v>
      </c>
      <c r="B1742" t="str">
        <f>IF(ISERROR(VLOOKUP(F1742,STEP!A:A, 1, FALSE)), "N", "Y")</f>
        <v>N</v>
      </c>
      <c r="C1742" t="str">
        <f>IF(ISERROR(VLOOKUP(E1742, BibleInEveryLanguageTexts!A:A, 1, FALSE)), "N", "Y")</f>
        <v>N</v>
      </c>
      <c r="D1742" t="str">
        <f t="shared" si="54"/>
        <v>X</v>
      </c>
      <c r="E1742" t="s">
        <v>8566</v>
      </c>
      <c r="F1742" t="s">
        <v>4692</v>
      </c>
      <c r="G1742" t="s">
        <v>3133</v>
      </c>
      <c r="H1742" t="s">
        <v>8567</v>
      </c>
      <c r="I1742" t="s">
        <v>2264</v>
      </c>
      <c r="J1742" t="str">
        <f>IF(0 = IFERROR(VLOOKUP(DBL_FullList!I1742, ContactsDbl!B:D, 2, FALSE), ""), "", IFERROR(VLOOKUP(DBL_FullList!I1742, ContactsDbl!B:D, 2, FALSE), ""))</f>
        <v/>
      </c>
      <c r="K1742" t="str">
        <f>IF(0 = IFERROR(VLOOKUP(DBL_FullList!I1742,ContactsDbl!B:D, 3, FALSE), ""), "", IFERROR(VLOOKUP(DBL_FullList!I1742, ContactsDbl!B:D, 3, FALSE), ""))</f>
        <v>http://www.sbiblica.org</v>
      </c>
      <c r="L1742">
        <f t="shared" si="55"/>
        <v>1</v>
      </c>
    </row>
    <row r="1743" spans="1:12" x14ac:dyDescent="0.25">
      <c r="A1743" t="s">
        <v>8568</v>
      </c>
      <c r="B1743" t="str">
        <f>IF(ISERROR(VLOOKUP(F1743,STEP!A:A, 1, FALSE)), "N", "Y")</f>
        <v>N</v>
      </c>
      <c r="C1743" t="str">
        <f>IF(ISERROR(VLOOKUP(E1743, BibleInEveryLanguageTexts!A:A, 1, FALSE)), "N", "Y")</f>
        <v>N</v>
      </c>
      <c r="D1743" t="str">
        <f t="shared" si="54"/>
        <v>X</v>
      </c>
      <c r="E1743" t="s">
        <v>8569</v>
      </c>
      <c r="F1743" t="s">
        <v>8570</v>
      </c>
      <c r="G1743" t="s">
        <v>3221</v>
      </c>
      <c r="H1743" t="s">
        <v>8571</v>
      </c>
      <c r="I1743" t="s">
        <v>2473</v>
      </c>
      <c r="J1743" t="str">
        <f>IF(0 = IFERROR(VLOOKUP(DBL_FullList!I1743, ContactsDbl!B:D, 2, FALSE), ""), "", IFERROR(VLOOKUP(DBL_FullList!I1743, ContactsDbl!B:D, 2, FALSE), ""))</f>
        <v/>
      </c>
      <c r="K1743" t="str">
        <f>IF(0 = IFERROR(VLOOKUP(DBL_FullList!I1743,ContactsDbl!B:D, 3, FALSE), ""), "", IFERROR(VLOOKUP(DBL_FullList!I1743, ContactsDbl!B:D, 3, FALSE), ""))</f>
        <v>www.nepalbiblesociety.org</v>
      </c>
      <c r="L1743">
        <f t="shared" si="55"/>
        <v>1</v>
      </c>
    </row>
    <row r="1744" spans="1:12" x14ac:dyDescent="0.25">
      <c r="A1744" t="s">
        <v>277</v>
      </c>
      <c r="B1744" t="str">
        <f>IF(ISERROR(VLOOKUP(F1744,STEP!A:A, 1, FALSE)), "N", "Y")</f>
        <v>N</v>
      </c>
      <c r="C1744" t="str">
        <f>IF(ISERROR(VLOOKUP(E1744, BibleInEveryLanguageTexts!A:A, 1, FALSE)), "N", "Y")</f>
        <v>N</v>
      </c>
      <c r="D1744" t="str">
        <f t="shared" si="54"/>
        <v>X</v>
      </c>
      <c r="E1744" t="s">
        <v>276</v>
      </c>
      <c r="F1744" t="s">
        <v>275</v>
      </c>
      <c r="G1744" t="s">
        <v>48</v>
      </c>
      <c r="H1744" t="s">
        <v>274</v>
      </c>
      <c r="I1744" t="s">
        <v>45</v>
      </c>
      <c r="J1744" t="str">
        <f>IF(0 = IFERROR(VLOOKUP(DBL_FullList!I1744, ContactsDbl!B:D, 2, FALSE), ""), "", IFERROR(VLOOKUP(DBL_FullList!I1744, ContactsDbl!B:D, 2, FALSE), ""))</f>
        <v>pbt@pbti.org</v>
      </c>
      <c r="K1744" t="str">
        <f>IF(0 = IFERROR(VLOOKUP(DBL_FullList!I1744,ContactsDbl!B:D, 3, FALSE), ""), "", IFERROR(VLOOKUP(DBL_FullList!I1744, ContactsDbl!B:D, 3, FALSE), ""))</f>
        <v>www.pioneerbible.org</v>
      </c>
      <c r="L1744">
        <f t="shared" si="55"/>
        <v>2</v>
      </c>
    </row>
    <row r="1745" spans="1:12" x14ac:dyDescent="0.25">
      <c r="A1745" t="s">
        <v>8572</v>
      </c>
      <c r="B1745" t="str">
        <f>IF(ISERROR(VLOOKUP(F1745,STEP!A:A, 1, FALSE)), "N", "Y")</f>
        <v>N</v>
      </c>
      <c r="C1745" t="str">
        <f>IF(ISERROR(VLOOKUP(E1745, BibleInEveryLanguageTexts!A:A, 1, FALSE)), "N", "Y")</f>
        <v>N</v>
      </c>
      <c r="D1745" t="str">
        <f t="shared" si="54"/>
        <v>X</v>
      </c>
      <c r="E1745" t="s">
        <v>8573</v>
      </c>
      <c r="F1745" t="s">
        <v>8574</v>
      </c>
      <c r="G1745" t="s">
        <v>4050</v>
      </c>
      <c r="H1745" t="s">
        <v>8575</v>
      </c>
      <c r="I1745" t="s">
        <v>2661</v>
      </c>
      <c r="J1745" t="str">
        <f>IF(0 = IFERROR(VLOOKUP(DBL_FullList!I1745, ContactsDbl!B:D, 2, FALSE), ""), "", IFERROR(VLOOKUP(DBL_FullList!I1745, ContactsDbl!B:D, 2, FALSE), ""))</f>
        <v>dbladmin_intl@sil.org</v>
      </c>
      <c r="K1745" t="str">
        <f>IF(0 = IFERROR(VLOOKUP(DBL_FullList!I1745,ContactsDbl!B:D, 3, FALSE), ""), "", IFERROR(VLOOKUP(DBL_FullList!I1745, ContactsDbl!B:D, 3, FALSE), ""))</f>
        <v>http://www.wycliffe.org</v>
      </c>
      <c r="L1745">
        <f t="shared" si="55"/>
        <v>2</v>
      </c>
    </row>
    <row r="1746" spans="1:12" x14ac:dyDescent="0.25">
      <c r="A1746" t="s">
        <v>8576</v>
      </c>
      <c r="B1746" t="str">
        <f>IF(ISERROR(VLOOKUP(F1746,STEP!A:A, 1, FALSE)), "N", "Y")</f>
        <v>N</v>
      </c>
      <c r="C1746" t="str">
        <f>IF(ISERROR(VLOOKUP(E1746, BibleInEveryLanguageTexts!A:A, 1, FALSE)), "N", "Y")</f>
        <v>N</v>
      </c>
      <c r="D1746" t="str">
        <f t="shared" si="54"/>
        <v>X</v>
      </c>
      <c r="E1746" t="s">
        <v>8577</v>
      </c>
      <c r="F1746" t="s">
        <v>8578</v>
      </c>
      <c r="G1746" t="s">
        <v>4050</v>
      </c>
      <c r="H1746" t="s">
        <v>8579</v>
      </c>
      <c r="I1746" t="s">
        <v>2433</v>
      </c>
      <c r="J1746" t="str">
        <f>IF(0 = IFERROR(VLOOKUP(DBL_FullList!I1746, ContactsDbl!B:D, 2, FALSE), ""), "", IFERROR(VLOOKUP(DBL_FullList!I1746, ContactsDbl!B:D, 2, FALSE), ""))</f>
        <v>igalicia@sbm.mx</v>
      </c>
      <c r="K1746" t="str">
        <f>IF(0 = IFERROR(VLOOKUP(DBL_FullList!I1746,ContactsDbl!B:D, 3, FALSE), ""), "", IFERROR(VLOOKUP(DBL_FullList!I1746, ContactsDbl!B:D, 3, FALSE), ""))</f>
        <v>www.sbm.mx</v>
      </c>
      <c r="L1746">
        <f t="shared" si="55"/>
        <v>2</v>
      </c>
    </row>
    <row r="1747" spans="1:12" x14ac:dyDescent="0.25">
      <c r="A1747" t="s">
        <v>8580</v>
      </c>
      <c r="B1747" t="str">
        <f>IF(ISERROR(VLOOKUP(F1747,STEP!A:A, 1, FALSE)), "N", "Y")</f>
        <v>N</v>
      </c>
      <c r="C1747" t="str">
        <f>IF(ISERROR(VLOOKUP(E1747, BibleInEveryLanguageTexts!A:A, 1, FALSE)), "N", "Y")</f>
        <v>N</v>
      </c>
      <c r="D1747" t="str">
        <f t="shared" si="54"/>
        <v>X</v>
      </c>
      <c r="E1747" t="s">
        <v>6935</v>
      </c>
      <c r="F1747" t="s">
        <v>5208</v>
      </c>
      <c r="G1747" t="s">
        <v>4050</v>
      </c>
      <c r="H1747" t="s">
        <v>8581</v>
      </c>
      <c r="I1747" t="s">
        <v>2433</v>
      </c>
      <c r="J1747" t="str">
        <f>IF(0 = IFERROR(VLOOKUP(DBL_FullList!I1747, ContactsDbl!B:D, 2, FALSE), ""), "", IFERROR(VLOOKUP(DBL_FullList!I1747, ContactsDbl!B:D, 2, FALSE), ""))</f>
        <v>igalicia@sbm.mx</v>
      </c>
      <c r="K1747" t="str">
        <f>IF(0 = IFERROR(VLOOKUP(DBL_FullList!I1747,ContactsDbl!B:D, 3, FALSE), ""), "", IFERROR(VLOOKUP(DBL_FullList!I1747, ContactsDbl!B:D, 3, FALSE), ""))</f>
        <v>www.sbm.mx</v>
      </c>
      <c r="L1747">
        <f t="shared" si="55"/>
        <v>2</v>
      </c>
    </row>
    <row r="1748" spans="1:12" x14ac:dyDescent="0.25">
      <c r="A1748" t="s">
        <v>8582</v>
      </c>
      <c r="B1748" t="str">
        <f>IF(ISERROR(VLOOKUP(F1748,STEP!A:A, 1, FALSE)), "N", "Y")</f>
        <v>N</v>
      </c>
      <c r="C1748" t="str">
        <f>IF(ISERROR(VLOOKUP(E1748, BibleInEveryLanguageTexts!A:A, 1, FALSE)), "N", "Y")</f>
        <v>N</v>
      </c>
      <c r="D1748" t="str">
        <f t="shared" si="54"/>
        <v>X</v>
      </c>
      <c r="E1748" t="s">
        <v>8583</v>
      </c>
      <c r="F1748" t="s">
        <v>8584</v>
      </c>
      <c r="G1748" t="s">
        <v>4050</v>
      </c>
      <c r="H1748" t="s">
        <v>8585</v>
      </c>
      <c r="I1748" t="s">
        <v>2661</v>
      </c>
      <c r="J1748" t="str">
        <f>IF(0 = IFERROR(VLOOKUP(DBL_FullList!I1748, ContactsDbl!B:D, 2, FALSE), ""), "", IFERROR(VLOOKUP(DBL_FullList!I1748, ContactsDbl!B:D, 2, FALSE), ""))</f>
        <v>dbladmin_intl@sil.org</v>
      </c>
      <c r="K1748" t="str">
        <f>IF(0 = IFERROR(VLOOKUP(DBL_FullList!I1748,ContactsDbl!B:D, 3, FALSE), ""), "", IFERROR(VLOOKUP(DBL_FullList!I1748, ContactsDbl!B:D, 3, FALSE), ""))</f>
        <v>http://www.wycliffe.org</v>
      </c>
      <c r="L1748">
        <f t="shared" si="55"/>
        <v>2</v>
      </c>
    </row>
    <row r="1749" spans="1:12" x14ac:dyDescent="0.25">
      <c r="A1749" t="s">
        <v>8586</v>
      </c>
      <c r="B1749" t="str">
        <f>IF(ISERROR(VLOOKUP(F1749,STEP!A:A, 1, FALSE)), "N", "Y")</f>
        <v>N</v>
      </c>
      <c r="C1749" t="str">
        <f>IF(ISERROR(VLOOKUP(E1749, BibleInEveryLanguageTexts!A:A, 1, FALSE)), "N", "Y")</f>
        <v>Y</v>
      </c>
      <c r="D1749" t="str">
        <f t="shared" si="54"/>
        <v/>
      </c>
      <c r="E1749" t="s">
        <v>2704</v>
      </c>
      <c r="F1749" t="s">
        <v>3193</v>
      </c>
      <c r="G1749" t="s">
        <v>8587</v>
      </c>
      <c r="H1749" t="s">
        <v>8588</v>
      </c>
      <c r="I1749" t="s">
        <v>2080</v>
      </c>
      <c r="J1749" t="str">
        <f>IF(0 = IFERROR(VLOOKUP(DBL_FullList!I1749, ContactsDbl!B:D, 2, FALSE), ""), "", IFERROR(VLOOKUP(DBL_FullList!I1749, ContactsDbl!B:D, 2, FALSE), ""))</f>
        <v>dbl@biblesocieties.org</v>
      </c>
      <c r="K1749" t="str">
        <f>IF(0 = IFERROR(VLOOKUP(DBL_FullList!I1749,ContactsDbl!B:D, 3, FALSE), ""), "", IFERROR(VLOOKUP(DBL_FullList!I1749, ContactsDbl!B:D, 3, FALSE), ""))</f>
        <v>http://www.biblia.ru/</v>
      </c>
      <c r="L1749">
        <f t="shared" si="55"/>
        <v>2</v>
      </c>
    </row>
    <row r="1750" spans="1:12" x14ac:dyDescent="0.25">
      <c r="A1750" t="s">
        <v>8589</v>
      </c>
      <c r="B1750" t="str">
        <f>IF(ISERROR(VLOOKUP(F1750,STEP!A:A, 1, FALSE)), "N", "Y")</f>
        <v>N</v>
      </c>
      <c r="C1750" t="str">
        <f>IF(ISERROR(VLOOKUP(E1750, BibleInEveryLanguageTexts!A:A, 1, FALSE)), "N", "Y")</f>
        <v>N</v>
      </c>
      <c r="D1750" t="str">
        <f t="shared" si="54"/>
        <v>X</v>
      </c>
      <c r="E1750" t="s">
        <v>3775</v>
      </c>
      <c r="F1750" t="s">
        <v>3776</v>
      </c>
      <c r="G1750" t="s">
        <v>3852</v>
      </c>
      <c r="H1750" t="s">
        <v>8590</v>
      </c>
      <c r="I1750" t="s">
        <v>2280</v>
      </c>
      <c r="J1750" t="str">
        <f>IF(0 = IFERROR(VLOOKUP(DBL_FullList!I1750, ContactsDbl!B:D, 2, FALSE), ""), "", IFERROR(VLOOKUP(DBL_FullList!I1750, ContactsDbl!B:D, 2, FALSE), ""))</f>
        <v>ignatius@hkbs.org.hk</v>
      </c>
      <c r="K1750" t="str">
        <f>IF(0 = IFERROR(VLOOKUP(DBL_FullList!I1750,ContactsDbl!B:D, 3, FALSE), ""), "", IFERROR(VLOOKUP(DBL_FullList!I1750, ContactsDbl!B:D, 3, FALSE), ""))</f>
        <v>www.hkbs.org.hk</v>
      </c>
      <c r="L1750">
        <f t="shared" si="55"/>
        <v>2</v>
      </c>
    </row>
    <row r="1751" spans="1:12" x14ac:dyDescent="0.25">
      <c r="A1751" t="s">
        <v>8591</v>
      </c>
      <c r="B1751" t="str">
        <f>IF(ISERROR(VLOOKUP(F1751,STEP!A:A, 1, FALSE)), "N", "Y")</f>
        <v>N</v>
      </c>
      <c r="C1751" t="str">
        <f>IF(ISERROR(VLOOKUP(E1751, BibleInEveryLanguageTexts!A:A, 1, FALSE)), "N", "Y")</f>
        <v>N</v>
      </c>
      <c r="D1751" t="str">
        <f t="shared" si="54"/>
        <v>X</v>
      </c>
      <c r="E1751" t="s">
        <v>8592</v>
      </c>
      <c r="F1751" t="s">
        <v>6146</v>
      </c>
      <c r="G1751" t="s">
        <v>4050</v>
      </c>
      <c r="H1751" t="s">
        <v>8593</v>
      </c>
      <c r="I1751" t="s">
        <v>2661</v>
      </c>
      <c r="J1751" t="str">
        <f>IF(0 = IFERROR(VLOOKUP(DBL_FullList!I1751, ContactsDbl!B:D, 2, FALSE), ""), "", IFERROR(VLOOKUP(DBL_FullList!I1751, ContactsDbl!B:D, 2, FALSE), ""))</f>
        <v>dbladmin_intl@sil.org</v>
      </c>
      <c r="K1751" t="str">
        <f>IF(0 = IFERROR(VLOOKUP(DBL_FullList!I1751,ContactsDbl!B:D, 3, FALSE), ""), "", IFERROR(VLOOKUP(DBL_FullList!I1751, ContactsDbl!B:D, 3, FALSE), ""))</f>
        <v>http://www.wycliffe.org</v>
      </c>
      <c r="L1751">
        <f t="shared" si="55"/>
        <v>2</v>
      </c>
    </row>
    <row r="1752" spans="1:12" x14ac:dyDescent="0.25">
      <c r="A1752" t="s">
        <v>301</v>
      </c>
      <c r="B1752" t="str">
        <f>IF(ISERROR(VLOOKUP(F1752,STEP!A:A, 1, FALSE)), "N", "Y")</f>
        <v>N</v>
      </c>
      <c r="C1752" t="str">
        <f>IF(ISERROR(VLOOKUP(E1752, BibleInEveryLanguageTexts!A:A, 1, FALSE)), "N", "Y")</f>
        <v>N</v>
      </c>
      <c r="D1752" t="str">
        <f t="shared" si="54"/>
        <v>X</v>
      </c>
      <c r="E1752" t="s">
        <v>300</v>
      </c>
      <c r="F1752" t="s">
        <v>299</v>
      </c>
      <c r="G1752" t="s">
        <v>102</v>
      </c>
      <c r="H1752" t="s">
        <v>8594</v>
      </c>
      <c r="I1752" t="s">
        <v>45</v>
      </c>
      <c r="J1752" t="str">
        <f>IF(0 = IFERROR(VLOOKUP(DBL_FullList!I1752, ContactsDbl!B:D, 2, FALSE), ""), "", IFERROR(VLOOKUP(DBL_FullList!I1752, ContactsDbl!B:D, 2, FALSE), ""))</f>
        <v>pbt@pbti.org</v>
      </c>
      <c r="K1752" t="str">
        <f>IF(0 = IFERROR(VLOOKUP(DBL_FullList!I1752,ContactsDbl!B:D, 3, FALSE), ""), "", IFERROR(VLOOKUP(DBL_FullList!I1752, ContactsDbl!B:D, 3, FALSE), ""))</f>
        <v>www.pioneerbible.org</v>
      </c>
      <c r="L1752">
        <f t="shared" si="55"/>
        <v>2</v>
      </c>
    </row>
    <row r="1753" spans="1:12" x14ac:dyDescent="0.25">
      <c r="A1753" t="s">
        <v>8595</v>
      </c>
      <c r="B1753" t="str">
        <f>IF(ISERROR(VLOOKUP(F1753,STEP!A:A, 1, FALSE)), "N", "Y")</f>
        <v>N</v>
      </c>
      <c r="C1753" t="str">
        <f>IF(ISERROR(VLOOKUP(E1753, BibleInEveryLanguageTexts!A:A, 1, FALSE)), "N", "Y")</f>
        <v>Y</v>
      </c>
      <c r="D1753" t="str">
        <f t="shared" si="54"/>
        <v/>
      </c>
      <c r="E1753" t="s">
        <v>2704</v>
      </c>
      <c r="F1753" t="s">
        <v>3193</v>
      </c>
      <c r="G1753" t="s">
        <v>8587</v>
      </c>
      <c r="H1753" t="s">
        <v>8596</v>
      </c>
      <c r="I1753" t="s">
        <v>2080</v>
      </c>
      <c r="J1753" t="str">
        <f>IF(0 = IFERROR(VLOOKUP(DBL_FullList!I1753, ContactsDbl!B:D, 2, FALSE), ""), "", IFERROR(VLOOKUP(DBL_FullList!I1753, ContactsDbl!B:D, 2, FALSE), ""))</f>
        <v>dbl@biblesocieties.org</v>
      </c>
      <c r="K1753" t="str">
        <f>IF(0 = IFERROR(VLOOKUP(DBL_FullList!I1753,ContactsDbl!B:D, 3, FALSE), ""), "", IFERROR(VLOOKUP(DBL_FullList!I1753, ContactsDbl!B:D, 3, FALSE), ""))</f>
        <v>http://www.biblia.ru/</v>
      </c>
      <c r="L1753">
        <f t="shared" si="55"/>
        <v>2</v>
      </c>
    </row>
    <row r="1754" spans="1:12" x14ac:dyDescent="0.25">
      <c r="A1754" t="s">
        <v>8597</v>
      </c>
      <c r="B1754" t="str">
        <f>IF(ISERROR(VLOOKUP(F1754,STEP!A:A, 1, FALSE)), "N", "Y")</f>
        <v>N</v>
      </c>
      <c r="C1754" t="str">
        <f>IF(ISERROR(VLOOKUP(E1754, BibleInEveryLanguageTexts!A:A, 1, FALSE)), "N", "Y")</f>
        <v>N</v>
      </c>
      <c r="D1754" t="str">
        <f t="shared" si="54"/>
        <v>X</v>
      </c>
      <c r="E1754" t="s">
        <v>3775</v>
      </c>
      <c r="F1754" t="s">
        <v>3776</v>
      </c>
      <c r="G1754" t="s">
        <v>3852</v>
      </c>
      <c r="H1754" t="s">
        <v>8598</v>
      </c>
      <c r="I1754" t="s">
        <v>2280</v>
      </c>
      <c r="J1754" t="str">
        <f>IF(0 = IFERROR(VLOOKUP(DBL_FullList!I1754, ContactsDbl!B:D, 2, FALSE), ""), "", IFERROR(VLOOKUP(DBL_FullList!I1754, ContactsDbl!B:D, 2, FALSE), ""))</f>
        <v>ignatius@hkbs.org.hk</v>
      </c>
      <c r="K1754" t="str">
        <f>IF(0 = IFERROR(VLOOKUP(DBL_FullList!I1754,ContactsDbl!B:D, 3, FALSE), ""), "", IFERROR(VLOOKUP(DBL_FullList!I1754, ContactsDbl!B:D, 3, FALSE), ""))</f>
        <v>www.hkbs.org.hk</v>
      </c>
      <c r="L1754">
        <f t="shared" si="55"/>
        <v>2</v>
      </c>
    </row>
    <row r="1755" spans="1:12" x14ac:dyDescent="0.25">
      <c r="A1755" t="s">
        <v>8599</v>
      </c>
      <c r="B1755" t="str">
        <f>IF(ISERROR(VLOOKUP(F1755,STEP!A:A, 1, FALSE)), "N", "Y")</f>
        <v>N</v>
      </c>
      <c r="C1755" t="str">
        <f>IF(ISERROR(VLOOKUP(E1755, BibleInEveryLanguageTexts!A:A, 1, FALSE)), "N", "Y")</f>
        <v>N</v>
      </c>
      <c r="D1755" t="str">
        <f t="shared" si="54"/>
        <v>X</v>
      </c>
      <c r="E1755" t="s">
        <v>3501</v>
      </c>
      <c r="F1755" t="s">
        <v>3502</v>
      </c>
      <c r="G1755" t="s">
        <v>3133</v>
      </c>
      <c r="H1755" t="s">
        <v>8600</v>
      </c>
      <c r="I1755" t="s">
        <v>2264</v>
      </c>
      <c r="J1755" t="str">
        <f>IF(0 = IFERROR(VLOOKUP(DBL_FullList!I1755, ContactsDbl!B:D, 2, FALSE), ""), "", IFERROR(VLOOKUP(DBL_FullList!I1755, ContactsDbl!B:D, 2, FALSE), ""))</f>
        <v/>
      </c>
      <c r="K1755" t="str">
        <f>IF(0 = IFERROR(VLOOKUP(DBL_FullList!I1755,ContactsDbl!B:D, 3, FALSE), ""), "", IFERROR(VLOOKUP(DBL_FullList!I1755, ContactsDbl!B:D, 3, FALSE), ""))</f>
        <v>http://www.sbiblica.org</v>
      </c>
      <c r="L1755">
        <f t="shared" si="55"/>
        <v>1</v>
      </c>
    </row>
    <row r="1756" spans="1:12" x14ac:dyDescent="0.25">
      <c r="A1756" t="s">
        <v>8601</v>
      </c>
      <c r="B1756" t="str">
        <f>IF(ISERROR(VLOOKUP(F1756,STEP!A:A, 1, FALSE)), "N", "Y")</f>
        <v>N</v>
      </c>
      <c r="C1756" t="str">
        <f>IF(ISERROR(VLOOKUP(E1756, BibleInEveryLanguageTexts!A:A, 1, FALSE)), "N", "Y")</f>
        <v>N</v>
      </c>
      <c r="D1756" t="str">
        <f t="shared" si="54"/>
        <v>X</v>
      </c>
      <c r="E1756" t="s">
        <v>8602</v>
      </c>
      <c r="F1756" t="s">
        <v>8603</v>
      </c>
      <c r="G1756" t="s">
        <v>4050</v>
      </c>
      <c r="H1756" t="s">
        <v>8604</v>
      </c>
      <c r="I1756" t="s">
        <v>2661</v>
      </c>
      <c r="J1756" t="str">
        <f>IF(0 = IFERROR(VLOOKUP(DBL_FullList!I1756, ContactsDbl!B:D, 2, FALSE), ""), "", IFERROR(VLOOKUP(DBL_FullList!I1756, ContactsDbl!B:D, 2, FALSE), ""))</f>
        <v>dbladmin_intl@sil.org</v>
      </c>
      <c r="K1756" t="str">
        <f>IF(0 = IFERROR(VLOOKUP(DBL_FullList!I1756,ContactsDbl!B:D, 3, FALSE), ""), "", IFERROR(VLOOKUP(DBL_FullList!I1756, ContactsDbl!B:D, 3, FALSE), ""))</f>
        <v>http://www.wycliffe.org</v>
      </c>
      <c r="L1756">
        <f t="shared" si="55"/>
        <v>2</v>
      </c>
    </row>
    <row r="1757" spans="1:12" x14ac:dyDescent="0.25">
      <c r="A1757" t="s">
        <v>8605</v>
      </c>
      <c r="B1757" t="str">
        <f>IF(ISERROR(VLOOKUP(F1757,STEP!A:A, 1, FALSE)), "N", "Y")</f>
        <v>N</v>
      </c>
      <c r="C1757" t="str">
        <f>IF(ISERROR(VLOOKUP(E1757, BibleInEveryLanguageTexts!A:A, 1, FALSE)), "N", "Y")</f>
        <v>N</v>
      </c>
      <c r="D1757" t="str">
        <f t="shared" si="54"/>
        <v>X</v>
      </c>
      <c r="E1757" t="s">
        <v>8606</v>
      </c>
      <c r="F1757" t="s">
        <v>8607</v>
      </c>
      <c r="G1757" t="s">
        <v>4050</v>
      </c>
      <c r="H1757" t="s">
        <v>8608</v>
      </c>
      <c r="I1757" t="s">
        <v>2661</v>
      </c>
      <c r="J1757" t="str">
        <f>IF(0 = IFERROR(VLOOKUP(DBL_FullList!I1757, ContactsDbl!B:D, 2, FALSE), ""), "", IFERROR(VLOOKUP(DBL_FullList!I1757, ContactsDbl!B:D, 2, FALSE), ""))</f>
        <v>dbladmin_intl@sil.org</v>
      </c>
      <c r="K1757" t="str">
        <f>IF(0 = IFERROR(VLOOKUP(DBL_FullList!I1757,ContactsDbl!B:D, 3, FALSE), ""), "", IFERROR(VLOOKUP(DBL_FullList!I1757, ContactsDbl!B:D, 3, FALSE), ""))</f>
        <v>http://www.wycliffe.org</v>
      </c>
      <c r="L1757">
        <f t="shared" si="55"/>
        <v>2</v>
      </c>
    </row>
    <row r="1758" spans="1:12" x14ac:dyDescent="0.25">
      <c r="A1758" t="s">
        <v>8609</v>
      </c>
      <c r="B1758" t="str">
        <f>IF(ISERROR(VLOOKUP(F1758,STEP!A:A, 1, FALSE)), "N", "Y")</f>
        <v>N</v>
      </c>
      <c r="C1758" t="str">
        <f>IF(ISERROR(VLOOKUP(E1758, BibleInEveryLanguageTexts!A:A, 1, FALSE)), "N", "Y")</f>
        <v>N</v>
      </c>
      <c r="D1758" t="str">
        <f t="shared" si="54"/>
        <v>X</v>
      </c>
      <c r="E1758" t="s">
        <v>3088</v>
      </c>
      <c r="F1758" t="s">
        <v>3089</v>
      </c>
      <c r="G1758" t="s">
        <v>3090</v>
      </c>
      <c r="H1758" t="s">
        <v>8610</v>
      </c>
      <c r="I1758" t="s">
        <v>2222</v>
      </c>
      <c r="J1758" t="str">
        <f>IF(0 = IFERROR(VLOOKUP(DBL_FullList!I1758, ContactsDbl!B:D, 2, FALSE), ""), "", IFERROR(VLOOKUP(DBL_FullList!I1758, ContactsDbl!B:D, 2, FALSE), ""))</f>
        <v>info@piplia.fi</v>
      </c>
      <c r="K1758" t="str">
        <f>IF(0 = IFERROR(VLOOKUP(DBL_FullList!I1758,ContactsDbl!B:D, 3, FALSE), ""), "", IFERROR(VLOOKUP(DBL_FullList!I1758, ContactsDbl!B:D, 3, FALSE), ""))</f>
        <v>http://www.bible.fi/</v>
      </c>
      <c r="L1758">
        <f t="shared" si="55"/>
        <v>2</v>
      </c>
    </row>
    <row r="1759" spans="1:12" x14ac:dyDescent="0.25">
      <c r="A1759" t="s">
        <v>8611</v>
      </c>
      <c r="B1759" t="str">
        <f>IF(ISERROR(VLOOKUP(F1759,STEP!A:A, 1, FALSE)), "N", "Y")</f>
        <v>N</v>
      </c>
      <c r="C1759" t="str">
        <f>IF(ISERROR(VLOOKUP(E1759, BibleInEveryLanguageTexts!A:A, 1, FALSE)), "N", "Y")</f>
        <v>N</v>
      </c>
      <c r="D1759" t="str">
        <f t="shared" si="54"/>
        <v>X</v>
      </c>
      <c r="E1759" t="s">
        <v>8612</v>
      </c>
      <c r="F1759" t="s">
        <v>8613</v>
      </c>
      <c r="G1759" t="s">
        <v>2858</v>
      </c>
      <c r="H1759" t="s">
        <v>8614</v>
      </c>
      <c r="I1759" t="s">
        <v>2661</v>
      </c>
      <c r="J1759" t="str">
        <f>IF(0 = IFERROR(VLOOKUP(DBL_FullList!I1759, ContactsDbl!B:D, 2, FALSE), ""), "", IFERROR(VLOOKUP(DBL_FullList!I1759, ContactsDbl!B:D, 2, FALSE), ""))</f>
        <v>dbladmin_intl@sil.org</v>
      </c>
      <c r="K1759" t="str">
        <f>IF(0 = IFERROR(VLOOKUP(DBL_FullList!I1759,ContactsDbl!B:D, 3, FALSE), ""), "", IFERROR(VLOOKUP(DBL_FullList!I1759, ContactsDbl!B:D, 3, FALSE), ""))</f>
        <v>http://www.wycliffe.org</v>
      </c>
      <c r="L1759">
        <f t="shared" si="55"/>
        <v>2</v>
      </c>
    </row>
    <row r="1760" spans="1:12" x14ac:dyDescent="0.25">
      <c r="A1760" t="s">
        <v>8615</v>
      </c>
      <c r="B1760" t="str">
        <f>IF(ISERROR(VLOOKUP(F1760,STEP!A:A, 1, FALSE)), "N", "Y")</f>
        <v>N</v>
      </c>
      <c r="C1760" t="str">
        <f>IF(ISERROR(VLOOKUP(E1760, BibleInEveryLanguageTexts!A:A, 1, FALSE)), "N", "Y")</f>
        <v>N</v>
      </c>
      <c r="D1760" t="str">
        <f t="shared" si="54"/>
        <v>X</v>
      </c>
      <c r="E1760" t="s">
        <v>8616</v>
      </c>
      <c r="F1760" t="s">
        <v>4571</v>
      </c>
      <c r="G1760" t="s">
        <v>3133</v>
      </c>
      <c r="H1760" t="s">
        <v>8617</v>
      </c>
      <c r="I1760" t="s">
        <v>2264</v>
      </c>
      <c r="J1760" t="str">
        <f>IF(0 = IFERROR(VLOOKUP(DBL_FullList!I1760, ContactsDbl!B:D, 2, FALSE), ""), "", IFERROR(VLOOKUP(DBL_FullList!I1760, ContactsDbl!B:D, 2, FALSE), ""))</f>
        <v/>
      </c>
      <c r="K1760" t="str">
        <f>IF(0 = IFERROR(VLOOKUP(DBL_FullList!I1760,ContactsDbl!B:D, 3, FALSE), ""), "", IFERROR(VLOOKUP(DBL_FullList!I1760, ContactsDbl!B:D, 3, FALSE), ""))</f>
        <v>http://www.sbiblica.org</v>
      </c>
      <c r="L1760">
        <f t="shared" si="55"/>
        <v>1</v>
      </c>
    </row>
    <row r="1761" spans="1:12" x14ac:dyDescent="0.25">
      <c r="A1761" t="s">
        <v>8618</v>
      </c>
      <c r="B1761" t="str">
        <f>IF(ISERROR(VLOOKUP(F1761,STEP!A:A, 1, FALSE)), "N", "Y")</f>
        <v>N</v>
      </c>
      <c r="C1761" t="str">
        <f>IF(ISERROR(VLOOKUP(E1761, BibleInEveryLanguageTexts!A:A, 1, FALSE)), "N", "Y")</f>
        <v>N</v>
      </c>
      <c r="D1761" t="str">
        <f t="shared" si="54"/>
        <v>X</v>
      </c>
      <c r="E1761" t="s">
        <v>8619</v>
      </c>
      <c r="F1761" t="s">
        <v>8620</v>
      </c>
      <c r="G1761" t="s">
        <v>110</v>
      </c>
      <c r="H1761" t="s">
        <v>8621</v>
      </c>
      <c r="I1761" t="s">
        <v>2370</v>
      </c>
      <c r="J1761" t="str">
        <f>IF(0 = IFERROR(VLOOKUP(DBL_FullList!I1761, ContactsDbl!B:D, 2, FALSE), ""), "", IFERROR(VLOOKUP(DBL_FullList!I1761, ContactsDbl!B:D, 2, FALSE), ""))</f>
        <v>anwartjen@alkitab.or.id</v>
      </c>
      <c r="K1761" t="str">
        <f>IF(0 = IFERROR(VLOOKUP(DBL_FullList!I1761,ContactsDbl!B:D, 3, FALSE), ""), "", IFERROR(VLOOKUP(DBL_FullList!I1761, ContactsDbl!B:D, 3, FALSE), ""))</f>
        <v>http://www.alkitab.or.id/</v>
      </c>
      <c r="L1761">
        <f t="shared" si="55"/>
        <v>2</v>
      </c>
    </row>
    <row r="1762" spans="1:12" x14ac:dyDescent="0.25">
      <c r="A1762" t="s">
        <v>8622</v>
      </c>
      <c r="B1762" t="str">
        <f>IF(ISERROR(VLOOKUP(F1762,STEP!A:A, 1, FALSE)), "N", "Y")</f>
        <v>N</v>
      </c>
      <c r="C1762" t="str">
        <f>IF(ISERROR(VLOOKUP(E1762, BibleInEveryLanguageTexts!A:A, 1, FALSE)), "N", "Y")</f>
        <v>N</v>
      </c>
      <c r="D1762" t="str">
        <f t="shared" si="54"/>
        <v>X</v>
      </c>
      <c r="E1762" t="s">
        <v>8623</v>
      </c>
      <c r="F1762" t="s">
        <v>8624</v>
      </c>
      <c r="G1762" t="s">
        <v>2858</v>
      </c>
      <c r="H1762" t="s">
        <v>8625</v>
      </c>
      <c r="I1762" t="s">
        <v>2661</v>
      </c>
      <c r="J1762" t="str">
        <f>IF(0 = IFERROR(VLOOKUP(DBL_FullList!I1762, ContactsDbl!B:D, 2, FALSE), ""), "", IFERROR(VLOOKUP(DBL_FullList!I1762, ContactsDbl!B:D, 2, FALSE), ""))</f>
        <v>dbladmin_intl@sil.org</v>
      </c>
      <c r="K1762" t="str">
        <f>IF(0 = IFERROR(VLOOKUP(DBL_FullList!I1762,ContactsDbl!B:D, 3, FALSE), ""), "", IFERROR(VLOOKUP(DBL_FullList!I1762, ContactsDbl!B:D, 3, FALSE), ""))</f>
        <v>http://www.wycliffe.org</v>
      </c>
      <c r="L1762">
        <f t="shared" si="55"/>
        <v>2</v>
      </c>
    </row>
    <row r="1763" spans="1:12" x14ac:dyDescent="0.25">
      <c r="A1763" t="s">
        <v>8626</v>
      </c>
      <c r="B1763" t="str">
        <f>IF(ISERROR(VLOOKUP(F1763,STEP!A:A, 1, FALSE)), "N", "Y")</f>
        <v>N</v>
      </c>
      <c r="C1763" t="str">
        <f>IF(ISERROR(VLOOKUP(E1763, BibleInEveryLanguageTexts!A:A, 1, FALSE)), "N", "Y")</f>
        <v>N</v>
      </c>
      <c r="D1763" t="str">
        <f t="shared" si="54"/>
        <v>X</v>
      </c>
      <c r="E1763" t="s">
        <v>8310</v>
      </c>
      <c r="F1763" t="s">
        <v>4123</v>
      </c>
      <c r="G1763" t="s">
        <v>2815</v>
      </c>
      <c r="H1763" t="s">
        <v>8627</v>
      </c>
      <c r="I1763" t="s">
        <v>2106</v>
      </c>
      <c r="J1763" t="str">
        <f>IF(0 = IFERROR(VLOOKUP(DBL_FullList!I1763, ContactsDbl!B:D, 2, FALSE), ""), "", IFERROR(VLOOKUP(DBL_FullList!I1763, ContactsDbl!B:D, 2, FALSE), ""))</f>
        <v>info@biblesociety-tanzania.org</v>
      </c>
      <c r="K1763" t="str">
        <f>IF(0 = IFERROR(VLOOKUP(DBL_FullList!I1763,ContactsDbl!B:D, 3, FALSE), ""), "", IFERROR(VLOOKUP(DBL_FullList!I1763, ContactsDbl!B:D, 3, FALSE), ""))</f>
        <v>http://biblesociety-tanzania.org/</v>
      </c>
      <c r="L1763">
        <f t="shared" si="55"/>
        <v>2</v>
      </c>
    </row>
    <row r="1764" spans="1:12" x14ac:dyDescent="0.25">
      <c r="A1764" t="s">
        <v>8628</v>
      </c>
      <c r="B1764" t="str">
        <f>IF(ISERROR(VLOOKUP(F1764,STEP!A:A, 1, FALSE)), "N", "Y")</f>
        <v>N</v>
      </c>
      <c r="C1764" t="str">
        <f>IF(ISERROR(VLOOKUP(E1764, BibleInEveryLanguageTexts!A:A, 1, FALSE)), "N", "Y")</f>
        <v>N</v>
      </c>
      <c r="D1764" t="str">
        <f t="shared" si="54"/>
        <v>X</v>
      </c>
      <c r="E1764" t="s">
        <v>334</v>
      </c>
      <c r="F1764" t="s">
        <v>332</v>
      </c>
      <c r="G1764" t="s">
        <v>4253</v>
      </c>
      <c r="H1764" t="s">
        <v>8629</v>
      </c>
      <c r="I1764" t="s">
        <v>2513</v>
      </c>
      <c r="J1764" t="str">
        <f>IF(0 = IFERROR(VLOOKUP(DBL_FullList!I1764, ContactsDbl!B:D, 2, FALSE), ""), "", IFERROR(VLOOKUP(DBL_FullList!I1764, ContactsDbl!B:D, 2, FALSE), ""))</f>
        <v/>
      </c>
      <c r="K1764" t="str">
        <f>IF(0 = IFERROR(VLOOKUP(DBL_FullList!I1764,ContactsDbl!B:D, 3, FALSE), ""), "", IFERROR(VLOOKUP(DBL_FullList!I1764, ContactsDbl!B:D, 3, FALSE), ""))</f>
        <v>http://www.sociedade-biblica.pt/</v>
      </c>
      <c r="L1764">
        <f t="shared" si="55"/>
        <v>1</v>
      </c>
    </row>
    <row r="1765" spans="1:12" x14ac:dyDescent="0.25">
      <c r="A1765" t="s">
        <v>8630</v>
      </c>
      <c r="B1765" t="str">
        <f>IF(ISERROR(VLOOKUP(F1765,STEP!A:A, 1, FALSE)), "N", "Y")</f>
        <v>N</v>
      </c>
      <c r="C1765" t="str">
        <f>IF(ISERROR(VLOOKUP(E1765, BibleInEveryLanguageTexts!A:A, 1, FALSE)), "N", "Y")</f>
        <v>N</v>
      </c>
      <c r="D1765" t="str">
        <f t="shared" si="54"/>
        <v>X</v>
      </c>
      <c r="E1765" t="s">
        <v>5623</v>
      </c>
      <c r="F1765" t="s">
        <v>5624</v>
      </c>
      <c r="G1765" t="s">
        <v>2743</v>
      </c>
      <c r="H1765" t="s">
        <v>2956</v>
      </c>
      <c r="I1765" t="s">
        <v>2073</v>
      </c>
      <c r="J1765" t="str">
        <f>IF(0 = IFERROR(VLOOKUP(DBL_FullList!I1765, ContactsDbl!B:D, 2, FALSE), ""), "", IFERROR(VLOOKUP(DBL_FullList!I1765, ContactsDbl!B:D, 2, FALSE), ""))</f>
        <v>ajiboye@biblesociety-nigeria.org</v>
      </c>
      <c r="K1765" t="str">
        <f>IF(0 = IFERROR(VLOOKUP(DBL_FullList!I1765,ContactsDbl!B:D, 3, FALSE), ""), "", IFERROR(VLOOKUP(DBL_FullList!I1765, ContactsDbl!B:D, 3, FALSE), ""))</f>
        <v>http://www.biblesociety-nigeria.org/</v>
      </c>
      <c r="L1765">
        <f t="shared" si="55"/>
        <v>2</v>
      </c>
    </row>
    <row r="1766" spans="1:12" x14ac:dyDescent="0.25">
      <c r="A1766" t="s">
        <v>8631</v>
      </c>
      <c r="B1766" t="str">
        <f>IF(ISERROR(VLOOKUP(F1766,STEP!A:A, 1, FALSE)), "N", "Y")</f>
        <v>N</v>
      </c>
      <c r="C1766" t="str">
        <f>IF(ISERROR(VLOOKUP(E1766, BibleInEveryLanguageTexts!A:A, 1, FALSE)), "N", "Y")</f>
        <v>N</v>
      </c>
      <c r="D1766" t="str">
        <f t="shared" si="54"/>
        <v>X</v>
      </c>
      <c r="E1766" t="s">
        <v>8632</v>
      </c>
      <c r="F1766" t="s">
        <v>8633</v>
      </c>
      <c r="G1766" t="s">
        <v>4050</v>
      </c>
      <c r="H1766" t="s">
        <v>8634</v>
      </c>
      <c r="I1766" t="s">
        <v>2661</v>
      </c>
      <c r="J1766" t="str">
        <f>IF(0 = IFERROR(VLOOKUP(DBL_FullList!I1766, ContactsDbl!B:D, 2, FALSE), ""), "", IFERROR(VLOOKUP(DBL_FullList!I1766, ContactsDbl!B:D, 2, FALSE), ""))</f>
        <v>dbladmin_intl@sil.org</v>
      </c>
      <c r="K1766" t="str">
        <f>IF(0 = IFERROR(VLOOKUP(DBL_FullList!I1766,ContactsDbl!B:D, 3, FALSE), ""), "", IFERROR(VLOOKUP(DBL_FullList!I1766, ContactsDbl!B:D, 3, FALSE), ""))</f>
        <v>http://www.wycliffe.org</v>
      </c>
      <c r="L1766">
        <f t="shared" si="55"/>
        <v>2</v>
      </c>
    </row>
    <row r="1767" spans="1:12" x14ac:dyDescent="0.25">
      <c r="A1767" t="s">
        <v>8635</v>
      </c>
      <c r="B1767" t="str">
        <f>IF(ISERROR(VLOOKUP(F1767,STEP!A:A, 1, FALSE)), "N", "Y")</f>
        <v>N</v>
      </c>
      <c r="C1767" t="str">
        <f>IF(ISERROR(VLOOKUP(E1767, BibleInEveryLanguageTexts!A:A, 1, FALSE)), "N", "Y")</f>
        <v>N</v>
      </c>
      <c r="D1767" t="str">
        <f t="shared" si="54"/>
        <v>X</v>
      </c>
      <c r="E1767" t="s">
        <v>8636</v>
      </c>
      <c r="F1767" t="s">
        <v>8637</v>
      </c>
      <c r="G1767" t="s">
        <v>4050</v>
      </c>
      <c r="H1767" t="s">
        <v>8638</v>
      </c>
      <c r="I1767" t="s">
        <v>2433</v>
      </c>
      <c r="J1767" t="str">
        <f>IF(0 = IFERROR(VLOOKUP(DBL_FullList!I1767, ContactsDbl!B:D, 2, FALSE), ""), "", IFERROR(VLOOKUP(DBL_FullList!I1767, ContactsDbl!B:D, 2, FALSE), ""))</f>
        <v>igalicia@sbm.mx</v>
      </c>
      <c r="K1767" t="str">
        <f>IF(0 = IFERROR(VLOOKUP(DBL_FullList!I1767,ContactsDbl!B:D, 3, FALSE), ""), "", IFERROR(VLOOKUP(DBL_FullList!I1767, ContactsDbl!B:D, 3, FALSE), ""))</f>
        <v>www.sbm.mx</v>
      </c>
      <c r="L1767">
        <f t="shared" si="55"/>
        <v>2</v>
      </c>
    </row>
    <row r="1768" spans="1:12" x14ac:dyDescent="0.25">
      <c r="A1768" t="s">
        <v>8639</v>
      </c>
      <c r="B1768" t="str">
        <f>IF(ISERROR(VLOOKUP(F1768,STEP!A:A, 1, FALSE)), "N", "Y")</f>
        <v>N</v>
      </c>
      <c r="C1768" t="str">
        <f>IF(ISERROR(VLOOKUP(E1768, BibleInEveryLanguageTexts!A:A, 1, FALSE)), "N", "Y")</f>
        <v>N</v>
      </c>
      <c r="D1768" t="str">
        <f t="shared" si="54"/>
        <v>X</v>
      </c>
      <c r="E1768" t="s">
        <v>6402</v>
      </c>
      <c r="F1768" t="s">
        <v>6403</v>
      </c>
      <c r="G1768" t="s">
        <v>4376</v>
      </c>
      <c r="H1768" t="s">
        <v>8640</v>
      </c>
      <c r="I1768" t="s">
        <v>2636</v>
      </c>
      <c r="J1768" t="str">
        <f>IF(0 = IFERROR(VLOOKUP(DBL_FullList!I1768, ContactsDbl!B:D, 2, FALSE), ""), "", IFERROR(VLOOKUP(DBL_FullList!I1768, ContactsDbl!B:D, 2, FALSE), ""))</f>
        <v>deborab@kitabimukaddes.com</v>
      </c>
      <c r="K1768" t="str">
        <f>IF(0 = IFERROR(VLOOKUP(DBL_FullList!I1768,ContactsDbl!B:D, 3, FALSE), ""), "", IFERROR(VLOOKUP(DBL_FullList!I1768, ContactsDbl!B:D, 3, FALSE), ""))</f>
        <v>http://www.kitabimukaddes.com/</v>
      </c>
      <c r="L1768">
        <f t="shared" si="55"/>
        <v>2</v>
      </c>
    </row>
    <row r="1769" spans="1:12" x14ac:dyDescent="0.25">
      <c r="A1769" t="s">
        <v>8641</v>
      </c>
      <c r="B1769" t="str">
        <f>IF(ISERROR(VLOOKUP(F1769,STEP!A:A, 1, FALSE)), "N", "Y")</f>
        <v>N</v>
      </c>
      <c r="C1769" t="str">
        <f>IF(ISERROR(VLOOKUP(E1769, BibleInEveryLanguageTexts!A:A, 1, FALSE)), "N", "Y")</f>
        <v>Y</v>
      </c>
      <c r="D1769" t="str">
        <f t="shared" si="54"/>
        <v/>
      </c>
      <c r="E1769" t="s">
        <v>12</v>
      </c>
      <c r="F1769" t="s">
        <v>10</v>
      </c>
      <c r="G1769" t="s">
        <v>5332</v>
      </c>
      <c r="H1769" t="s">
        <v>8642</v>
      </c>
      <c r="I1769" t="s">
        <v>2154</v>
      </c>
      <c r="J1769" t="str">
        <f>IF(0 = IFERROR(VLOOKUP(DBL_FullList!I1769, ContactsDbl!B:D, 2, FALSE), ""), "", IFERROR(VLOOKUP(DBL_FullList!I1769, ContactsDbl!B:D, 2, FALSE), ""))</f>
        <v>rjahns.crossway.org</v>
      </c>
      <c r="K1769" t="str">
        <f>IF(0 = IFERROR(VLOOKUP(DBL_FullList!I1769,ContactsDbl!B:D, 3, FALSE), ""), "", IFERROR(VLOOKUP(DBL_FullList!I1769, ContactsDbl!B:D, 3, FALSE), ""))</f>
        <v>http://www.crossway.org</v>
      </c>
      <c r="L1769">
        <f t="shared" si="55"/>
        <v>2</v>
      </c>
    </row>
    <row r="1770" spans="1:12" x14ac:dyDescent="0.25">
      <c r="A1770" t="s">
        <v>8643</v>
      </c>
      <c r="B1770" t="str">
        <f>IF(ISERROR(VLOOKUP(F1770,STEP!A:A, 1, FALSE)), "N", "Y")</f>
        <v>N</v>
      </c>
      <c r="C1770" t="str">
        <f>IF(ISERROR(VLOOKUP(E1770, BibleInEveryLanguageTexts!A:A, 1, FALSE)), "N", "Y")</f>
        <v>N</v>
      </c>
      <c r="D1770" t="str">
        <f t="shared" si="54"/>
        <v>X</v>
      </c>
      <c r="E1770" t="s">
        <v>8644</v>
      </c>
      <c r="F1770" t="s">
        <v>8645</v>
      </c>
      <c r="G1770" t="s">
        <v>2858</v>
      </c>
      <c r="H1770" t="s">
        <v>8646</v>
      </c>
      <c r="I1770" t="s">
        <v>2661</v>
      </c>
      <c r="J1770" t="str">
        <f>IF(0 = IFERROR(VLOOKUP(DBL_FullList!I1770, ContactsDbl!B:D, 2, FALSE), ""), "", IFERROR(VLOOKUP(DBL_FullList!I1770, ContactsDbl!B:D, 2, FALSE), ""))</f>
        <v>dbladmin_intl@sil.org</v>
      </c>
      <c r="K1770" t="str">
        <f>IF(0 = IFERROR(VLOOKUP(DBL_FullList!I1770,ContactsDbl!B:D, 3, FALSE), ""), "", IFERROR(VLOOKUP(DBL_FullList!I1770, ContactsDbl!B:D, 3, FALSE), ""))</f>
        <v>http://www.wycliffe.org</v>
      </c>
      <c r="L1770">
        <f t="shared" si="55"/>
        <v>2</v>
      </c>
    </row>
    <row r="1771" spans="1:12" x14ac:dyDescent="0.25">
      <c r="A1771" t="s">
        <v>8647</v>
      </c>
      <c r="B1771" t="str">
        <f>IF(ISERROR(VLOOKUP(F1771,STEP!A:A, 1, FALSE)), "N", "Y")</f>
        <v>N</v>
      </c>
      <c r="C1771" t="str">
        <f>IF(ISERROR(VLOOKUP(E1771, BibleInEveryLanguageTexts!A:A, 1, FALSE)), "N", "Y")</f>
        <v>N</v>
      </c>
      <c r="D1771" t="str">
        <f t="shared" si="54"/>
        <v>X</v>
      </c>
      <c r="E1771" t="s">
        <v>8648</v>
      </c>
      <c r="F1771" t="s">
        <v>8649</v>
      </c>
      <c r="G1771" t="s">
        <v>4050</v>
      </c>
      <c r="H1771" t="s">
        <v>8650</v>
      </c>
      <c r="I1771" t="s">
        <v>2661</v>
      </c>
      <c r="J1771" t="str">
        <f>IF(0 = IFERROR(VLOOKUP(DBL_FullList!I1771, ContactsDbl!B:D, 2, FALSE), ""), "", IFERROR(VLOOKUP(DBL_FullList!I1771, ContactsDbl!B:D, 2, FALSE), ""))</f>
        <v>dbladmin_intl@sil.org</v>
      </c>
      <c r="K1771" t="str">
        <f>IF(0 = IFERROR(VLOOKUP(DBL_FullList!I1771,ContactsDbl!B:D, 3, FALSE), ""), "", IFERROR(VLOOKUP(DBL_FullList!I1771, ContactsDbl!B:D, 3, FALSE), ""))</f>
        <v>http://www.wycliffe.org</v>
      </c>
      <c r="L1771">
        <f t="shared" si="55"/>
        <v>2</v>
      </c>
    </row>
    <row r="1772" spans="1:12" x14ac:dyDescent="0.25">
      <c r="A1772" t="s">
        <v>8651</v>
      </c>
      <c r="B1772" t="str">
        <f>IF(ISERROR(VLOOKUP(F1772,STEP!A:A, 1, FALSE)), "N", "Y")</f>
        <v>N</v>
      </c>
      <c r="C1772" t="str">
        <f>IF(ISERROR(VLOOKUP(E1772, BibleInEveryLanguageTexts!A:A, 1, FALSE)), "N", "Y")</f>
        <v>N</v>
      </c>
      <c r="D1772" t="str">
        <f t="shared" si="54"/>
        <v>X</v>
      </c>
      <c r="E1772" t="s">
        <v>8652</v>
      </c>
      <c r="F1772" t="s">
        <v>8653</v>
      </c>
      <c r="G1772" t="s">
        <v>2858</v>
      </c>
      <c r="H1772" t="s">
        <v>8654</v>
      </c>
      <c r="I1772" t="s">
        <v>2661</v>
      </c>
      <c r="J1772" t="str">
        <f>IF(0 = IFERROR(VLOOKUP(DBL_FullList!I1772, ContactsDbl!B:D, 2, FALSE), ""), "", IFERROR(VLOOKUP(DBL_FullList!I1772, ContactsDbl!B:D, 2, FALSE), ""))</f>
        <v>dbladmin_intl@sil.org</v>
      </c>
      <c r="K1772" t="str">
        <f>IF(0 = IFERROR(VLOOKUP(DBL_FullList!I1772,ContactsDbl!B:D, 3, FALSE), ""), "", IFERROR(VLOOKUP(DBL_FullList!I1772, ContactsDbl!B:D, 3, FALSE), ""))</f>
        <v>http://www.wycliffe.org</v>
      </c>
      <c r="L1772">
        <f t="shared" si="55"/>
        <v>2</v>
      </c>
    </row>
    <row r="1773" spans="1:12" x14ac:dyDescent="0.25">
      <c r="A1773" t="s">
        <v>8655</v>
      </c>
      <c r="B1773" t="str">
        <f>IF(ISERROR(VLOOKUP(F1773,STEP!A:A, 1, FALSE)), "N", "Y")</f>
        <v>N</v>
      </c>
      <c r="C1773" t="str">
        <f>IF(ISERROR(VLOOKUP(E1773, BibleInEveryLanguageTexts!A:A, 1, FALSE)), "N", "Y")</f>
        <v>N</v>
      </c>
      <c r="D1773" t="str">
        <f t="shared" si="54"/>
        <v>X</v>
      </c>
      <c r="E1773" t="s">
        <v>4837</v>
      </c>
      <c r="F1773" t="s">
        <v>4838</v>
      </c>
      <c r="G1773" t="s">
        <v>547</v>
      </c>
      <c r="H1773" t="s">
        <v>8656</v>
      </c>
      <c r="I1773" t="s">
        <v>2603</v>
      </c>
      <c r="J1773" t="str">
        <f>IF(0 = IFERROR(VLOOKUP(DBL_FullList!I1773, ContactsDbl!B:D, 2, FALSE), ""), "", IFERROR(VLOOKUP(DBL_FullList!I1773, ContactsDbl!B:D, 2, FALSE), ""))</f>
        <v>mikael.winninge@bibeln.se</v>
      </c>
      <c r="K1773" t="str">
        <f>IF(0 = IFERROR(VLOOKUP(DBL_FullList!I1773,ContactsDbl!B:D, 3, FALSE), ""), "", IFERROR(VLOOKUP(DBL_FullList!I1773, ContactsDbl!B:D, 3, FALSE), ""))</f>
        <v>http://www.bibelsallskapet.se/</v>
      </c>
      <c r="L1773">
        <f t="shared" si="55"/>
        <v>2</v>
      </c>
    </row>
    <row r="1774" spans="1:12" x14ac:dyDescent="0.25">
      <c r="A1774" t="s">
        <v>8657</v>
      </c>
      <c r="B1774" t="str">
        <f>IF(ISERROR(VLOOKUP(F1774,STEP!A:A, 1, FALSE)), "N", "Y")</f>
        <v>N</v>
      </c>
      <c r="C1774" t="str">
        <f>IF(ISERROR(VLOOKUP(E1774, BibleInEveryLanguageTexts!A:A, 1, FALSE)), "N", "Y")</f>
        <v>N</v>
      </c>
      <c r="D1774" t="str">
        <f t="shared" si="54"/>
        <v>X</v>
      </c>
      <c r="E1774" t="s">
        <v>7369</v>
      </c>
      <c r="F1774" t="s">
        <v>7370</v>
      </c>
      <c r="G1774" t="s">
        <v>2880</v>
      </c>
      <c r="H1774" t="s">
        <v>8658</v>
      </c>
      <c r="I1774" t="s">
        <v>2661</v>
      </c>
      <c r="J1774" t="str">
        <f>IF(0 = IFERROR(VLOOKUP(DBL_FullList!I1774, ContactsDbl!B:D, 2, FALSE), ""), "", IFERROR(VLOOKUP(DBL_FullList!I1774, ContactsDbl!B:D, 2, FALSE), ""))</f>
        <v>dbladmin_intl@sil.org</v>
      </c>
      <c r="K1774" t="str">
        <f>IF(0 = IFERROR(VLOOKUP(DBL_FullList!I1774,ContactsDbl!B:D, 3, FALSE), ""), "", IFERROR(VLOOKUP(DBL_FullList!I1774, ContactsDbl!B:D, 3, FALSE), ""))</f>
        <v>http://www.wycliffe.org</v>
      </c>
      <c r="L1774">
        <f t="shared" si="55"/>
        <v>2</v>
      </c>
    </row>
    <row r="1775" spans="1:12" x14ac:dyDescent="0.25">
      <c r="A1775" t="s">
        <v>8659</v>
      </c>
      <c r="B1775" t="str">
        <f>IF(ISERROR(VLOOKUP(F1775,STEP!A:A, 1, FALSE)), "N", "Y")</f>
        <v>N</v>
      </c>
      <c r="C1775" t="str">
        <f>IF(ISERROR(VLOOKUP(E1775, BibleInEveryLanguageTexts!A:A, 1, FALSE)), "N", "Y")</f>
        <v>N</v>
      </c>
      <c r="D1775" t="str">
        <f t="shared" si="54"/>
        <v>X</v>
      </c>
      <c r="E1775" t="s">
        <v>8660</v>
      </c>
      <c r="F1775" t="s">
        <v>8661</v>
      </c>
      <c r="G1775" t="s">
        <v>4050</v>
      </c>
      <c r="H1775" t="s">
        <v>8662</v>
      </c>
      <c r="I1775" t="s">
        <v>2661</v>
      </c>
      <c r="J1775" t="str">
        <f>IF(0 = IFERROR(VLOOKUP(DBL_FullList!I1775, ContactsDbl!B:D, 2, FALSE), ""), "", IFERROR(VLOOKUP(DBL_FullList!I1775, ContactsDbl!B:D, 2, FALSE), ""))</f>
        <v>dbladmin_intl@sil.org</v>
      </c>
      <c r="K1775" t="str">
        <f>IF(0 = IFERROR(VLOOKUP(DBL_FullList!I1775,ContactsDbl!B:D, 3, FALSE), ""), "", IFERROR(VLOOKUP(DBL_FullList!I1775, ContactsDbl!B:D, 3, FALSE), ""))</f>
        <v>http://www.wycliffe.org</v>
      </c>
      <c r="L1775">
        <f t="shared" si="55"/>
        <v>2</v>
      </c>
    </row>
    <row r="1776" spans="1:12" x14ac:dyDescent="0.25">
      <c r="A1776" t="s">
        <v>8663</v>
      </c>
      <c r="B1776" t="str">
        <f>IF(ISERROR(VLOOKUP(F1776,STEP!A:A, 1, FALSE)), "N", "Y")</f>
        <v>N</v>
      </c>
      <c r="C1776" t="str">
        <f>IF(ISERROR(VLOOKUP(E1776, BibleInEveryLanguageTexts!A:A, 1, FALSE)), "N", "Y")</f>
        <v>N</v>
      </c>
      <c r="D1776" t="str">
        <f t="shared" si="54"/>
        <v>X</v>
      </c>
      <c r="E1776" t="s">
        <v>8664</v>
      </c>
      <c r="F1776" t="s">
        <v>8665</v>
      </c>
      <c r="G1776" t="s">
        <v>4050</v>
      </c>
      <c r="H1776" t="s">
        <v>8666</v>
      </c>
      <c r="I1776" t="s">
        <v>2661</v>
      </c>
      <c r="J1776" t="str">
        <f>IF(0 = IFERROR(VLOOKUP(DBL_FullList!I1776, ContactsDbl!B:D, 2, FALSE), ""), "", IFERROR(VLOOKUP(DBL_FullList!I1776, ContactsDbl!B:D, 2, FALSE), ""))</f>
        <v>dbladmin_intl@sil.org</v>
      </c>
      <c r="K1776" t="str">
        <f>IF(0 = IFERROR(VLOOKUP(DBL_FullList!I1776,ContactsDbl!B:D, 3, FALSE), ""), "", IFERROR(VLOOKUP(DBL_FullList!I1776, ContactsDbl!B:D, 3, FALSE), ""))</f>
        <v>http://www.wycliffe.org</v>
      </c>
      <c r="L1776">
        <f t="shared" si="55"/>
        <v>2</v>
      </c>
    </row>
    <row r="1777" spans="1:12" x14ac:dyDescent="0.25">
      <c r="A1777" t="s">
        <v>8667</v>
      </c>
      <c r="B1777" t="str">
        <f>IF(ISERROR(VLOOKUP(F1777,STEP!A:A, 1, FALSE)), "N", "Y")</f>
        <v>N</v>
      </c>
      <c r="C1777" t="str">
        <f>IF(ISERROR(VLOOKUP(E1777, BibleInEveryLanguageTexts!A:A, 1, FALSE)), "N", "Y")</f>
        <v>N</v>
      </c>
      <c r="D1777" t="str">
        <f t="shared" si="54"/>
        <v>X</v>
      </c>
      <c r="E1777" t="s">
        <v>8668</v>
      </c>
      <c r="F1777" t="s">
        <v>8669</v>
      </c>
      <c r="G1777" t="s">
        <v>3194</v>
      </c>
      <c r="H1777" t="s">
        <v>8670</v>
      </c>
      <c r="I1777" t="s">
        <v>2314</v>
      </c>
      <c r="J1777" t="str">
        <f>IF(0 = IFERROR(VLOOKUP(DBL_FullList!I1777, ContactsDbl!B:D, 2, FALSE), ""), "", IFERROR(VLOOKUP(DBL_FullList!I1777, ContactsDbl!B:D, 2, FALSE), ""))</f>
        <v>info@ibt.org.ru</v>
      </c>
      <c r="K1777" t="str">
        <f>IF(0 = IFERROR(VLOOKUP(DBL_FullList!I1777,ContactsDbl!B:D, 3, FALSE), ""), "", IFERROR(VLOOKUP(DBL_FullList!I1777, ContactsDbl!B:D, 3, FALSE), ""))</f>
        <v>https://ibtrussia.org</v>
      </c>
      <c r="L1777">
        <f t="shared" si="55"/>
        <v>2</v>
      </c>
    </row>
    <row r="1778" spans="1:12" x14ac:dyDescent="0.25">
      <c r="A1778" t="s">
        <v>8671</v>
      </c>
      <c r="B1778" t="str">
        <f>IF(ISERROR(VLOOKUP(F1778,STEP!A:A, 1, FALSE)), "N", "Y")</f>
        <v>N</v>
      </c>
      <c r="C1778" t="str">
        <f>IF(ISERROR(VLOOKUP(E1778, BibleInEveryLanguageTexts!A:A, 1, FALSE)), "N", "Y")</f>
        <v>N</v>
      </c>
      <c r="D1778" t="str">
        <f t="shared" si="54"/>
        <v>X</v>
      </c>
      <c r="E1778" t="s">
        <v>8672</v>
      </c>
      <c r="F1778" t="s">
        <v>8673</v>
      </c>
      <c r="G1778" t="s">
        <v>4050</v>
      </c>
      <c r="H1778" t="s">
        <v>8674</v>
      </c>
      <c r="I1778" t="s">
        <v>2661</v>
      </c>
      <c r="J1778" t="str">
        <f>IF(0 = IFERROR(VLOOKUP(DBL_FullList!I1778, ContactsDbl!B:D, 2, FALSE), ""), "", IFERROR(VLOOKUP(DBL_FullList!I1778, ContactsDbl!B:D, 2, FALSE), ""))</f>
        <v>dbladmin_intl@sil.org</v>
      </c>
      <c r="K1778" t="str">
        <f>IF(0 = IFERROR(VLOOKUP(DBL_FullList!I1778,ContactsDbl!B:D, 3, FALSE), ""), "", IFERROR(VLOOKUP(DBL_FullList!I1778, ContactsDbl!B:D, 3, FALSE), ""))</f>
        <v>http://www.wycliffe.org</v>
      </c>
      <c r="L1778">
        <f t="shared" si="55"/>
        <v>2</v>
      </c>
    </row>
    <row r="1779" spans="1:12" x14ac:dyDescent="0.25">
      <c r="A1779" t="s">
        <v>8675</v>
      </c>
      <c r="B1779" t="str">
        <f>IF(ISERROR(VLOOKUP(F1779,STEP!A:A, 1, FALSE)), "N", "Y")</f>
        <v>N</v>
      </c>
      <c r="C1779" t="str">
        <f>IF(ISERROR(VLOOKUP(E1779, BibleInEveryLanguageTexts!A:A, 1, FALSE)), "N", "Y")</f>
        <v>N</v>
      </c>
      <c r="D1779" t="str">
        <f t="shared" si="54"/>
        <v>X</v>
      </c>
      <c r="E1779" t="s">
        <v>8676</v>
      </c>
      <c r="F1779" t="s">
        <v>8677</v>
      </c>
      <c r="G1779" t="s">
        <v>4459</v>
      </c>
      <c r="H1779" t="s">
        <v>8678</v>
      </c>
      <c r="I1779" t="s">
        <v>2344</v>
      </c>
      <c r="J1779" t="str">
        <f>IF(0 = IFERROR(VLOOKUP(DBL_FullList!I1779, ContactsDbl!B:D, 2, FALSE), ""), "", IFERROR(VLOOKUP(DBL_FullList!I1779, ContactsDbl!B:D, 2, FALSE), ""))</f>
        <v>transl@bible.or.jp</v>
      </c>
      <c r="K1779" t="str">
        <f>IF(0 = IFERROR(VLOOKUP(DBL_FullList!I1779,ContactsDbl!B:D, 3, FALSE), ""), "", IFERROR(VLOOKUP(DBL_FullList!I1779, ContactsDbl!B:D, 3, FALSE), ""))</f>
        <v>http://www.bible.or.jp/</v>
      </c>
      <c r="L1779">
        <f t="shared" si="55"/>
        <v>2</v>
      </c>
    </row>
    <row r="1780" spans="1:12" x14ac:dyDescent="0.25">
      <c r="A1780" t="s">
        <v>8679</v>
      </c>
      <c r="B1780" t="str">
        <f>IF(ISERROR(VLOOKUP(F1780,STEP!A:A, 1, FALSE)), "N", "Y")</f>
        <v>N</v>
      </c>
      <c r="C1780" t="str">
        <f>IF(ISERROR(VLOOKUP(E1780, BibleInEveryLanguageTexts!A:A, 1, FALSE)), "N", "Y")</f>
        <v>N</v>
      </c>
      <c r="D1780" t="str">
        <f t="shared" si="54"/>
        <v>X</v>
      </c>
      <c r="E1780" t="s">
        <v>8676</v>
      </c>
      <c r="F1780" t="s">
        <v>8677</v>
      </c>
      <c r="G1780" t="s">
        <v>4459</v>
      </c>
      <c r="H1780" t="s">
        <v>8680</v>
      </c>
      <c r="I1780" t="s">
        <v>1997</v>
      </c>
      <c r="J1780" t="str">
        <f>IF(0 = IFERROR(VLOOKUP(DBL_FullList!I1780, ContactsDbl!B:D, 2, FALSE), ""), "", IFERROR(VLOOKUP(DBL_FullList!I1780, ContactsDbl!B:D, 2, FALSE), ""))</f>
        <v>Lee.Harris@biblica.com</v>
      </c>
      <c r="K1780" t="str">
        <f>IF(0 = IFERROR(VLOOKUP(DBL_FullList!I1780,ContactsDbl!B:D, 3, FALSE), ""), "", IFERROR(VLOOKUP(DBL_FullList!I1780, ContactsDbl!B:D, 3, FALSE), ""))</f>
        <v>http://www.Biblica.com</v>
      </c>
      <c r="L1780">
        <f t="shared" si="55"/>
        <v>2</v>
      </c>
    </row>
    <row r="1781" spans="1:12" x14ac:dyDescent="0.25">
      <c r="A1781" t="s">
        <v>8681</v>
      </c>
      <c r="B1781" t="str">
        <f>IF(ISERROR(VLOOKUP(F1781,STEP!A:A, 1, FALSE)), "N", "Y")</f>
        <v>N</v>
      </c>
      <c r="C1781" t="str">
        <f>IF(ISERROR(VLOOKUP(E1781, BibleInEveryLanguageTexts!A:A, 1, FALSE)), "N", "Y")</f>
        <v>N</v>
      </c>
      <c r="D1781" t="str">
        <f t="shared" si="54"/>
        <v>X</v>
      </c>
      <c r="E1781" t="s">
        <v>8682</v>
      </c>
      <c r="F1781" t="s">
        <v>8683</v>
      </c>
      <c r="G1781" t="s">
        <v>4050</v>
      </c>
      <c r="H1781" t="s">
        <v>8684</v>
      </c>
      <c r="I1781" t="s">
        <v>2661</v>
      </c>
      <c r="J1781" t="str">
        <f>IF(0 = IFERROR(VLOOKUP(DBL_FullList!I1781, ContactsDbl!B:D, 2, FALSE), ""), "", IFERROR(VLOOKUP(DBL_FullList!I1781, ContactsDbl!B:D, 2, FALSE), ""))</f>
        <v>dbladmin_intl@sil.org</v>
      </c>
      <c r="K1781" t="str">
        <f>IF(0 = IFERROR(VLOOKUP(DBL_FullList!I1781,ContactsDbl!B:D, 3, FALSE), ""), "", IFERROR(VLOOKUP(DBL_FullList!I1781, ContactsDbl!B:D, 3, FALSE), ""))</f>
        <v>http://www.wycliffe.org</v>
      </c>
      <c r="L1781">
        <f t="shared" si="55"/>
        <v>2</v>
      </c>
    </row>
    <row r="1782" spans="1:12" x14ac:dyDescent="0.25">
      <c r="A1782" t="s">
        <v>8685</v>
      </c>
      <c r="B1782" t="str">
        <f>IF(ISERROR(VLOOKUP(F1782,STEP!A:A, 1, FALSE)), "N", "Y")</f>
        <v>N</v>
      </c>
      <c r="C1782" t="str">
        <f>IF(ISERROR(VLOOKUP(E1782, BibleInEveryLanguageTexts!A:A, 1, FALSE)), "N", "Y")</f>
        <v>N</v>
      </c>
      <c r="D1782" t="str">
        <f t="shared" si="54"/>
        <v>X</v>
      </c>
      <c r="E1782" t="s">
        <v>8686</v>
      </c>
      <c r="F1782" t="s">
        <v>8687</v>
      </c>
      <c r="G1782" t="s">
        <v>4050</v>
      </c>
      <c r="H1782" t="s">
        <v>8688</v>
      </c>
      <c r="I1782" t="s">
        <v>2661</v>
      </c>
      <c r="J1782" t="str">
        <f>IF(0 = IFERROR(VLOOKUP(DBL_FullList!I1782, ContactsDbl!B:D, 2, FALSE), ""), "", IFERROR(VLOOKUP(DBL_FullList!I1782, ContactsDbl!B:D, 2, FALSE), ""))</f>
        <v>dbladmin_intl@sil.org</v>
      </c>
      <c r="K1782" t="str">
        <f>IF(0 = IFERROR(VLOOKUP(DBL_FullList!I1782,ContactsDbl!B:D, 3, FALSE), ""), "", IFERROR(VLOOKUP(DBL_FullList!I1782, ContactsDbl!B:D, 3, FALSE), ""))</f>
        <v>http://www.wycliffe.org</v>
      </c>
      <c r="L1782">
        <f t="shared" si="55"/>
        <v>2</v>
      </c>
    </row>
    <row r="1783" spans="1:12" x14ac:dyDescent="0.25">
      <c r="A1783" t="s">
        <v>8689</v>
      </c>
      <c r="B1783" t="str">
        <f>IF(ISERROR(VLOOKUP(F1783,STEP!A:A, 1, FALSE)), "N", "Y")</f>
        <v>N</v>
      </c>
      <c r="C1783" t="str">
        <f>IF(ISERROR(VLOOKUP(E1783, BibleInEveryLanguageTexts!A:A, 1, FALSE)), "N", "Y")</f>
        <v>N</v>
      </c>
      <c r="D1783" t="str">
        <f t="shared" si="54"/>
        <v>X</v>
      </c>
      <c r="E1783" t="s">
        <v>548</v>
      </c>
      <c r="F1783" t="s">
        <v>546</v>
      </c>
      <c r="G1783" t="s">
        <v>547</v>
      </c>
      <c r="H1783" t="s">
        <v>8690</v>
      </c>
      <c r="I1783" t="s">
        <v>2603</v>
      </c>
      <c r="J1783" t="str">
        <f>IF(0 = IFERROR(VLOOKUP(DBL_FullList!I1783, ContactsDbl!B:D, 2, FALSE), ""), "", IFERROR(VLOOKUP(DBL_FullList!I1783, ContactsDbl!B:D, 2, FALSE), ""))</f>
        <v>mikael.winninge@bibeln.se</v>
      </c>
      <c r="K1783" t="str">
        <f>IF(0 = IFERROR(VLOOKUP(DBL_FullList!I1783,ContactsDbl!B:D, 3, FALSE), ""), "", IFERROR(VLOOKUP(DBL_FullList!I1783, ContactsDbl!B:D, 3, FALSE), ""))</f>
        <v>http://www.bibelsallskapet.se/</v>
      </c>
      <c r="L1783">
        <f t="shared" si="55"/>
        <v>2</v>
      </c>
    </row>
    <row r="1784" spans="1:12" x14ac:dyDescent="0.25">
      <c r="A1784" t="s">
        <v>8691</v>
      </c>
      <c r="B1784" t="str">
        <f>IF(ISERROR(VLOOKUP(F1784,STEP!A:A, 1, FALSE)), "N", "Y")</f>
        <v>N</v>
      </c>
      <c r="C1784" t="str">
        <f>IF(ISERROR(VLOOKUP(E1784, BibleInEveryLanguageTexts!A:A, 1, FALSE)), "N", "Y")</f>
        <v>N</v>
      </c>
      <c r="D1784" t="str">
        <f t="shared" si="54"/>
        <v>X</v>
      </c>
      <c r="E1784" t="s">
        <v>8692</v>
      </c>
      <c r="F1784" t="s">
        <v>8540</v>
      </c>
      <c r="G1784" t="s">
        <v>4050</v>
      </c>
      <c r="H1784" t="s">
        <v>8693</v>
      </c>
      <c r="I1784" t="s">
        <v>2661</v>
      </c>
      <c r="J1784" t="str">
        <f>IF(0 = IFERROR(VLOOKUP(DBL_FullList!I1784, ContactsDbl!B:D, 2, FALSE), ""), "", IFERROR(VLOOKUP(DBL_FullList!I1784, ContactsDbl!B:D, 2, FALSE), ""))</f>
        <v>dbladmin_intl@sil.org</v>
      </c>
      <c r="K1784" t="str">
        <f>IF(0 = IFERROR(VLOOKUP(DBL_FullList!I1784,ContactsDbl!B:D, 3, FALSE), ""), "", IFERROR(VLOOKUP(DBL_FullList!I1784, ContactsDbl!B:D, 3, FALSE), ""))</f>
        <v>http://www.wycliffe.org</v>
      </c>
      <c r="L1784">
        <f t="shared" si="55"/>
        <v>2</v>
      </c>
    </row>
    <row r="1785" spans="1:12" x14ac:dyDescent="0.25">
      <c r="A1785" t="s">
        <v>8694</v>
      </c>
      <c r="B1785" t="str">
        <f>IF(ISERROR(VLOOKUP(F1785,STEP!A:A, 1, FALSE)), "N", "Y")</f>
        <v>N</v>
      </c>
      <c r="C1785" t="str">
        <f>IF(ISERROR(VLOOKUP(E1785, BibleInEveryLanguageTexts!A:A, 1, FALSE)), "N", "Y")</f>
        <v>N</v>
      </c>
      <c r="D1785" t="str">
        <f t="shared" si="54"/>
        <v>X</v>
      </c>
      <c r="E1785" t="s">
        <v>4837</v>
      </c>
      <c r="F1785" t="s">
        <v>4838</v>
      </c>
      <c r="G1785" t="s">
        <v>3418</v>
      </c>
      <c r="H1785" t="s">
        <v>8695</v>
      </c>
      <c r="I1785" t="s">
        <v>2226</v>
      </c>
      <c r="J1785" t="str">
        <f>IF(0 = IFERROR(VLOOKUP(DBL_FullList!I1785, ContactsDbl!B:D, 2, FALSE), ""), "", IFERROR(VLOOKUP(DBL_FullList!I1785, ContactsDbl!B:D, 2, FALSE), ""))</f>
        <v>alliance.biblique@sbf.fr</v>
      </c>
      <c r="K1785" t="str">
        <f>IF(0 = IFERROR(VLOOKUP(DBL_FullList!I1785,ContactsDbl!B:D, 3, FALSE), ""), "", IFERROR(VLOOKUP(DBL_FullList!I1785, ContactsDbl!B:D, 3, FALSE), ""))</f>
        <v>www.alliancebiblique.fr</v>
      </c>
      <c r="L1785">
        <f t="shared" si="55"/>
        <v>2</v>
      </c>
    </row>
    <row r="1786" spans="1:12" x14ac:dyDescent="0.25">
      <c r="A1786" t="s">
        <v>8696</v>
      </c>
      <c r="B1786" t="str">
        <f>IF(ISERROR(VLOOKUP(F1786,STEP!A:A, 1, FALSE)), "N", "Y")</f>
        <v>N</v>
      </c>
      <c r="C1786" t="str">
        <f>IF(ISERROR(VLOOKUP(E1786, BibleInEveryLanguageTexts!A:A, 1, FALSE)), "N", "Y")</f>
        <v>N</v>
      </c>
      <c r="D1786" t="str">
        <f t="shared" si="54"/>
        <v>X</v>
      </c>
      <c r="E1786" t="s">
        <v>8697</v>
      </c>
      <c r="F1786" t="s">
        <v>8698</v>
      </c>
      <c r="G1786" t="s">
        <v>3861</v>
      </c>
      <c r="H1786" t="s">
        <v>8699</v>
      </c>
      <c r="I1786" t="s">
        <v>2393</v>
      </c>
      <c r="J1786" t="str">
        <f>IF(0 = IFERROR(VLOOKUP(DBL_FullList!I1786, ContactsDbl!B:D, 2, FALSE), ""), "", IFERROR(VLOOKUP(DBL_FullList!I1786, ContactsDbl!B:D, 2, FALSE), ""))</f>
        <v>pstevens@biblesocieties.org</v>
      </c>
      <c r="K1786" t="str">
        <f>IF(0 = IFERROR(VLOOKUP(DBL_FullList!I1786,ContactsDbl!B:D, 3, FALSE), ""), "", IFERROR(VLOOKUP(DBL_FullList!I1786, ContactsDbl!B:D, 3, FALSE), ""))</f>
        <v>http://www.unitedbiblesocieties.org/society/bible-society-in-liberia/</v>
      </c>
      <c r="L1786">
        <f t="shared" si="55"/>
        <v>2</v>
      </c>
    </row>
    <row r="1787" spans="1:12" x14ac:dyDescent="0.25">
      <c r="A1787" t="s">
        <v>8700</v>
      </c>
      <c r="B1787" t="str">
        <f>IF(ISERROR(VLOOKUP(F1787,STEP!A:A, 1, FALSE)), "N", "Y")</f>
        <v>N</v>
      </c>
      <c r="C1787" t="str">
        <f>IF(ISERROR(VLOOKUP(E1787, BibleInEveryLanguageTexts!A:A, 1, FALSE)), "N", "Y")</f>
        <v>N</v>
      </c>
      <c r="D1787" t="str">
        <f t="shared" si="54"/>
        <v>X</v>
      </c>
      <c r="E1787" t="s">
        <v>8701</v>
      </c>
      <c r="F1787" t="s">
        <v>8702</v>
      </c>
      <c r="G1787" t="s">
        <v>4050</v>
      </c>
      <c r="H1787" t="s">
        <v>8703</v>
      </c>
      <c r="I1787" t="s">
        <v>2661</v>
      </c>
      <c r="J1787" t="str">
        <f>IF(0 = IFERROR(VLOOKUP(DBL_FullList!I1787, ContactsDbl!B:D, 2, FALSE), ""), "", IFERROR(VLOOKUP(DBL_FullList!I1787, ContactsDbl!B:D, 2, FALSE), ""))</f>
        <v>dbladmin_intl@sil.org</v>
      </c>
      <c r="K1787" t="str">
        <f>IF(0 = IFERROR(VLOOKUP(DBL_FullList!I1787,ContactsDbl!B:D, 3, FALSE), ""), "", IFERROR(VLOOKUP(DBL_FullList!I1787, ContactsDbl!B:D, 3, FALSE), ""))</f>
        <v>http://www.wycliffe.org</v>
      </c>
      <c r="L1787">
        <f t="shared" si="55"/>
        <v>2</v>
      </c>
    </row>
    <row r="1788" spans="1:12" x14ac:dyDescent="0.25">
      <c r="A1788" t="s">
        <v>8704</v>
      </c>
      <c r="B1788" t="str">
        <f>IF(ISERROR(VLOOKUP(F1788,STEP!A:A, 1, FALSE)), "N", "Y")</f>
        <v>N</v>
      </c>
      <c r="C1788" t="str">
        <f>IF(ISERROR(VLOOKUP(E1788, BibleInEveryLanguageTexts!A:A, 1, FALSE)), "N", "Y")</f>
        <v>N</v>
      </c>
      <c r="D1788" t="str">
        <f t="shared" si="54"/>
        <v>X</v>
      </c>
      <c r="E1788" t="s">
        <v>8705</v>
      </c>
      <c r="F1788" t="s">
        <v>8706</v>
      </c>
      <c r="G1788" t="s">
        <v>4050</v>
      </c>
      <c r="H1788" t="s">
        <v>8707</v>
      </c>
      <c r="I1788" t="s">
        <v>2661</v>
      </c>
      <c r="J1788" t="str">
        <f>IF(0 = IFERROR(VLOOKUP(DBL_FullList!I1788, ContactsDbl!B:D, 2, FALSE), ""), "", IFERROR(VLOOKUP(DBL_FullList!I1788, ContactsDbl!B:D, 2, FALSE), ""))</f>
        <v>dbladmin_intl@sil.org</v>
      </c>
      <c r="K1788" t="str">
        <f>IF(0 = IFERROR(VLOOKUP(DBL_FullList!I1788,ContactsDbl!B:D, 3, FALSE), ""), "", IFERROR(VLOOKUP(DBL_FullList!I1788, ContactsDbl!B:D, 3, FALSE), ""))</f>
        <v>http://www.wycliffe.org</v>
      </c>
      <c r="L1788">
        <f t="shared" si="55"/>
        <v>2</v>
      </c>
    </row>
    <row r="1789" spans="1:12" x14ac:dyDescent="0.25">
      <c r="A1789" t="s">
        <v>328</v>
      </c>
      <c r="B1789" t="str">
        <f>IF(ISERROR(VLOOKUP(F1789,STEP!A:A, 1, FALSE)), "N", "Y")</f>
        <v>N</v>
      </c>
      <c r="C1789" t="str">
        <f>IF(ISERROR(VLOOKUP(E1789, BibleInEveryLanguageTexts!A:A, 1, FALSE)), "N", "Y")</f>
        <v>N</v>
      </c>
      <c r="D1789" t="str">
        <f t="shared" si="54"/>
        <v>X</v>
      </c>
      <c r="E1789" t="s">
        <v>327</v>
      </c>
      <c r="F1789" t="s">
        <v>326</v>
      </c>
      <c r="G1789" t="s">
        <v>48</v>
      </c>
      <c r="H1789" t="s">
        <v>325</v>
      </c>
      <c r="I1789" t="s">
        <v>45</v>
      </c>
      <c r="J1789" t="str">
        <f>IF(0 = IFERROR(VLOOKUP(DBL_FullList!I1789, ContactsDbl!B:D, 2, FALSE), ""), "", IFERROR(VLOOKUP(DBL_FullList!I1789, ContactsDbl!B:D, 2, FALSE), ""))</f>
        <v>pbt@pbti.org</v>
      </c>
      <c r="K1789" t="str">
        <f>IF(0 = IFERROR(VLOOKUP(DBL_FullList!I1789,ContactsDbl!B:D, 3, FALSE), ""), "", IFERROR(VLOOKUP(DBL_FullList!I1789, ContactsDbl!B:D, 3, FALSE), ""))</f>
        <v>www.pioneerbible.org</v>
      </c>
      <c r="L1789">
        <f t="shared" si="55"/>
        <v>2</v>
      </c>
    </row>
    <row r="1790" spans="1:12" x14ac:dyDescent="0.25">
      <c r="A1790" t="s">
        <v>8708</v>
      </c>
      <c r="B1790" t="str">
        <f>IF(ISERROR(VLOOKUP(F1790,STEP!A:A, 1, FALSE)), "N", "Y")</f>
        <v>N</v>
      </c>
      <c r="C1790" t="str">
        <f>IF(ISERROR(VLOOKUP(E1790, BibleInEveryLanguageTexts!A:A, 1, FALSE)), "N", "Y")</f>
        <v>N</v>
      </c>
      <c r="D1790" t="str">
        <f t="shared" si="54"/>
        <v>X</v>
      </c>
      <c r="E1790" t="s">
        <v>8709</v>
      </c>
      <c r="F1790" t="s">
        <v>8710</v>
      </c>
      <c r="G1790" t="s">
        <v>4050</v>
      </c>
      <c r="H1790" t="s">
        <v>8711</v>
      </c>
      <c r="I1790" t="s">
        <v>2661</v>
      </c>
      <c r="J1790" t="str">
        <f>IF(0 = IFERROR(VLOOKUP(DBL_FullList!I1790, ContactsDbl!B:D, 2, FALSE), ""), "", IFERROR(VLOOKUP(DBL_FullList!I1790, ContactsDbl!B:D, 2, FALSE), ""))</f>
        <v>dbladmin_intl@sil.org</v>
      </c>
      <c r="K1790" t="str">
        <f>IF(0 = IFERROR(VLOOKUP(DBL_FullList!I1790,ContactsDbl!B:D, 3, FALSE), ""), "", IFERROR(VLOOKUP(DBL_FullList!I1790, ContactsDbl!B:D, 3, FALSE), ""))</f>
        <v>http://www.wycliffe.org</v>
      </c>
      <c r="L1790">
        <f t="shared" si="55"/>
        <v>2</v>
      </c>
    </row>
    <row r="1791" spans="1:12" x14ac:dyDescent="0.25">
      <c r="A1791" t="s">
        <v>8712</v>
      </c>
      <c r="B1791" t="str">
        <f>IF(ISERROR(VLOOKUP(F1791,STEP!A:A, 1, FALSE)), "N", "Y")</f>
        <v>N</v>
      </c>
      <c r="C1791" t="str">
        <f>IF(ISERROR(VLOOKUP(E1791, BibleInEveryLanguageTexts!A:A, 1, FALSE)), "N", "Y")</f>
        <v>N</v>
      </c>
      <c r="D1791" t="str">
        <f t="shared" si="54"/>
        <v>X</v>
      </c>
      <c r="E1791" t="s">
        <v>8713</v>
      </c>
      <c r="F1791" t="s">
        <v>8714</v>
      </c>
      <c r="G1791" t="s">
        <v>4050</v>
      </c>
      <c r="H1791" t="s">
        <v>8715</v>
      </c>
      <c r="I1791" t="s">
        <v>2661</v>
      </c>
      <c r="J1791" t="str">
        <f>IF(0 = IFERROR(VLOOKUP(DBL_FullList!I1791, ContactsDbl!B:D, 2, FALSE), ""), "", IFERROR(VLOOKUP(DBL_FullList!I1791, ContactsDbl!B:D, 2, FALSE), ""))</f>
        <v>dbladmin_intl@sil.org</v>
      </c>
      <c r="K1791" t="str">
        <f>IF(0 = IFERROR(VLOOKUP(DBL_FullList!I1791,ContactsDbl!B:D, 3, FALSE), ""), "", IFERROR(VLOOKUP(DBL_FullList!I1791, ContactsDbl!B:D, 3, FALSE), ""))</f>
        <v>http://www.wycliffe.org</v>
      </c>
      <c r="L1791">
        <f t="shared" si="55"/>
        <v>2</v>
      </c>
    </row>
    <row r="1792" spans="1:12" x14ac:dyDescent="0.25">
      <c r="A1792" t="s">
        <v>8716</v>
      </c>
      <c r="B1792" t="str">
        <f>IF(ISERROR(VLOOKUP(F1792,STEP!A:A, 1, FALSE)), "N", "Y")</f>
        <v>N</v>
      </c>
      <c r="C1792" t="str">
        <f>IF(ISERROR(VLOOKUP(E1792, BibleInEveryLanguageTexts!A:A, 1, FALSE)), "N", "Y")</f>
        <v>N</v>
      </c>
      <c r="D1792" t="str">
        <f t="shared" si="54"/>
        <v>X</v>
      </c>
      <c r="E1792" t="s">
        <v>8717</v>
      </c>
      <c r="F1792" t="s">
        <v>8718</v>
      </c>
      <c r="G1792" t="s">
        <v>4050</v>
      </c>
      <c r="H1792" t="s">
        <v>8719</v>
      </c>
      <c r="I1792" t="s">
        <v>2661</v>
      </c>
      <c r="J1792" t="str">
        <f>IF(0 = IFERROR(VLOOKUP(DBL_FullList!I1792, ContactsDbl!B:D, 2, FALSE), ""), "", IFERROR(VLOOKUP(DBL_FullList!I1792, ContactsDbl!B:D, 2, FALSE), ""))</f>
        <v>dbladmin_intl@sil.org</v>
      </c>
      <c r="K1792" t="str">
        <f>IF(0 = IFERROR(VLOOKUP(DBL_FullList!I1792,ContactsDbl!B:D, 3, FALSE), ""), "", IFERROR(VLOOKUP(DBL_FullList!I1792, ContactsDbl!B:D, 3, FALSE), ""))</f>
        <v>http://www.wycliffe.org</v>
      </c>
      <c r="L1792">
        <f t="shared" si="55"/>
        <v>2</v>
      </c>
    </row>
    <row r="1793" spans="1:12" x14ac:dyDescent="0.25">
      <c r="A1793" t="s">
        <v>8720</v>
      </c>
      <c r="B1793" t="str">
        <f>IF(ISERROR(VLOOKUP(F1793,STEP!A:A, 1, FALSE)), "N", "Y")</f>
        <v>N</v>
      </c>
      <c r="C1793" t="str">
        <f>IF(ISERROR(VLOOKUP(E1793, BibleInEveryLanguageTexts!A:A, 1, FALSE)), "N", "Y")</f>
        <v>N</v>
      </c>
      <c r="D1793" t="str">
        <f t="shared" si="54"/>
        <v>X</v>
      </c>
      <c r="E1793" t="s">
        <v>8721</v>
      </c>
      <c r="F1793" t="s">
        <v>8722</v>
      </c>
      <c r="G1793" t="s">
        <v>3281</v>
      </c>
      <c r="H1793" t="s">
        <v>8723</v>
      </c>
      <c r="I1793" t="s">
        <v>2417</v>
      </c>
      <c r="J1793" t="str">
        <f>IF(0 = IFERROR(VLOOKUP(DBL_FullList!I1793, ContactsDbl!B:D, 2, FALSE), ""), "", IFERROR(VLOOKUP(DBL_FullList!I1793, ContactsDbl!B:D, 2, FALSE), ""))</f>
        <v>mathewpunnoose@biblemalaysia.org</v>
      </c>
      <c r="K1793" t="str">
        <f>IF(0 = IFERROR(VLOOKUP(DBL_FullList!I1793,ContactsDbl!B:D, 3, FALSE), ""), "", IFERROR(VLOOKUP(DBL_FullList!I1793, ContactsDbl!B:D, 3, FALSE), ""))</f>
        <v>http://www.bible.org.my/</v>
      </c>
      <c r="L1793">
        <f t="shared" si="55"/>
        <v>2</v>
      </c>
    </row>
    <row r="1794" spans="1:12" x14ac:dyDescent="0.25">
      <c r="A1794" t="s">
        <v>8724</v>
      </c>
      <c r="B1794" t="str">
        <f>IF(ISERROR(VLOOKUP(F1794,STEP!A:A, 1, FALSE)), "N", "Y")</f>
        <v>N</v>
      </c>
      <c r="C1794" t="str">
        <f>IF(ISERROR(VLOOKUP(E1794, BibleInEveryLanguageTexts!A:A, 1, FALSE)), "N", "Y")</f>
        <v>N</v>
      </c>
      <c r="D1794" t="str">
        <f t="shared" si="54"/>
        <v>X</v>
      </c>
      <c r="E1794" t="s">
        <v>5711</v>
      </c>
      <c r="F1794" t="s">
        <v>5712</v>
      </c>
      <c r="G1794" t="s">
        <v>4739</v>
      </c>
      <c r="H1794" t="s">
        <v>8725</v>
      </c>
      <c r="I1794" t="s">
        <v>2332</v>
      </c>
      <c r="J1794" t="str">
        <f>IF(0 = IFERROR(VLOOKUP(DBL_FullList!I1794, ContactsDbl!B:D, 2, FALSE), ""), "", IFERROR(VLOOKUP(DBL_FullList!I1794, ContactsDbl!B:D, 2, FALSE), ""))</f>
        <v>swmalek@gmail.com</v>
      </c>
      <c r="K1794" t="str">
        <f>IF(0 = IFERROR(VLOOKUP(DBL_FullList!I1794,ContactsDbl!B:D, 3, FALSE), ""), "", IFERROR(VLOOKUP(DBL_FullList!I1794, ContactsDbl!B:D, 3, FALSE), ""))</f>
        <v>http://www.sharifbible.com</v>
      </c>
      <c r="L1794">
        <f t="shared" si="55"/>
        <v>2</v>
      </c>
    </row>
    <row r="1795" spans="1:12" x14ac:dyDescent="0.25">
      <c r="A1795" t="s">
        <v>8726</v>
      </c>
      <c r="B1795" t="str">
        <f>IF(ISERROR(VLOOKUP(F1795,STEP!A:A, 1, FALSE)), "N", "Y")</f>
        <v>N</v>
      </c>
      <c r="C1795" t="str">
        <f>IF(ISERROR(VLOOKUP(E1795, BibleInEveryLanguageTexts!A:A, 1, FALSE)), "N", "Y")</f>
        <v>N</v>
      </c>
      <c r="D1795" t="str">
        <f t="shared" ref="D1795:D1858" si="56">IF(AND("N" = B1795, "N" = C1795), "X", "")</f>
        <v>X</v>
      </c>
      <c r="E1795" t="s">
        <v>219</v>
      </c>
      <c r="F1795" t="s">
        <v>217</v>
      </c>
      <c r="G1795" t="s">
        <v>218</v>
      </c>
      <c r="H1795" t="s">
        <v>8727</v>
      </c>
      <c r="I1795" t="s">
        <v>2241</v>
      </c>
      <c r="J1795" t="str">
        <f>IF(0 = IFERROR(VLOOKUP(DBL_FullList!I1795, ContactsDbl!B:D, 2, FALSE), ""), "", IFERROR(VLOOKUP(DBL_FullList!I1795, ContactsDbl!B:D, 2, FALSE), ""))</f>
        <v>dbl@dbg.de</v>
      </c>
      <c r="K1795" t="str">
        <f>IF(0 = IFERROR(VLOOKUP(DBL_FullList!I1795,ContactsDbl!B:D, 3, FALSE), ""), "", IFERROR(VLOOKUP(DBL_FullList!I1795, ContactsDbl!B:D, 3, FALSE), ""))</f>
        <v>http://www.die-bibel.de</v>
      </c>
      <c r="L1795">
        <f t="shared" ref="L1795:L1858" si="57">IF("" &lt;&gt; J1795, 2, IF("" &lt;&gt; K1795, 1, 0))</f>
        <v>2</v>
      </c>
    </row>
    <row r="1796" spans="1:12" x14ac:dyDescent="0.25">
      <c r="A1796" t="s">
        <v>8728</v>
      </c>
      <c r="B1796" t="str">
        <f>IF(ISERROR(VLOOKUP(F1796,STEP!A:A, 1, FALSE)), "N", "Y")</f>
        <v>N</v>
      </c>
      <c r="C1796" t="str">
        <f>IF(ISERROR(VLOOKUP(E1796, BibleInEveryLanguageTexts!A:A, 1, FALSE)), "N", "Y")</f>
        <v>N</v>
      </c>
      <c r="D1796" t="str">
        <f t="shared" si="56"/>
        <v>X</v>
      </c>
      <c r="E1796" t="s">
        <v>8729</v>
      </c>
      <c r="F1796" t="s">
        <v>8730</v>
      </c>
      <c r="G1796" t="s">
        <v>4050</v>
      </c>
      <c r="H1796" t="s">
        <v>8731</v>
      </c>
      <c r="I1796" t="s">
        <v>2661</v>
      </c>
      <c r="J1796" t="str">
        <f>IF(0 = IFERROR(VLOOKUP(DBL_FullList!I1796, ContactsDbl!B:D, 2, FALSE), ""), "", IFERROR(VLOOKUP(DBL_FullList!I1796, ContactsDbl!B:D, 2, FALSE), ""))</f>
        <v>dbladmin_intl@sil.org</v>
      </c>
      <c r="K1796" t="str">
        <f>IF(0 = IFERROR(VLOOKUP(DBL_FullList!I1796,ContactsDbl!B:D, 3, FALSE), ""), "", IFERROR(VLOOKUP(DBL_FullList!I1796, ContactsDbl!B:D, 3, FALSE), ""))</f>
        <v>http://www.wycliffe.org</v>
      </c>
      <c r="L1796">
        <f t="shared" si="57"/>
        <v>2</v>
      </c>
    </row>
    <row r="1797" spans="1:12" x14ac:dyDescent="0.25">
      <c r="A1797" t="s">
        <v>8732</v>
      </c>
      <c r="B1797" t="str">
        <f>IF(ISERROR(VLOOKUP(F1797,STEP!A:A, 1, FALSE)), "N", "Y")</f>
        <v>N</v>
      </c>
      <c r="C1797" t="str">
        <f>IF(ISERROR(VLOOKUP(E1797, BibleInEveryLanguageTexts!A:A, 1, FALSE)), "N", "Y")</f>
        <v>N</v>
      </c>
      <c r="D1797" t="str">
        <f t="shared" si="56"/>
        <v>X</v>
      </c>
      <c r="E1797" t="s">
        <v>8733</v>
      </c>
      <c r="F1797" t="s">
        <v>8734</v>
      </c>
      <c r="G1797" t="s">
        <v>2858</v>
      </c>
      <c r="H1797" t="s">
        <v>8735</v>
      </c>
      <c r="I1797" t="s">
        <v>2661</v>
      </c>
      <c r="J1797" t="str">
        <f>IF(0 = IFERROR(VLOOKUP(DBL_FullList!I1797, ContactsDbl!B:D, 2, FALSE), ""), "", IFERROR(VLOOKUP(DBL_FullList!I1797, ContactsDbl!B:D, 2, FALSE), ""))</f>
        <v>dbladmin_intl@sil.org</v>
      </c>
      <c r="K1797" t="str">
        <f>IF(0 = IFERROR(VLOOKUP(DBL_FullList!I1797,ContactsDbl!B:D, 3, FALSE), ""), "", IFERROR(VLOOKUP(DBL_FullList!I1797, ContactsDbl!B:D, 3, FALSE), ""))</f>
        <v>http://www.wycliffe.org</v>
      </c>
      <c r="L1797">
        <f t="shared" si="57"/>
        <v>2</v>
      </c>
    </row>
    <row r="1798" spans="1:12" x14ac:dyDescent="0.25">
      <c r="A1798" t="s">
        <v>8736</v>
      </c>
      <c r="B1798" t="str">
        <f>IF(ISERROR(VLOOKUP(F1798,STEP!A:A, 1, FALSE)), "N", "Y")</f>
        <v>N</v>
      </c>
      <c r="C1798" t="str">
        <f>IF(ISERROR(VLOOKUP(E1798, BibleInEveryLanguageTexts!A:A, 1, FALSE)), "N", "Y")</f>
        <v>N</v>
      </c>
      <c r="D1798" t="str">
        <f t="shared" si="56"/>
        <v>X</v>
      </c>
      <c r="E1798" t="s">
        <v>467</v>
      </c>
      <c r="F1798" t="s">
        <v>466</v>
      </c>
      <c r="G1798" t="s">
        <v>48</v>
      </c>
      <c r="H1798" t="s">
        <v>8737</v>
      </c>
      <c r="I1798" t="s">
        <v>45</v>
      </c>
      <c r="J1798" t="str">
        <f>IF(0 = IFERROR(VLOOKUP(DBL_FullList!I1798, ContactsDbl!B:D, 2, FALSE), ""), "", IFERROR(VLOOKUP(DBL_FullList!I1798, ContactsDbl!B:D, 2, FALSE), ""))</f>
        <v>pbt@pbti.org</v>
      </c>
      <c r="K1798" t="str">
        <f>IF(0 = IFERROR(VLOOKUP(DBL_FullList!I1798,ContactsDbl!B:D, 3, FALSE), ""), "", IFERROR(VLOOKUP(DBL_FullList!I1798, ContactsDbl!B:D, 3, FALSE), ""))</f>
        <v>www.pioneerbible.org</v>
      </c>
      <c r="L1798">
        <f t="shared" si="57"/>
        <v>2</v>
      </c>
    </row>
    <row r="1799" spans="1:12" x14ac:dyDescent="0.25">
      <c r="A1799" t="s">
        <v>8738</v>
      </c>
      <c r="B1799" t="str">
        <f>IF(ISERROR(VLOOKUP(F1799,STEP!A:A, 1, FALSE)), "N", "Y")</f>
        <v>N</v>
      </c>
      <c r="C1799" t="str">
        <f>IF(ISERROR(VLOOKUP(E1799, BibleInEveryLanguageTexts!A:A, 1, FALSE)), "N", "Y")</f>
        <v>N</v>
      </c>
      <c r="D1799" t="str">
        <f t="shared" si="56"/>
        <v>X</v>
      </c>
      <c r="E1799" t="s">
        <v>205</v>
      </c>
      <c r="F1799" t="s">
        <v>204</v>
      </c>
      <c r="G1799" t="s">
        <v>4081</v>
      </c>
      <c r="H1799" t="s">
        <v>8739</v>
      </c>
      <c r="I1799" t="s">
        <v>1978</v>
      </c>
      <c r="J1799" t="str">
        <f>IF(0 = IFERROR(VLOOKUP(DBL_FullList!I1799, ContactsDbl!B:D, 2, FALSE), ""), "", IFERROR(VLOOKUP(DBL_FullList!I1799, ContactsDbl!B:D, 2, FALSE), ""))</f>
        <v>info@biblesociety.org.bd</v>
      </c>
      <c r="K1799" t="str">
        <f>IF(0 = IFERROR(VLOOKUP(DBL_FullList!I1799,ContactsDbl!B:D, 3, FALSE), ""), "", IFERROR(VLOOKUP(DBL_FullList!I1799, ContactsDbl!B:D, 3, FALSE), ""))</f>
        <v>http://biblesociety.org.bd</v>
      </c>
      <c r="L1799">
        <f t="shared" si="57"/>
        <v>2</v>
      </c>
    </row>
    <row r="1800" spans="1:12" x14ac:dyDescent="0.25">
      <c r="A1800" t="s">
        <v>353</v>
      </c>
      <c r="B1800" t="str">
        <f>IF(ISERROR(VLOOKUP(F1800,STEP!A:A, 1, FALSE)), "N", "Y")</f>
        <v>N</v>
      </c>
      <c r="C1800" t="str">
        <f>IF(ISERROR(VLOOKUP(E1800, BibleInEveryLanguageTexts!A:A, 1, FALSE)), "N", "Y")</f>
        <v>N</v>
      </c>
      <c r="D1800" t="str">
        <f t="shared" si="56"/>
        <v>X</v>
      </c>
      <c r="E1800" t="s">
        <v>8740</v>
      </c>
      <c r="F1800" t="s">
        <v>351</v>
      </c>
      <c r="G1800" t="s">
        <v>139</v>
      </c>
      <c r="H1800" t="s">
        <v>8741</v>
      </c>
      <c r="I1800" t="s">
        <v>2640</v>
      </c>
      <c r="J1800" t="str">
        <f>IF(0 = IFERROR(VLOOKUP(DBL_FullList!I1800, ContactsDbl!B:D, 2, FALSE), ""), "", IFERROR(VLOOKUP(DBL_FullList!I1800, ContactsDbl!B:D, 2, FALSE), ""))</f>
        <v>admin-us@twftw.org</v>
      </c>
      <c r="K1800" t="str">
        <f>IF(0 = IFERROR(VLOOKUP(DBL_FullList!I1800,ContactsDbl!B:D, 3, FALSE), ""), "", IFERROR(VLOOKUP(DBL_FullList!I1800, ContactsDbl!B:D, 3, FALSE), ""))</f>
        <v>www.twftw.org</v>
      </c>
      <c r="L1800">
        <f t="shared" si="57"/>
        <v>2</v>
      </c>
    </row>
    <row r="1801" spans="1:12" x14ac:dyDescent="0.25">
      <c r="A1801" t="s">
        <v>8742</v>
      </c>
      <c r="B1801" t="str">
        <f>IF(ISERROR(VLOOKUP(F1801,STEP!A:A, 1, FALSE)), "N", "Y")</f>
        <v>N</v>
      </c>
      <c r="C1801" t="str">
        <f>IF(ISERROR(VLOOKUP(E1801, BibleInEveryLanguageTexts!A:A, 1, FALSE)), "N", "Y")</f>
        <v>N</v>
      </c>
      <c r="D1801" t="str">
        <f t="shared" si="56"/>
        <v>X</v>
      </c>
      <c r="E1801" t="s">
        <v>8743</v>
      </c>
      <c r="F1801" t="s">
        <v>8744</v>
      </c>
      <c r="G1801" t="s">
        <v>4050</v>
      </c>
      <c r="H1801" t="s">
        <v>8745</v>
      </c>
      <c r="I1801" t="s">
        <v>2661</v>
      </c>
      <c r="J1801" t="str">
        <f>IF(0 = IFERROR(VLOOKUP(DBL_FullList!I1801, ContactsDbl!B:D, 2, FALSE), ""), "", IFERROR(VLOOKUP(DBL_FullList!I1801, ContactsDbl!B:D, 2, FALSE), ""))</f>
        <v>dbladmin_intl@sil.org</v>
      </c>
      <c r="K1801" t="str">
        <f>IF(0 = IFERROR(VLOOKUP(DBL_FullList!I1801,ContactsDbl!B:D, 3, FALSE), ""), "", IFERROR(VLOOKUP(DBL_FullList!I1801, ContactsDbl!B:D, 3, FALSE), ""))</f>
        <v>http://www.wycliffe.org</v>
      </c>
      <c r="L1801">
        <f t="shared" si="57"/>
        <v>2</v>
      </c>
    </row>
    <row r="1802" spans="1:12" x14ac:dyDescent="0.25">
      <c r="A1802" t="s">
        <v>8746</v>
      </c>
      <c r="B1802" t="str">
        <f>IF(ISERROR(VLOOKUP(F1802,STEP!A:A, 1, FALSE)), "N", "Y")</f>
        <v>N</v>
      </c>
      <c r="C1802" t="str">
        <f>IF(ISERROR(VLOOKUP(E1802, BibleInEveryLanguageTexts!A:A, 1, FALSE)), "N", "Y")</f>
        <v>N</v>
      </c>
      <c r="D1802" t="str">
        <f t="shared" si="56"/>
        <v>X</v>
      </c>
      <c r="E1802" t="s">
        <v>8747</v>
      </c>
      <c r="F1802" t="s">
        <v>8748</v>
      </c>
      <c r="G1802" t="s">
        <v>2723</v>
      </c>
      <c r="H1802" t="s">
        <v>8318</v>
      </c>
      <c r="I1802" t="s">
        <v>2661</v>
      </c>
      <c r="J1802" t="str">
        <f>IF(0 = IFERROR(VLOOKUP(DBL_FullList!I1802, ContactsDbl!B:D, 2, FALSE), ""), "", IFERROR(VLOOKUP(DBL_FullList!I1802, ContactsDbl!B:D, 2, FALSE), ""))</f>
        <v>dbladmin_intl@sil.org</v>
      </c>
      <c r="K1802" t="str">
        <f>IF(0 = IFERROR(VLOOKUP(DBL_FullList!I1802,ContactsDbl!B:D, 3, FALSE), ""), "", IFERROR(VLOOKUP(DBL_FullList!I1802, ContactsDbl!B:D, 3, FALSE), ""))</f>
        <v>http://www.wycliffe.org</v>
      </c>
      <c r="L1802">
        <f t="shared" si="57"/>
        <v>2</v>
      </c>
    </row>
    <row r="1803" spans="1:12" x14ac:dyDescent="0.25">
      <c r="A1803" t="s">
        <v>8749</v>
      </c>
      <c r="B1803" t="str">
        <f>IF(ISERROR(VLOOKUP(F1803,STEP!A:A, 1, FALSE)), "N", "Y")</f>
        <v>N</v>
      </c>
      <c r="C1803" t="str">
        <f>IF(ISERROR(VLOOKUP(E1803, BibleInEveryLanguageTexts!A:A, 1, FALSE)), "N", "Y")</f>
        <v>N</v>
      </c>
      <c r="D1803" t="str">
        <f t="shared" si="56"/>
        <v>X</v>
      </c>
      <c r="E1803" t="s">
        <v>434</v>
      </c>
      <c r="F1803" t="s">
        <v>433</v>
      </c>
      <c r="G1803" t="s">
        <v>139</v>
      </c>
      <c r="H1803" t="s">
        <v>8750</v>
      </c>
      <c r="I1803" t="s">
        <v>2640</v>
      </c>
      <c r="J1803" t="str">
        <f>IF(0 = IFERROR(VLOOKUP(DBL_FullList!I1803, ContactsDbl!B:D, 2, FALSE), ""), "", IFERROR(VLOOKUP(DBL_FullList!I1803, ContactsDbl!B:D, 2, FALSE), ""))</f>
        <v>admin-us@twftw.org</v>
      </c>
      <c r="K1803" t="str">
        <f>IF(0 = IFERROR(VLOOKUP(DBL_FullList!I1803,ContactsDbl!B:D, 3, FALSE), ""), "", IFERROR(VLOOKUP(DBL_FullList!I1803, ContactsDbl!B:D, 3, FALSE), ""))</f>
        <v>www.twftw.org</v>
      </c>
      <c r="L1803">
        <f t="shared" si="57"/>
        <v>2</v>
      </c>
    </row>
    <row r="1804" spans="1:12" x14ac:dyDescent="0.25">
      <c r="A1804" t="s">
        <v>8751</v>
      </c>
      <c r="B1804" t="str">
        <f>IF(ISERROR(VLOOKUP(F1804,STEP!A:A, 1, FALSE)), "N", "Y")</f>
        <v>N</v>
      </c>
      <c r="C1804" t="str">
        <f>IF(ISERROR(VLOOKUP(E1804, BibleInEveryLanguageTexts!A:A, 1, FALSE)), "N", "Y")</f>
        <v>N</v>
      </c>
      <c r="D1804" t="str">
        <f t="shared" si="56"/>
        <v>X</v>
      </c>
      <c r="E1804" t="s">
        <v>8752</v>
      </c>
      <c r="F1804" t="s">
        <v>8753</v>
      </c>
      <c r="G1804" t="s">
        <v>4050</v>
      </c>
      <c r="H1804" t="s">
        <v>8754</v>
      </c>
      <c r="I1804" t="s">
        <v>2661</v>
      </c>
      <c r="J1804" t="str">
        <f>IF(0 = IFERROR(VLOOKUP(DBL_FullList!I1804, ContactsDbl!B:D, 2, FALSE), ""), "", IFERROR(VLOOKUP(DBL_FullList!I1804, ContactsDbl!B:D, 2, FALSE), ""))</f>
        <v>dbladmin_intl@sil.org</v>
      </c>
      <c r="K1804" t="str">
        <f>IF(0 = IFERROR(VLOOKUP(DBL_FullList!I1804,ContactsDbl!B:D, 3, FALSE), ""), "", IFERROR(VLOOKUP(DBL_FullList!I1804, ContactsDbl!B:D, 3, FALSE), ""))</f>
        <v>http://www.wycliffe.org</v>
      </c>
      <c r="L1804">
        <f t="shared" si="57"/>
        <v>2</v>
      </c>
    </row>
    <row r="1805" spans="1:12" x14ac:dyDescent="0.25">
      <c r="A1805" t="s">
        <v>8755</v>
      </c>
      <c r="B1805" t="str">
        <f>IF(ISERROR(VLOOKUP(F1805,STEP!A:A, 1, FALSE)), "N", "Y")</f>
        <v>N</v>
      </c>
      <c r="C1805" t="str">
        <f>IF(ISERROR(VLOOKUP(E1805, BibleInEveryLanguageTexts!A:A, 1, FALSE)), "N", "Y")</f>
        <v>N</v>
      </c>
      <c r="D1805" t="str">
        <f t="shared" si="56"/>
        <v>X</v>
      </c>
      <c r="E1805" t="s">
        <v>8756</v>
      </c>
      <c r="F1805" t="s">
        <v>8757</v>
      </c>
      <c r="G1805" t="s">
        <v>5055</v>
      </c>
      <c r="H1805" t="s">
        <v>8758</v>
      </c>
      <c r="I1805" t="s">
        <v>5057</v>
      </c>
      <c r="J1805" t="str">
        <f>IF(0 = IFERROR(VLOOKUP(DBL_FullList!I1805, ContactsDbl!B:D, 2, FALSE), ""), "", IFERROR(VLOOKUP(DBL_FullList!I1805, ContactsDbl!B:D, 2, FALSE), ""))</f>
        <v/>
      </c>
      <c r="K1805" t="str">
        <f>IF(0 = IFERROR(VLOOKUP(DBL_FullList!I1805,ContactsDbl!B:D, 3, FALSE), ""), "", IFERROR(VLOOKUP(DBL_FullList!I1805, ContactsDbl!B:D, 3, FALSE), ""))</f>
        <v/>
      </c>
      <c r="L1805">
        <f t="shared" si="57"/>
        <v>0</v>
      </c>
    </row>
    <row r="1806" spans="1:12" x14ac:dyDescent="0.25">
      <c r="A1806" t="s">
        <v>8759</v>
      </c>
      <c r="B1806" t="str">
        <f>IF(ISERROR(VLOOKUP(F1806,STEP!A:A, 1, FALSE)), "N", "Y")</f>
        <v>N</v>
      </c>
      <c r="C1806" t="str">
        <f>IF(ISERROR(VLOOKUP(E1806, BibleInEveryLanguageTexts!A:A, 1, FALSE)), "N", "Y")</f>
        <v>N</v>
      </c>
      <c r="D1806" t="str">
        <f t="shared" si="56"/>
        <v>X</v>
      </c>
      <c r="E1806" t="s">
        <v>8760</v>
      </c>
      <c r="F1806" t="s">
        <v>8761</v>
      </c>
      <c r="G1806" t="s">
        <v>2858</v>
      </c>
      <c r="H1806" t="s">
        <v>8762</v>
      </c>
      <c r="I1806" t="s">
        <v>2661</v>
      </c>
      <c r="J1806" t="str">
        <f>IF(0 = IFERROR(VLOOKUP(DBL_FullList!I1806, ContactsDbl!B:D, 2, FALSE), ""), "", IFERROR(VLOOKUP(DBL_FullList!I1806, ContactsDbl!B:D, 2, FALSE), ""))</f>
        <v>dbladmin_intl@sil.org</v>
      </c>
      <c r="K1806" t="str">
        <f>IF(0 = IFERROR(VLOOKUP(DBL_FullList!I1806,ContactsDbl!B:D, 3, FALSE), ""), "", IFERROR(VLOOKUP(DBL_FullList!I1806, ContactsDbl!B:D, 3, FALSE), ""))</f>
        <v>http://www.wycliffe.org</v>
      </c>
      <c r="L1806">
        <f t="shared" si="57"/>
        <v>2</v>
      </c>
    </row>
    <row r="1807" spans="1:12" x14ac:dyDescent="0.25">
      <c r="A1807" t="s">
        <v>8763</v>
      </c>
      <c r="B1807" t="str">
        <f>IF(ISERROR(VLOOKUP(F1807,STEP!A:A, 1, FALSE)), "N", "Y")</f>
        <v>Y</v>
      </c>
      <c r="C1807" t="str">
        <f>IF(ISERROR(VLOOKUP(E1807, BibleInEveryLanguageTexts!A:A, 1, FALSE)), "N", "Y")</f>
        <v>N</v>
      </c>
      <c r="D1807" t="str">
        <f t="shared" si="56"/>
        <v/>
      </c>
      <c r="E1807" t="s">
        <v>8234</v>
      </c>
      <c r="F1807" t="s">
        <v>8235</v>
      </c>
      <c r="G1807" t="s">
        <v>4050</v>
      </c>
      <c r="H1807" t="s">
        <v>8764</v>
      </c>
      <c r="I1807" t="s">
        <v>2661</v>
      </c>
      <c r="J1807" t="str">
        <f>IF(0 = IFERROR(VLOOKUP(DBL_FullList!I1807, ContactsDbl!B:D, 2, FALSE), ""), "", IFERROR(VLOOKUP(DBL_FullList!I1807, ContactsDbl!B:D, 2, FALSE), ""))</f>
        <v>dbladmin_intl@sil.org</v>
      </c>
      <c r="K1807" t="str">
        <f>IF(0 = IFERROR(VLOOKUP(DBL_FullList!I1807,ContactsDbl!B:D, 3, FALSE), ""), "", IFERROR(VLOOKUP(DBL_FullList!I1807, ContactsDbl!B:D, 3, FALSE), ""))</f>
        <v>http://www.wycliffe.org</v>
      </c>
      <c r="L1807">
        <f t="shared" si="57"/>
        <v>2</v>
      </c>
    </row>
    <row r="1808" spans="1:12" x14ac:dyDescent="0.25">
      <c r="A1808" t="s">
        <v>8765</v>
      </c>
      <c r="B1808" t="str">
        <f>IF(ISERROR(VLOOKUP(F1808,STEP!A:A, 1, FALSE)), "N", "Y")</f>
        <v>N</v>
      </c>
      <c r="C1808" t="str">
        <f>IF(ISERROR(VLOOKUP(E1808, BibleInEveryLanguageTexts!A:A, 1, FALSE)), "N", "Y")</f>
        <v>N</v>
      </c>
      <c r="D1808" t="str">
        <f t="shared" si="56"/>
        <v>X</v>
      </c>
      <c r="E1808" t="s">
        <v>8766</v>
      </c>
      <c r="F1808" t="s">
        <v>8767</v>
      </c>
      <c r="G1808" t="s">
        <v>4050</v>
      </c>
      <c r="H1808" t="s">
        <v>8768</v>
      </c>
      <c r="I1808" t="s">
        <v>2661</v>
      </c>
      <c r="J1808" t="str">
        <f>IF(0 = IFERROR(VLOOKUP(DBL_FullList!I1808, ContactsDbl!B:D, 2, FALSE), ""), "", IFERROR(VLOOKUP(DBL_FullList!I1808, ContactsDbl!B:D, 2, FALSE), ""))</f>
        <v>dbladmin_intl@sil.org</v>
      </c>
      <c r="K1808" t="str">
        <f>IF(0 = IFERROR(VLOOKUP(DBL_FullList!I1808,ContactsDbl!B:D, 3, FALSE), ""), "", IFERROR(VLOOKUP(DBL_FullList!I1808, ContactsDbl!B:D, 3, FALSE), ""))</f>
        <v>http://www.wycliffe.org</v>
      </c>
      <c r="L1808">
        <f t="shared" si="57"/>
        <v>2</v>
      </c>
    </row>
    <row r="1809" spans="1:12" x14ac:dyDescent="0.25">
      <c r="A1809" t="s">
        <v>8769</v>
      </c>
      <c r="B1809" t="str">
        <f>IF(ISERROR(VLOOKUP(F1809,STEP!A:A, 1, FALSE)), "N", "Y")</f>
        <v>Y</v>
      </c>
      <c r="C1809" t="str">
        <f>IF(ISERROR(VLOOKUP(E1809, BibleInEveryLanguageTexts!A:A, 1, FALSE)), "N", "Y")</f>
        <v>N</v>
      </c>
      <c r="D1809" t="str">
        <f t="shared" si="56"/>
        <v/>
      </c>
      <c r="E1809" t="s">
        <v>8770</v>
      </c>
      <c r="F1809" t="s">
        <v>8771</v>
      </c>
      <c r="G1809" t="s">
        <v>48</v>
      </c>
      <c r="H1809" t="s">
        <v>8772</v>
      </c>
      <c r="I1809" t="s">
        <v>2661</v>
      </c>
      <c r="J1809" t="str">
        <f>IF(0 = IFERROR(VLOOKUP(DBL_FullList!I1809, ContactsDbl!B:D, 2, FALSE), ""), "", IFERROR(VLOOKUP(DBL_FullList!I1809, ContactsDbl!B:D, 2, FALSE), ""))</f>
        <v>dbladmin_intl@sil.org</v>
      </c>
      <c r="K1809" t="str">
        <f>IF(0 = IFERROR(VLOOKUP(DBL_FullList!I1809,ContactsDbl!B:D, 3, FALSE), ""), "", IFERROR(VLOOKUP(DBL_FullList!I1809, ContactsDbl!B:D, 3, FALSE), ""))</f>
        <v>http://www.wycliffe.org</v>
      </c>
      <c r="L1809">
        <f t="shared" si="57"/>
        <v>2</v>
      </c>
    </row>
    <row r="1810" spans="1:12" x14ac:dyDescent="0.25">
      <c r="A1810" t="s">
        <v>8773</v>
      </c>
      <c r="B1810" t="str">
        <f>IF(ISERROR(VLOOKUP(F1810,STEP!A:A, 1, FALSE)), "N", "Y")</f>
        <v>N</v>
      </c>
      <c r="C1810" t="str">
        <f>IF(ISERROR(VLOOKUP(E1810, BibleInEveryLanguageTexts!A:A, 1, FALSE)), "N", "Y")</f>
        <v>N</v>
      </c>
      <c r="D1810" t="str">
        <f t="shared" si="56"/>
        <v>X</v>
      </c>
      <c r="E1810" t="s">
        <v>8774</v>
      </c>
      <c r="F1810" t="s">
        <v>8775</v>
      </c>
      <c r="G1810" t="s">
        <v>2858</v>
      </c>
      <c r="H1810" t="s">
        <v>8776</v>
      </c>
      <c r="I1810" t="s">
        <v>2661</v>
      </c>
      <c r="J1810" t="str">
        <f>IF(0 = IFERROR(VLOOKUP(DBL_FullList!I1810, ContactsDbl!B:D, 2, FALSE), ""), "", IFERROR(VLOOKUP(DBL_FullList!I1810, ContactsDbl!B:D, 2, FALSE), ""))</f>
        <v>dbladmin_intl@sil.org</v>
      </c>
      <c r="K1810" t="str">
        <f>IF(0 = IFERROR(VLOOKUP(DBL_FullList!I1810,ContactsDbl!B:D, 3, FALSE), ""), "", IFERROR(VLOOKUP(DBL_FullList!I1810, ContactsDbl!B:D, 3, FALSE), ""))</f>
        <v>http://www.wycliffe.org</v>
      </c>
      <c r="L1810">
        <f t="shared" si="57"/>
        <v>2</v>
      </c>
    </row>
    <row r="1811" spans="1:12" x14ac:dyDescent="0.25">
      <c r="A1811" t="s">
        <v>8777</v>
      </c>
      <c r="B1811" t="str">
        <f>IF(ISERROR(VLOOKUP(F1811,STEP!A:A, 1, FALSE)), "N", "Y")</f>
        <v>N</v>
      </c>
      <c r="C1811" t="str">
        <f>IF(ISERROR(VLOOKUP(E1811, BibleInEveryLanguageTexts!A:A, 1, FALSE)), "N", "Y")</f>
        <v>N</v>
      </c>
      <c r="D1811" t="str">
        <f t="shared" si="56"/>
        <v>X</v>
      </c>
      <c r="E1811" t="s">
        <v>8778</v>
      </c>
      <c r="F1811" t="s">
        <v>8779</v>
      </c>
      <c r="G1811" t="s">
        <v>4050</v>
      </c>
      <c r="H1811" t="s">
        <v>8780</v>
      </c>
      <c r="I1811" t="s">
        <v>2661</v>
      </c>
      <c r="J1811" t="str">
        <f>IF(0 = IFERROR(VLOOKUP(DBL_FullList!I1811, ContactsDbl!B:D, 2, FALSE), ""), "", IFERROR(VLOOKUP(DBL_FullList!I1811, ContactsDbl!B:D, 2, FALSE), ""))</f>
        <v>dbladmin_intl@sil.org</v>
      </c>
      <c r="K1811" t="str">
        <f>IF(0 = IFERROR(VLOOKUP(DBL_FullList!I1811,ContactsDbl!B:D, 3, FALSE), ""), "", IFERROR(VLOOKUP(DBL_FullList!I1811, ContactsDbl!B:D, 3, FALSE), ""))</f>
        <v>http://www.wycliffe.org</v>
      </c>
      <c r="L1811">
        <f t="shared" si="57"/>
        <v>2</v>
      </c>
    </row>
    <row r="1812" spans="1:12" x14ac:dyDescent="0.25">
      <c r="A1812" t="s">
        <v>8781</v>
      </c>
      <c r="B1812" t="str">
        <f>IF(ISERROR(VLOOKUP(F1812,STEP!A:A, 1, FALSE)), "N", "Y")</f>
        <v>N</v>
      </c>
      <c r="C1812" t="str">
        <f>IF(ISERROR(VLOOKUP(E1812, BibleInEveryLanguageTexts!A:A, 1, FALSE)), "N", "Y")</f>
        <v>N</v>
      </c>
      <c r="D1812" t="str">
        <f t="shared" si="56"/>
        <v>X</v>
      </c>
      <c r="E1812" t="s">
        <v>8782</v>
      </c>
      <c r="F1812" t="s">
        <v>8783</v>
      </c>
      <c r="G1812" t="s">
        <v>2880</v>
      </c>
      <c r="H1812" t="s">
        <v>8784</v>
      </c>
      <c r="I1812" t="s">
        <v>2540</v>
      </c>
      <c r="J1812" t="str">
        <f>IF(0 = IFERROR(VLOOKUP(DBL_FullList!I1812, ContactsDbl!B:D, 2, FALSE), ""), "", IFERROR(VLOOKUP(DBL_FullList!I1812, ContactsDbl!B:D, 2, FALSE), ""))</f>
        <v>dblAdmin@sbcol.org</v>
      </c>
      <c r="K1812" t="str">
        <f>IF(0 = IFERROR(VLOOKUP(DBL_FullList!I1812,ContactsDbl!B:D, 3, FALSE), ""), "", IFERROR(VLOOKUP(DBL_FullList!I1812, ContactsDbl!B:D, 3, FALSE), ""))</f>
        <v>http://www.sociedadbiblicacolombiana.com</v>
      </c>
      <c r="L1812">
        <f t="shared" si="57"/>
        <v>2</v>
      </c>
    </row>
    <row r="1813" spans="1:12" x14ac:dyDescent="0.25">
      <c r="A1813" t="s">
        <v>8785</v>
      </c>
      <c r="B1813" t="str">
        <f>IF(ISERROR(VLOOKUP(F1813,STEP!A:A, 1, FALSE)), "N", "Y")</f>
        <v>N</v>
      </c>
      <c r="C1813" t="str">
        <f>IF(ISERROR(VLOOKUP(E1813, BibleInEveryLanguageTexts!A:A, 1, FALSE)), "N", "Y")</f>
        <v>N</v>
      </c>
      <c r="D1813" t="str">
        <f t="shared" si="56"/>
        <v>X</v>
      </c>
      <c r="E1813" t="s">
        <v>8786</v>
      </c>
      <c r="F1813" t="s">
        <v>8787</v>
      </c>
      <c r="G1813" t="s">
        <v>4050</v>
      </c>
      <c r="H1813" t="s">
        <v>8788</v>
      </c>
      <c r="I1813" t="s">
        <v>2661</v>
      </c>
      <c r="J1813" t="str">
        <f>IF(0 = IFERROR(VLOOKUP(DBL_FullList!I1813, ContactsDbl!B:D, 2, FALSE), ""), "", IFERROR(VLOOKUP(DBL_FullList!I1813, ContactsDbl!B:D, 2, FALSE), ""))</f>
        <v>dbladmin_intl@sil.org</v>
      </c>
      <c r="K1813" t="str">
        <f>IF(0 = IFERROR(VLOOKUP(DBL_FullList!I1813,ContactsDbl!B:D, 3, FALSE), ""), "", IFERROR(VLOOKUP(DBL_FullList!I1813, ContactsDbl!B:D, 3, FALSE), ""))</f>
        <v>http://www.wycliffe.org</v>
      </c>
      <c r="L1813">
        <f t="shared" si="57"/>
        <v>2</v>
      </c>
    </row>
    <row r="1814" spans="1:12" x14ac:dyDescent="0.25">
      <c r="A1814" t="s">
        <v>8789</v>
      </c>
      <c r="B1814" t="str">
        <f>IF(ISERROR(VLOOKUP(F1814,STEP!A:A, 1, FALSE)), "N", "Y")</f>
        <v>N</v>
      </c>
      <c r="C1814" t="str">
        <f>IF(ISERROR(VLOOKUP(E1814, BibleInEveryLanguageTexts!A:A, 1, FALSE)), "N", "Y")</f>
        <v>N</v>
      </c>
      <c r="D1814" t="str">
        <f t="shared" si="56"/>
        <v>X</v>
      </c>
      <c r="E1814" t="s">
        <v>8790</v>
      </c>
      <c r="F1814" t="s">
        <v>8791</v>
      </c>
      <c r="G1814" t="s">
        <v>4050</v>
      </c>
      <c r="H1814" t="s">
        <v>8792</v>
      </c>
      <c r="I1814" t="s">
        <v>2661</v>
      </c>
      <c r="J1814" t="str">
        <f>IF(0 = IFERROR(VLOOKUP(DBL_FullList!I1814, ContactsDbl!B:D, 2, FALSE), ""), "", IFERROR(VLOOKUP(DBL_FullList!I1814, ContactsDbl!B:D, 2, FALSE), ""))</f>
        <v>dbladmin_intl@sil.org</v>
      </c>
      <c r="K1814" t="str">
        <f>IF(0 = IFERROR(VLOOKUP(DBL_FullList!I1814,ContactsDbl!B:D, 3, FALSE), ""), "", IFERROR(VLOOKUP(DBL_FullList!I1814, ContactsDbl!B:D, 3, FALSE), ""))</f>
        <v>http://www.wycliffe.org</v>
      </c>
      <c r="L1814">
        <f t="shared" si="57"/>
        <v>2</v>
      </c>
    </row>
    <row r="1815" spans="1:12" x14ac:dyDescent="0.25">
      <c r="A1815" t="s">
        <v>8793</v>
      </c>
      <c r="B1815" t="str">
        <f>IF(ISERROR(VLOOKUP(F1815,STEP!A:A, 1, FALSE)), "N", "Y")</f>
        <v>N</v>
      </c>
      <c r="C1815" t="str">
        <f>IF(ISERROR(VLOOKUP(E1815, BibleInEveryLanguageTexts!A:A, 1, FALSE)), "N", "Y")</f>
        <v>Y</v>
      </c>
      <c r="D1815" t="str">
        <f t="shared" si="56"/>
        <v/>
      </c>
      <c r="E1815" t="s">
        <v>12</v>
      </c>
      <c r="F1815" t="s">
        <v>10</v>
      </c>
      <c r="G1815" t="s">
        <v>11</v>
      </c>
      <c r="H1815" t="s">
        <v>8794</v>
      </c>
      <c r="I1815" t="s">
        <v>1997</v>
      </c>
      <c r="J1815" t="str">
        <f>IF(0 = IFERROR(VLOOKUP(DBL_FullList!I1815, ContactsDbl!B:D, 2, FALSE), ""), "", IFERROR(VLOOKUP(DBL_FullList!I1815, ContactsDbl!B:D, 2, FALSE), ""))</f>
        <v>Lee.Harris@biblica.com</v>
      </c>
      <c r="K1815" t="str">
        <f>IF(0 = IFERROR(VLOOKUP(DBL_FullList!I1815,ContactsDbl!B:D, 3, FALSE), ""), "", IFERROR(VLOOKUP(DBL_FullList!I1815, ContactsDbl!B:D, 3, FALSE), ""))</f>
        <v>http://www.Biblica.com</v>
      </c>
      <c r="L1815">
        <f t="shared" si="57"/>
        <v>2</v>
      </c>
    </row>
    <row r="1816" spans="1:12" x14ac:dyDescent="0.25">
      <c r="A1816" t="s">
        <v>8795</v>
      </c>
      <c r="B1816" t="str">
        <f>IF(ISERROR(VLOOKUP(F1816,STEP!A:A, 1, FALSE)), "N", "Y")</f>
        <v>N</v>
      </c>
      <c r="C1816" t="str">
        <f>IF(ISERROR(VLOOKUP(E1816, BibleInEveryLanguageTexts!A:A, 1, FALSE)), "N", "Y")</f>
        <v>Y</v>
      </c>
      <c r="D1816" t="str">
        <f t="shared" si="56"/>
        <v/>
      </c>
      <c r="E1816" t="s">
        <v>12</v>
      </c>
      <c r="F1816" t="s">
        <v>10</v>
      </c>
      <c r="G1816" t="s">
        <v>11</v>
      </c>
      <c r="H1816" t="s">
        <v>8796</v>
      </c>
      <c r="I1816" t="s">
        <v>1964</v>
      </c>
      <c r="J1816" t="str">
        <f>IF(0 = IFERROR(VLOOKUP(DBL_FullList!I1816, ContactsDbl!B:D, 2, FALSE), ""), "", IFERROR(VLOOKUP(DBL_FullList!I1816, ContactsDbl!B:D, 2, FALSE), ""))</f>
        <v/>
      </c>
      <c r="K1816" t="str">
        <f>IF(0 = IFERROR(VLOOKUP(DBL_FullList!I1816,ContactsDbl!B:D, 3, FALSE), ""), "", IFERROR(VLOOKUP(DBL_FullList!I1816, ContactsDbl!B:D, 3, FALSE), ""))</f>
        <v>http://www.americanbible.org/</v>
      </c>
      <c r="L1816">
        <f t="shared" si="57"/>
        <v>1</v>
      </c>
    </row>
    <row r="1817" spans="1:12" x14ac:dyDescent="0.25">
      <c r="A1817" t="s">
        <v>8797</v>
      </c>
      <c r="B1817" t="str">
        <f>IF(ISERROR(VLOOKUP(F1817,STEP!A:A, 1, FALSE)), "N", "Y")</f>
        <v>N</v>
      </c>
      <c r="C1817" t="str">
        <f>IF(ISERROR(VLOOKUP(E1817, BibleInEveryLanguageTexts!A:A, 1, FALSE)), "N", "Y")</f>
        <v>N</v>
      </c>
      <c r="D1817" t="str">
        <f t="shared" si="56"/>
        <v>X</v>
      </c>
      <c r="E1817" t="s">
        <v>8798</v>
      </c>
      <c r="F1817" t="s">
        <v>8799</v>
      </c>
      <c r="G1817" t="s">
        <v>110</v>
      </c>
      <c r="H1817" t="s">
        <v>8800</v>
      </c>
      <c r="I1817" t="s">
        <v>2370</v>
      </c>
      <c r="J1817" t="str">
        <f>IF(0 = IFERROR(VLOOKUP(DBL_FullList!I1817, ContactsDbl!B:D, 2, FALSE), ""), "", IFERROR(VLOOKUP(DBL_FullList!I1817, ContactsDbl!B:D, 2, FALSE), ""))</f>
        <v>anwartjen@alkitab.or.id</v>
      </c>
      <c r="K1817" t="str">
        <f>IF(0 = IFERROR(VLOOKUP(DBL_FullList!I1817,ContactsDbl!B:D, 3, FALSE), ""), "", IFERROR(VLOOKUP(DBL_FullList!I1817, ContactsDbl!B:D, 3, FALSE), ""))</f>
        <v>http://www.alkitab.or.id/</v>
      </c>
      <c r="L1817">
        <f t="shared" si="57"/>
        <v>2</v>
      </c>
    </row>
    <row r="1818" spans="1:12" x14ac:dyDescent="0.25">
      <c r="A1818" t="s">
        <v>8801</v>
      </c>
      <c r="B1818" t="str">
        <f>IF(ISERROR(VLOOKUP(F1818,STEP!A:A, 1, FALSE)), "N", "Y")</f>
        <v>N</v>
      </c>
      <c r="C1818" t="str">
        <f>IF(ISERROR(VLOOKUP(E1818, BibleInEveryLanguageTexts!A:A, 1, FALSE)), "N", "Y")</f>
        <v>N</v>
      </c>
      <c r="D1818" t="str">
        <f t="shared" si="56"/>
        <v>X</v>
      </c>
      <c r="E1818" t="s">
        <v>8802</v>
      </c>
      <c r="F1818" t="s">
        <v>8803</v>
      </c>
      <c r="G1818" t="s">
        <v>2858</v>
      </c>
      <c r="H1818" t="s">
        <v>8804</v>
      </c>
      <c r="I1818" t="s">
        <v>2661</v>
      </c>
      <c r="J1818" t="str">
        <f>IF(0 = IFERROR(VLOOKUP(DBL_FullList!I1818, ContactsDbl!B:D, 2, FALSE), ""), "", IFERROR(VLOOKUP(DBL_FullList!I1818, ContactsDbl!B:D, 2, FALSE), ""))</f>
        <v>dbladmin_intl@sil.org</v>
      </c>
      <c r="K1818" t="str">
        <f>IF(0 = IFERROR(VLOOKUP(DBL_FullList!I1818,ContactsDbl!B:D, 3, FALSE), ""), "", IFERROR(VLOOKUP(DBL_FullList!I1818, ContactsDbl!B:D, 3, FALSE), ""))</f>
        <v>http://www.wycliffe.org</v>
      </c>
      <c r="L1818">
        <f t="shared" si="57"/>
        <v>2</v>
      </c>
    </row>
    <row r="1819" spans="1:12" x14ac:dyDescent="0.25">
      <c r="A1819" t="s">
        <v>8805</v>
      </c>
      <c r="B1819" t="str">
        <f>IF(ISERROR(VLOOKUP(F1819,STEP!A:A, 1, FALSE)), "N", "Y")</f>
        <v>N</v>
      </c>
      <c r="C1819" t="str">
        <f>IF(ISERROR(VLOOKUP(E1819, BibleInEveryLanguageTexts!A:A, 1, FALSE)), "N", "Y")</f>
        <v>N</v>
      </c>
      <c r="D1819" t="str">
        <f t="shared" si="56"/>
        <v>X</v>
      </c>
      <c r="E1819" t="s">
        <v>8806</v>
      </c>
      <c r="F1819" t="s">
        <v>8807</v>
      </c>
      <c r="G1819" t="s">
        <v>8808</v>
      </c>
      <c r="H1819" t="s">
        <v>8809</v>
      </c>
      <c r="I1819" t="s">
        <v>3104</v>
      </c>
      <c r="J1819" t="str">
        <f>IF(0 = IFERROR(VLOOKUP(DBL_FullList!I1819, ContactsDbl!B:D, 2, FALSE), ""), "", IFERROR(VLOOKUP(DBL_FullList!I1819, ContactsDbl!B:D, 2, FALSE), ""))</f>
        <v/>
      </c>
      <c r="K1819" t="str">
        <f>IF(0 = IFERROR(VLOOKUP(DBL_FullList!I1819,ContactsDbl!B:D, 3, FALSE), ""), "", IFERROR(VLOOKUP(DBL_FullList!I1819, ContactsDbl!B:D, 3, FALSE), ""))</f>
        <v/>
      </c>
      <c r="L1819">
        <f t="shared" si="57"/>
        <v>0</v>
      </c>
    </row>
    <row r="1820" spans="1:12" x14ac:dyDescent="0.25">
      <c r="A1820" t="s">
        <v>8810</v>
      </c>
      <c r="B1820" t="str">
        <f>IF(ISERROR(VLOOKUP(F1820,STEP!A:A, 1, FALSE)), "N", "Y")</f>
        <v>N</v>
      </c>
      <c r="C1820" t="str">
        <f>IF(ISERROR(VLOOKUP(E1820, BibleInEveryLanguageTexts!A:A, 1, FALSE)), "N", "Y")</f>
        <v>N</v>
      </c>
      <c r="D1820" t="str">
        <f t="shared" si="56"/>
        <v>X</v>
      </c>
      <c r="E1820" t="s">
        <v>8811</v>
      </c>
      <c r="F1820" t="s">
        <v>8812</v>
      </c>
      <c r="G1820" t="s">
        <v>4050</v>
      </c>
      <c r="H1820" t="s">
        <v>8813</v>
      </c>
      <c r="I1820" t="s">
        <v>2661</v>
      </c>
      <c r="J1820" t="str">
        <f>IF(0 = IFERROR(VLOOKUP(DBL_FullList!I1820, ContactsDbl!B:D, 2, FALSE), ""), "", IFERROR(VLOOKUP(DBL_FullList!I1820, ContactsDbl!B:D, 2, FALSE), ""))</f>
        <v>dbladmin_intl@sil.org</v>
      </c>
      <c r="K1820" t="str">
        <f>IF(0 = IFERROR(VLOOKUP(DBL_FullList!I1820,ContactsDbl!B:D, 3, FALSE), ""), "", IFERROR(VLOOKUP(DBL_FullList!I1820, ContactsDbl!B:D, 3, FALSE), ""))</f>
        <v>http://www.wycliffe.org</v>
      </c>
      <c r="L1820">
        <f t="shared" si="57"/>
        <v>2</v>
      </c>
    </row>
    <row r="1821" spans="1:12" x14ac:dyDescent="0.25">
      <c r="A1821" t="s">
        <v>8814</v>
      </c>
      <c r="B1821" t="str">
        <f>IF(ISERROR(VLOOKUP(F1821,STEP!A:A, 1, FALSE)), "N", "Y")</f>
        <v>N</v>
      </c>
      <c r="C1821" t="str">
        <f>IF(ISERROR(VLOOKUP(E1821, BibleInEveryLanguageTexts!A:A, 1, FALSE)), "N", "Y")</f>
        <v>N</v>
      </c>
      <c r="D1821" t="str">
        <f t="shared" si="56"/>
        <v>X</v>
      </c>
      <c r="E1821" t="s">
        <v>8815</v>
      </c>
      <c r="F1821" t="s">
        <v>8816</v>
      </c>
      <c r="G1821" t="s">
        <v>4050</v>
      </c>
      <c r="H1821" t="s">
        <v>8562</v>
      </c>
      <c r="I1821" t="s">
        <v>2661</v>
      </c>
      <c r="J1821" t="str">
        <f>IF(0 = IFERROR(VLOOKUP(DBL_FullList!I1821, ContactsDbl!B:D, 2, FALSE), ""), "", IFERROR(VLOOKUP(DBL_FullList!I1821, ContactsDbl!B:D, 2, FALSE), ""))</f>
        <v>dbladmin_intl@sil.org</v>
      </c>
      <c r="K1821" t="str">
        <f>IF(0 = IFERROR(VLOOKUP(DBL_FullList!I1821,ContactsDbl!B:D, 3, FALSE), ""), "", IFERROR(VLOOKUP(DBL_FullList!I1821, ContactsDbl!B:D, 3, FALSE), ""))</f>
        <v>http://www.wycliffe.org</v>
      </c>
      <c r="L1821">
        <f t="shared" si="57"/>
        <v>2</v>
      </c>
    </row>
    <row r="1822" spans="1:12" x14ac:dyDescent="0.25">
      <c r="A1822" t="s">
        <v>8817</v>
      </c>
      <c r="B1822" t="str">
        <f>IF(ISERROR(VLOOKUP(F1822,STEP!A:A, 1, FALSE)), "N", "Y")</f>
        <v>N</v>
      </c>
      <c r="C1822" t="str">
        <f>IF(ISERROR(VLOOKUP(E1822, BibleInEveryLanguageTexts!A:A, 1, FALSE)), "N", "Y")</f>
        <v>N</v>
      </c>
      <c r="D1822" t="str">
        <f t="shared" si="56"/>
        <v>X</v>
      </c>
      <c r="E1822" t="s">
        <v>8818</v>
      </c>
      <c r="F1822" t="s">
        <v>8819</v>
      </c>
      <c r="G1822" t="s">
        <v>2858</v>
      </c>
      <c r="H1822" t="s">
        <v>8820</v>
      </c>
      <c r="I1822" t="s">
        <v>2661</v>
      </c>
      <c r="J1822" t="str">
        <f>IF(0 = IFERROR(VLOOKUP(DBL_FullList!I1822, ContactsDbl!B:D, 2, FALSE), ""), "", IFERROR(VLOOKUP(DBL_FullList!I1822, ContactsDbl!B:D, 2, FALSE), ""))</f>
        <v>dbladmin_intl@sil.org</v>
      </c>
      <c r="K1822" t="str">
        <f>IF(0 = IFERROR(VLOOKUP(DBL_FullList!I1822,ContactsDbl!B:D, 3, FALSE), ""), "", IFERROR(VLOOKUP(DBL_FullList!I1822, ContactsDbl!B:D, 3, FALSE), ""))</f>
        <v>http://www.wycliffe.org</v>
      </c>
      <c r="L1822">
        <f t="shared" si="57"/>
        <v>2</v>
      </c>
    </row>
    <row r="1823" spans="1:12" x14ac:dyDescent="0.25">
      <c r="A1823" t="s">
        <v>8821</v>
      </c>
      <c r="B1823" t="str">
        <f>IF(ISERROR(VLOOKUP(F1823,STEP!A:A, 1, FALSE)), "N", "Y")</f>
        <v>N</v>
      </c>
      <c r="C1823" t="str">
        <f>IF(ISERROR(VLOOKUP(E1823, BibleInEveryLanguageTexts!A:A, 1, FALSE)), "N", "Y")</f>
        <v>Y</v>
      </c>
      <c r="D1823" t="str">
        <f t="shared" si="56"/>
        <v/>
      </c>
      <c r="E1823" t="s">
        <v>111</v>
      </c>
      <c r="F1823" t="s">
        <v>109</v>
      </c>
      <c r="G1823" t="s">
        <v>110</v>
      </c>
      <c r="H1823" t="s">
        <v>8822</v>
      </c>
      <c r="I1823" t="s">
        <v>2370</v>
      </c>
      <c r="J1823" t="str">
        <f>IF(0 = IFERROR(VLOOKUP(DBL_FullList!I1823, ContactsDbl!B:D, 2, FALSE), ""), "", IFERROR(VLOOKUP(DBL_FullList!I1823, ContactsDbl!B:D, 2, FALSE), ""))</f>
        <v>anwartjen@alkitab.or.id</v>
      </c>
      <c r="K1823" t="str">
        <f>IF(0 = IFERROR(VLOOKUP(DBL_FullList!I1823,ContactsDbl!B:D, 3, FALSE), ""), "", IFERROR(VLOOKUP(DBL_FullList!I1823, ContactsDbl!B:D, 3, FALSE), ""))</f>
        <v>http://www.alkitab.or.id/</v>
      </c>
      <c r="L1823">
        <f t="shared" si="57"/>
        <v>2</v>
      </c>
    </row>
    <row r="1824" spans="1:12" x14ac:dyDescent="0.25">
      <c r="A1824" t="s">
        <v>384</v>
      </c>
      <c r="B1824" t="str">
        <f>IF(ISERROR(VLOOKUP(F1824,STEP!A:A, 1, FALSE)), "N", "Y")</f>
        <v>N</v>
      </c>
      <c r="C1824" t="str">
        <f>IF(ISERROR(VLOOKUP(E1824, BibleInEveryLanguageTexts!A:A, 1, FALSE)), "N", "Y")</f>
        <v>N</v>
      </c>
      <c r="D1824" t="str">
        <f t="shared" si="56"/>
        <v>X</v>
      </c>
      <c r="E1824" t="s">
        <v>380</v>
      </c>
      <c r="F1824" t="s">
        <v>382</v>
      </c>
      <c r="G1824" t="s">
        <v>383</v>
      </c>
      <c r="H1824" t="s">
        <v>380</v>
      </c>
      <c r="I1824" t="s">
        <v>45</v>
      </c>
      <c r="J1824" t="str">
        <f>IF(0 = IFERROR(VLOOKUP(DBL_FullList!I1824, ContactsDbl!B:D, 2, FALSE), ""), "", IFERROR(VLOOKUP(DBL_FullList!I1824, ContactsDbl!B:D, 2, FALSE), ""))</f>
        <v>pbt@pbti.org</v>
      </c>
      <c r="K1824" t="str">
        <f>IF(0 = IFERROR(VLOOKUP(DBL_FullList!I1824,ContactsDbl!B:D, 3, FALSE), ""), "", IFERROR(VLOOKUP(DBL_FullList!I1824, ContactsDbl!B:D, 3, FALSE), ""))</f>
        <v>www.pioneerbible.org</v>
      </c>
      <c r="L1824">
        <f t="shared" si="57"/>
        <v>2</v>
      </c>
    </row>
    <row r="1825" spans="1:12" x14ac:dyDescent="0.25">
      <c r="A1825" t="s">
        <v>8823</v>
      </c>
      <c r="B1825" t="str">
        <f>IF(ISERROR(VLOOKUP(F1825,STEP!A:A, 1, FALSE)), "N", "Y")</f>
        <v>N</v>
      </c>
      <c r="C1825" t="str">
        <f>IF(ISERROR(VLOOKUP(E1825, BibleInEveryLanguageTexts!A:A, 1, FALSE)), "N", "Y")</f>
        <v>N</v>
      </c>
      <c r="D1825" t="str">
        <f t="shared" si="56"/>
        <v>X</v>
      </c>
      <c r="E1825" t="s">
        <v>334</v>
      </c>
      <c r="F1825" t="s">
        <v>332</v>
      </c>
      <c r="G1825" t="s">
        <v>333</v>
      </c>
      <c r="H1825" t="s">
        <v>8824</v>
      </c>
      <c r="I1825" t="s">
        <v>2534</v>
      </c>
      <c r="J1825" t="str">
        <f>IF(0 = IFERROR(VLOOKUP(DBL_FullList!I1825, ContactsDbl!B:D, 2, FALSE), ""), "", IFERROR(VLOOKUP(DBL_FullList!I1825, ContactsDbl!B:D, 2, FALSE), ""))</f>
        <v>elismar@sbb.org.br</v>
      </c>
      <c r="K1825" t="str">
        <f>IF(0 = IFERROR(VLOOKUP(DBL_FullList!I1825,ContactsDbl!B:D, 3, FALSE), ""), "", IFERROR(VLOOKUP(DBL_FullList!I1825, ContactsDbl!B:D, 3, FALSE), ""))</f>
        <v>http://www.sbb.org.br</v>
      </c>
      <c r="L1825">
        <f t="shared" si="57"/>
        <v>2</v>
      </c>
    </row>
    <row r="1826" spans="1:12" x14ac:dyDescent="0.25">
      <c r="A1826" t="s">
        <v>8825</v>
      </c>
      <c r="B1826" t="str">
        <f>IF(ISERROR(VLOOKUP(F1826,STEP!A:A, 1, FALSE)), "N", "Y")</f>
        <v>N</v>
      </c>
      <c r="C1826" t="str">
        <f>IF(ISERROR(VLOOKUP(E1826, BibleInEveryLanguageTexts!A:A, 1, FALSE)), "N", "Y")</f>
        <v>N</v>
      </c>
      <c r="D1826" t="str">
        <f t="shared" si="56"/>
        <v>X</v>
      </c>
      <c r="E1826" t="s">
        <v>8826</v>
      </c>
      <c r="F1826" t="s">
        <v>8827</v>
      </c>
      <c r="G1826" t="s">
        <v>2723</v>
      </c>
      <c r="H1826" t="s">
        <v>8828</v>
      </c>
      <c r="I1826" t="s">
        <v>2661</v>
      </c>
      <c r="J1826" t="str">
        <f>IF(0 = IFERROR(VLOOKUP(DBL_FullList!I1826, ContactsDbl!B:D, 2, FALSE), ""), "", IFERROR(VLOOKUP(DBL_FullList!I1826, ContactsDbl!B:D, 2, FALSE), ""))</f>
        <v>dbladmin_intl@sil.org</v>
      </c>
      <c r="K1826" t="str">
        <f>IF(0 = IFERROR(VLOOKUP(DBL_FullList!I1826,ContactsDbl!B:D, 3, FALSE), ""), "", IFERROR(VLOOKUP(DBL_FullList!I1826, ContactsDbl!B:D, 3, FALSE), ""))</f>
        <v>http://www.wycliffe.org</v>
      </c>
      <c r="L1826">
        <f t="shared" si="57"/>
        <v>2</v>
      </c>
    </row>
    <row r="1827" spans="1:12" x14ac:dyDescent="0.25">
      <c r="A1827" t="s">
        <v>8829</v>
      </c>
      <c r="B1827" t="str">
        <f>IF(ISERROR(VLOOKUP(F1827,STEP!A:A, 1, FALSE)), "N", "Y")</f>
        <v>N</v>
      </c>
      <c r="C1827" t="str">
        <f>IF(ISERROR(VLOOKUP(E1827, BibleInEveryLanguageTexts!A:A, 1, FALSE)), "N", "Y")</f>
        <v>N</v>
      </c>
      <c r="D1827" t="str">
        <f t="shared" si="56"/>
        <v>X</v>
      </c>
      <c r="E1827" t="s">
        <v>8830</v>
      </c>
      <c r="F1827" t="s">
        <v>8831</v>
      </c>
      <c r="G1827" t="s">
        <v>2858</v>
      </c>
      <c r="H1827" t="s">
        <v>8832</v>
      </c>
      <c r="I1827" t="s">
        <v>2661</v>
      </c>
      <c r="J1827" t="str">
        <f>IF(0 = IFERROR(VLOOKUP(DBL_FullList!I1827, ContactsDbl!B:D, 2, FALSE), ""), "", IFERROR(VLOOKUP(DBL_FullList!I1827, ContactsDbl!B:D, 2, FALSE), ""))</f>
        <v>dbladmin_intl@sil.org</v>
      </c>
      <c r="K1827" t="str">
        <f>IF(0 = IFERROR(VLOOKUP(DBL_FullList!I1827,ContactsDbl!B:D, 3, FALSE), ""), "", IFERROR(VLOOKUP(DBL_FullList!I1827, ContactsDbl!B:D, 3, FALSE), ""))</f>
        <v>http://www.wycliffe.org</v>
      </c>
      <c r="L1827">
        <f t="shared" si="57"/>
        <v>2</v>
      </c>
    </row>
    <row r="1828" spans="1:12" x14ac:dyDescent="0.25">
      <c r="A1828" t="s">
        <v>8833</v>
      </c>
      <c r="B1828" t="str">
        <f>IF(ISERROR(VLOOKUP(F1828,STEP!A:A, 1, FALSE)), "N", "Y")</f>
        <v>N</v>
      </c>
      <c r="C1828" t="str">
        <f>IF(ISERROR(VLOOKUP(E1828, BibleInEveryLanguageTexts!A:A, 1, FALSE)), "N", "Y")</f>
        <v>N</v>
      </c>
      <c r="D1828" t="str">
        <f t="shared" si="56"/>
        <v>X</v>
      </c>
      <c r="E1828" t="s">
        <v>8834</v>
      </c>
      <c r="F1828" t="s">
        <v>8835</v>
      </c>
      <c r="G1828" t="s">
        <v>2858</v>
      </c>
      <c r="H1828" t="s">
        <v>8836</v>
      </c>
      <c r="I1828" t="s">
        <v>2661</v>
      </c>
      <c r="J1828" t="str">
        <f>IF(0 = IFERROR(VLOOKUP(DBL_FullList!I1828, ContactsDbl!B:D, 2, FALSE), ""), "", IFERROR(VLOOKUP(DBL_FullList!I1828, ContactsDbl!B:D, 2, FALSE), ""))</f>
        <v>dbladmin_intl@sil.org</v>
      </c>
      <c r="K1828" t="str">
        <f>IF(0 = IFERROR(VLOOKUP(DBL_FullList!I1828,ContactsDbl!B:D, 3, FALSE), ""), "", IFERROR(VLOOKUP(DBL_FullList!I1828, ContactsDbl!B:D, 3, FALSE), ""))</f>
        <v>http://www.wycliffe.org</v>
      </c>
      <c r="L1828">
        <f t="shared" si="57"/>
        <v>2</v>
      </c>
    </row>
    <row r="1829" spans="1:12" x14ac:dyDescent="0.25">
      <c r="A1829" t="s">
        <v>8837</v>
      </c>
      <c r="B1829" t="str">
        <f>IF(ISERROR(VLOOKUP(F1829,STEP!A:A, 1, FALSE)), "N", "Y")</f>
        <v>N</v>
      </c>
      <c r="C1829" t="str">
        <f>IF(ISERROR(VLOOKUP(E1829, BibleInEveryLanguageTexts!A:A, 1, FALSE)), "N", "Y")</f>
        <v>N</v>
      </c>
      <c r="D1829" t="str">
        <f t="shared" si="56"/>
        <v>X</v>
      </c>
      <c r="E1829" t="s">
        <v>8838</v>
      </c>
      <c r="F1829" t="s">
        <v>8839</v>
      </c>
      <c r="G1829" t="s">
        <v>3194</v>
      </c>
      <c r="H1829" t="s">
        <v>8840</v>
      </c>
      <c r="I1829" t="s">
        <v>2314</v>
      </c>
      <c r="J1829" t="str">
        <f>IF(0 = IFERROR(VLOOKUP(DBL_FullList!I1829, ContactsDbl!B:D, 2, FALSE), ""), "", IFERROR(VLOOKUP(DBL_FullList!I1829, ContactsDbl!B:D, 2, FALSE), ""))</f>
        <v>info@ibt.org.ru</v>
      </c>
      <c r="K1829" t="str">
        <f>IF(0 = IFERROR(VLOOKUP(DBL_FullList!I1829,ContactsDbl!B:D, 3, FALSE), ""), "", IFERROR(VLOOKUP(DBL_FullList!I1829, ContactsDbl!B:D, 3, FALSE), ""))</f>
        <v>https://ibtrussia.org</v>
      </c>
      <c r="L1829">
        <f t="shared" si="57"/>
        <v>2</v>
      </c>
    </row>
    <row r="1830" spans="1:12" x14ac:dyDescent="0.25">
      <c r="A1830" t="s">
        <v>389</v>
      </c>
      <c r="B1830" t="str">
        <f>IF(ISERROR(VLOOKUP(F1830,STEP!A:A, 1, FALSE)), "N", "Y")</f>
        <v>N</v>
      </c>
      <c r="C1830" t="str">
        <f>IF(ISERROR(VLOOKUP(E1830, BibleInEveryLanguageTexts!A:A, 1, FALSE)), "N", "Y")</f>
        <v>N</v>
      </c>
      <c r="D1830" t="str">
        <f t="shared" si="56"/>
        <v>X</v>
      </c>
      <c r="E1830" t="s">
        <v>388</v>
      </c>
      <c r="F1830" t="s">
        <v>387</v>
      </c>
      <c r="G1830" t="s">
        <v>102</v>
      </c>
      <c r="H1830" t="s">
        <v>385</v>
      </c>
      <c r="I1830" t="s">
        <v>45</v>
      </c>
      <c r="J1830" t="str">
        <f>IF(0 = IFERROR(VLOOKUP(DBL_FullList!I1830, ContactsDbl!B:D, 2, FALSE), ""), "", IFERROR(VLOOKUP(DBL_FullList!I1830, ContactsDbl!B:D, 2, FALSE), ""))</f>
        <v>pbt@pbti.org</v>
      </c>
      <c r="K1830" t="str">
        <f>IF(0 = IFERROR(VLOOKUP(DBL_FullList!I1830,ContactsDbl!B:D, 3, FALSE), ""), "", IFERROR(VLOOKUP(DBL_FullList!I1830, ContactsDbl!B:D, 3, FALSE), ""))</f>
        <v>www.pioneerbible.org</v>
      </c>
      <c r="L1830">
        <f t="shared" si="57"/>
        <v>2</v>
      </c>
    </row>
    <row r="1831" spans="1:12" x14ac:dyDescent="0.25">
      <c r="A1831" t="s">
        <v>8841</v>
      </c>
      <c r="B1831" t="str">
        <f>IF(ISERROR(VLOOKUP(F1831,STEP!A:A, 1, FALSE)), "N", "Y")</f>
        <v>N</v>
      </c>
      <c r="C1831" t="str">
        <f>IF(ISERROR(VLOOKUP(E1831, BibleInEveryLanguageTexts!A:A, 1, FALSE)), "N", "Y")</f>
        <v>N</v>
      </c>
      <c r="D1831" t="str">
        <f t="shared" si="56"/>
        <v>X</v>
      </c>
      <c r="E1831" t="s">
        <v>8842</v>
      </c>
      <c r="F1831" t="s">
        <v>8843</v>
      </c>
      <c r="G1831" t="s">
        <v>2858</v>
      </c>
      <c r="H1831" t="s">
        <v>8844</v>
      </c>
      <c r="I1831" t="s">
        <v>2661</v>
      </c>
      <c r="J1831" t="str">
        <f>IF(0 = IFERROR(VLOOKUP(DBL_FullList!I1831, ContactsDbl!B:D, 2, FALSE), ""), "", IFERROR(VLOOKUP(DBL_FullList!I1831, ContactsDbl!B:D, 2, FALSE), ""))</f>
        <v>dbladmin_intl@sil.org</v>
      </c>
      <c r="K1831" t="str">
        <f>IF(0 = IFERROR(VLOOKUP(DBL_FullList!I1831,ContactsDbl!B:D, 3, FALSE), ""), "", IFERROR(VLOOKUP(DBL_FullList!I1831, ContactsDbl!B:D, 3, FALSE), ""))</f>
        <v>http://www.wycliffe.org</v>
      </c>
      <c r="L1831">
        <f t="shared" si="57"/>
        <v>2</v>
      </c>
    </row>
    <row r="1832" spans="1:12" x14ac:dyDescent="0.25">
      <c r="A1832" t="s">
        <v>8845</v>
      </c>
      <c r="B1832" t="str">
        <f>IF(ISERROR(VLOOKUP(F1832,STEP!A:A, 1, FALSE)), "N", "Y")</f>
        <v>N</v>
      </c>
      <c r="C1832" t="str">
        <f>IF(ISERROR(VLOOKUP(E1832, BibleInEveryLanguageTexts!A:A, 1, FALSE)), "N", "Y")</f>
        <v>N</v>
      </c>
      <c r="D1832" t="str">
        <f t="shared" si="56"/>
        <v>X</v>
      </c>
      <c r="E1832" t="s">
        <v>8354</v>
      </c>
      <c r="F1832" t="s">
        <v>5712</v>
      </c>
      <c r="G1832" t="s">
        <v>4739</v>
      </c>
      <c r="H1832" t="s">
        <v>8846</v>
      </c>
      <c r="I1832" t="s">
        <v>2198</v>
      </c>
      <c r="J1832" t="str">
        <f>IF(0 = IFERROR(VLOOKUP(DBL_FullList!I1832, ContactsDbl!B:D, 2, FALSE), ""), "", IFERROR(VLOOKUP(DBL_FullList!I1832, ContactsDbl!B:D, 2, FALSE), ""))</f>
        <v>admin@bsoe.org</v>
      </c>
      <c r="K1832" t="str">
        <f>IF(0 = IFERROR(VLOOKUP(DBL_FullList!I1832,ContactsDbl!B:D, 3, FALSE), ""), "", IFERROR(VLOOKUP(DBL_FullList!I1832, ContactsDbl!B:D, 3, FALSE), ""))</f>
        <v>http://www.bsoe.org/</v>
      </c>
      <c r="L1832">
        <f t="shared" si="57"/>
        <v>2</v>
      </c>
    </row>
    <row r="1833" spans="1:12" x14ac:dyDescent="0.25">
      <c r="A1833" t="s">
        <v>8847</v>
      </c>
      <c r="B1833" t="str">
        <f>IF(ISERROR(VLOOKUP(F1833,STEP!A:A, 1, FALSE)), "N", "Y")</f>
        <v>N</v>
      </c>
      <c r="C1833" t="str">
        <f>IF(ISERROR(VLOOKUP(E1833, BibleInEveryLanguageTexts!A:A, 1, FALSE)), "N", "Y")</f>
        <v>N</v>
      </c>
      <c r="D1833" t="str">
        <f t="shared" si="56"/>
        <v>X</v>
      </c>
      <c r="E1833" t="s">
        <v>8676</v>
      </c>
      <c r="F1833" t="s">
        <v>8677</v>
      </c>
      <c r="G1833" t="s">
        <v>4459</v>
      </c>
      <c r="H1833" t="s">
        <v>8848</v>
      </c>
      <c r="I1833" t="s">
        <v>2344</v>
      </c>
      <c r="J1833" t="str">
        <f>IF(0 = IFERROR(VLOOKUP(DBL_FullList!I1833, ContactsDbl!B:D, 2, FALSE), ""), "", IFERROR(VLOOKUP(DBL_FullList!I1833, ContactsDbl!B:D, 2, FALSE), ""))</f>
        <v>transl@bible.or.jp</v>
      </c>
      <c r="K1833" t="str">
        <f>IF(0 = IFERROR(VLOOKUP(DBL_FullList!I1833,ContactsDbl!B:D, 3, FALSE), ""), "", IFERROR(VLOOKUP(DBL_FullList!I1833, ContactsDbl!B:D, 3, FALSE), ""))</f>
        <v>http://www.bible.or.jp/</v>
      </c>
      <c r="L1833">
        <f t="shared" si="57"/>
        <v>2</v>
      </c>
    </row>
    <row r="1834" spans="1:12" x14ac:dyDescent="0.25">
      <c r="A1834" t="s">
        <v>8849</v>
      </c>
      <c r="B1834" t="str">
        <f>IF(ISERROR(VLOOKUP(F1834,STEP!A:A, 1, FALSE)), "N", "Y")</f>
        <v>N</v>
      </c>
      <c r="C1834" t="str">
        <f>IF(ISERROR(VLOOKUP(E1834, BibleInEveryLanguageTexts!A:A, 1, FALSE)), "N", "Y")</f>
        <v>N</v>
      </c>
      <c r="D1834" t="str">
        <f t="shared" si="56"/>
        <v>X</v>
      </c>
      <c r="E1834" t="s">
        <v>8850</v>
      </c>
      <c r="F1834" t="s">
        <v>4571</v>
      </c>
      <c r="G1834" t="s">
        <v>3133</v>
      </c>
      <c r="H1834" t="s">
        <v>8851</v>
      </c>
      <c r="I1834" t="s">
        <v>2264</v>
      </c>
      <c r="J1834" t="str">
        <f>IF(0 = IFERROR(VLOOKUP(DBL_FullList!I1834, ContactsDbl!B:D, 2, FALSE), ""), "", IFERROR(VLOOKUP(DBL_FullList!I1834, ContactsDbl!B:D, 2, FALSE), ""))</f>
        <v/>
      </c>
      <c r="K1834" t="str">
        <f>IF(0 = IFERROR(VLOOKUP(DBL_FullList!I1834,ContactsDbl!B:D, 3, FALSE), ""), "", IFERROR(VLOOKUP(DBL_FullList!I1834, ContactsDbl!B:D, 3, FALSE), ""))</f>
        <v>http://www.sbiblica.org</v>
      </c>
      <c r="L1834">
        <f t="shared" si="57"/>
        <v>1</v>
      </c>
    </row>
    <row r="1835" spans="1:12" x14ac:dyDescent="0.25">
      <c r="A1835" t="s">
        <v>8852</v>
      </c>
      <c r="B1835" t="str">
        <f>IF(ISERROR(VLOOKUP(F1835,STEP!A:A, 1, FALSE)), "N", "Y")</f>
        <v>N</v>
      </c>
      <c r="C1835" t="str">
        <f>IF(ISERROR(VLOOKUP(E1835, BibleInEveryLanguageTexts!A:A, 1, FALSE)), "N", "Y")</f>
        <v>N</v>
      </c>
      <c r="D1835" t="str">
        <f t="shared" si="56"/>
        <v>X</v>
      </c>
      <c r="E1835" t="s">
        <v>8853</v>
      </c>
      <c r="F1835" t="s">
        <v>8854</v>
      </c>
      <c r="G1835" t="s">
        <v>4050</v>
      </c>
      <c r="H1835" t="s">
        <v>8855</v>
      </c>
      <c r="I1835" t="s">
        <v>2661</v>
      </c>
      <c r="J1835" t="str">
        <f>IF(0 = IFERROR(VLOOKUP(DBL_FullList!I1835, ContactsDbl!B:D, 2, FALSE), ""), "", IFERROR(VLOOKUP(DBL_FullList!I1835, ContactsDbl!B:D, 2, FALSE), ""))</f>
        <v>dbladmin_intl@sil.org</v>
      </c>
      <c r="K1835" t="str">
        <f>IF(0 = IFERROR(VLOOKUP(DBL_FullList!I1835,ContactsDbl!B:D, 3, FALSE), ""), "", IFERROR(VLOOKUP(DBL_FullList!I1835, ContactsDbl!B:D, 3, FALSE), ""))</f>
        <v>http://www.wycliffe.org</v>
      </c>
      <c r="L1835">
        <f t="shared" si="57"/>
        <v>2</v>
      </c>
    </row>
    <row r="1836" spans="1:12" x14ac:dyDescent="0.25">
      <c r="A1836" t="s">
        <v>8856</v>
      </c>
      <c r="B1836" t="str">
        <f>IF(ISERROR(VLOOKUP(F1836,STEP!A:A, 1, FALSE)), "N", "Y")</f>
        <v>N</v>
      </c>
      <c r="C1836" t="str">
        <f>IF(ISERROR(VLOOKUP(E1836, BibleInEveryLanguageTexts!A:A, 1, FALSE)), "N", "Y")</f>
        <v>N</v>
      </c>
      <c r="D1836" t="str">
        <f t="shared" si="56"/>
        <v>X</v>
      </c>
      <c r="E1836" t="s">
        <v>8857</v>
      </c>
      <c r="F1836" t="s">
        <v>8858</v>
      </c>
      <c r="G1836" t="s">
        <v>4050</v>
      </c>
      <c r="H1836" t="s">
        <v>8859</v>
      </c>
      <c r="I1836" t="s">
        <v>2661</v>
      </c>
      <c r="J1836" t="str">
        <f>IF(0 = IFERROR(VLOOKUP(DBL_FullList!I1836, ContactsDbl!B:D, 2, FALSE), ""), "", IFERROR(VLOOKUP(DBL_FullList!I1836, ContactsDbl!B:D, 2, FALSE), ""))</f>
        <v>dbladmin_intl@sil.org</v>
      </c>
      <c r="K1836" t="str">
        <f>IF(0 = IFERROR(VLOOKUP(DBL_FullList!I1836,ContactsDbl!B:D, 3, FALSE), ""), "", IFERROR(VLOOKUP(DBL_FullList!I1836, ContactsDbl!B:D, 3, FALSE), ""))</f>
        <v>http://www.wycliffe.org</v>
      </c>
      <c r="L1836">
        <f t="shared" si="57"/>
        <v>2</v>
      </c>
    </row>
    <row r="1837" spans="1:12" x14ac:dyDescent="0.25">
      <c r="A1837" t="s">
        <v>397</v>
      </c>
      <c r="B1837" t="str">
        <f>IF(ISERROR(VLOOKUP(F1837,STEP!A:A, 1, FALSE)), "N", "Y")</f>
        <v>N</v>
      </c>
      <c r="C1837" t="str">
        <f>IF(ISERROR(VLOOKUP(E1837, BibleInEveryLanguageTexts!A:A, 1, FALSE)), "N", "Y")</f>
        <v>N</v>
      </c>
      <c r="D1837" t="str">
        <f t="shared" si="56"/>
        <v>X</v>
      </c>
      <c r="E1837" t="s">
        <v>396</v>
      </c>
      <c r="F1837" t="s">
        <v>395</v>
      </c>
      <c r="G1837" t="s">
        <v>139</v>
      </c>
      <c r="H1837" t="s">
        <v>394</v>
      </c>
      <c r="I1837" t="s">
        <v>2640</v>
      </c>
      <c r="J1837" t="str">
        <f>IF(0 = IFERROR(VLOOKUP(DBL_FullList!I1837, ContactsDbl!B:D, 2, FALSE), ""), "", IFERROR(VLOOKUP(DBL_FullList!I1837, ContactsDbl!B:D, 2, FALSE), ""))</f>
        <v>admin-us@twftw.org</v>
      </c>
      <c r="K1837" t="str">
        <f>IF(0 = IFERROR(VLOOKUP(DBL_FullList!I1837,ContactsDbl!B:D, 3, FALSE), ""), "", IFERROR(VLOOKUP(DBL_FullList!I1837, ContactsDbl!B:D, 3, FALSE), ""))</f>
        <v>www.twftw.org</v>
      </c>
      <c r="L1837">
        <f t="shared" si="57"/>
        <v>2</v>
      </c>
    </row>
    <row r="1838" spans="1:12" x14ac:dyDescent="0.25">
      <c r="A1838" t="s">
        <v>400</v>
      </c>
      <c r="B1838" t="str">
        <f>IF(ISERROR(VLOOKUP(F1838,STEP!A:A, 1, FALSE)), "N", "Y")</f>
        <v>N</v>
      </c>
      <c r="C1838" t="str">
        <f>IF(ISERROR(VLOOKUP(E1838, BibleInEveryLanguageTexts!A:A, 1, FALSE)), "N", "Y")</f>
        <v>N</v>
      </c>
      <c r="D1838" t="str">
        <f t="shared" si="56"/>
        <v>X</v>
      </c>
      <c r="E1838" t="s">
        <v>71</v>
      </c>
      <c r="F1838" t="s">
        <v>69</v>
      </c>
      <c r="G1838" t="s">
        <v>70</v>
      </c>
      <c r="H1838" t="s">
        <v>399</v>
      </c>
      <c r="I1838" t="s">
        <v>68</v>
      </c>
      <c r="J1838" t="str">
        <f>IF(0 = IFERROR(VLOOKUP(DBL_FullList!I1838, ContactsDbl!B:D, 2, FALSE), ""), "", IFERROR(VLOOKUP(DBL_FullList!I1838, ContactsDbl!B:D, 2, FALSE), ""))</f>
        <v>dengi75@ya.ru</v>
      </c>
      <c r="K1838" t="str">
        <f>IF(0 = IFERROR(VLOOKUP(DBL_FullList!I1838,ContactsDbl!B:D, 3, FALSE), ""), "", IFERROR(VLOOKUP(DBL_FullList!I1838, ContactsDbl!B:D, 3, FALSE), ""))</f>
        <v>www.belreform.org</v>
      </c>
      <c r="L1838">
        <f t="shared" si="57"/>
        <v>2</v>
      </c>
    </row>
    <row r="1839" spans="1:12" x14ac:dyDescent="0.25">
      <c r="A1839" t="s">
        <v>8860</v>
      </c>
      <c r="B1839" t="str">
        <f>IF(ISERROR(VLOOKUP(F1839,STEP!A:A, 1, FALSE)), "N", "Y")</f>
        <v>N</v>
      </c>
      <c r="C1839" t="str">
        <f>IF(ISERROR(VLOOKUP(E1839, BibleInEveryLanguageTexts!A:A, 1, FALSE)), "N", "Y")</f>
        <v>N</v>
      </c>
      <c r="D1839" t="str">
        <f t="shared" si="56"/>
        <v>X</v>
      </c>
      <c r="E1839" t="s">
        <v>8861</v>
      </c>
      <c r="F1839" t="s">
        <v>8862</v>
      </c>
      <c r="G1839" t="s">
        <v>2858</v>
      </c>
      <c r="H1839" t="s">
        <v>8863</v>
      </c>
      <c r="I1839" t="s">
        <v>2661</v>
      </c>
      <c r="J1839" t="str">
        <f>IF(0 = IFERROR(VLOOKUP(DBL_FullList!I1839, ContactsDbl!B:D, 2, FALSE), ""), "", IFERROR(VLOOKUP(DBL_FullList!I1839, ContactsDbl!B:D, 2, FALSE), ""))</f>
        <v>dbladmin_intl@sil.org</v>
      </c>
      <c r="K1839" t="str">
        <f>IF(0 = IFERROR(VLOOKUP(DBL_FullList!I1839,ContactsDbl!B:D, 3, FALSE), ""), "", IFERROR(VLOOKUP(DBL_FullList!I1839, ContactsDbl!B:D, 3, FALSE), ""))</f>
        <v>http://www.wycliffe.org</v>
      </c>
      <c r="L1839">
        <f t="shared" si="57"/>
        <v>2</v>
      </c>
    </row>
    <row r="1840" spans="1:12" x14ac:dyDescent="0.25">
      <c r="A1840" t="s">
        <v>8864</v>
      </c>
      <c r="B1840" t="str">
        <f>IF(ISERROR(VLOOKUP(F1840,STEP!A:A, 1, FALSE)), "N", "Y")</f>
        <v>N</v>
      </c>
      <c r="C1840" t="str">
        <f>IF(ISERROR(VLOOKUP(E1840, BibleInEveryLanguageTexts!A:A, 1, FALSE)), "N", "Y")</f>
        <v>N</v>
      </c>
      <c r="D1840" t="str">
        <f t="shared" si="56"/>
        <v>X</v>
      </c>
      <c r="E1840" t="s">
        <v>8865</v>
      </c>
      <c r="F1840" t="s">
        <v>8866</v>
      </c>
      <c r="G1840" t="s">
        <v>4050</v>
      </c>
      <c r="H1840" t="s">
        <v>8867</v>
      </c>
      <c r="I1840" t="s">
        <v>2661</v>
      </c>
      <c r="J1840" t="str">
        <f>IF(0 = IFERROR(VLOOKUP(DBL_FullList!I1840, ContactsDbl!B:D, 2, FALSE), ""), "", IFERROR(VLOOKUP(DBL_FullList!I1840, ContactsDbl!B:D, 2, FALSE), ""))</f>
        <v>dbladmin_intl@sil.org</v>
      </c>
      <c r="K1840" t="str">
        <f>IF(0 = IFERROR(VLOOKUP(DBL_FullList!I1840,ContactsDbl!B:D, 3, FALSE), ""), "", IFERROR(VLOOKUP(DBL_FullList!I1840, ContactsDbl!B:D, 3, FALSE), ""))</f>
        <v>http://www.wycliffe.org</v>
      </c>
      <c r="L1840">
        <f t="shared" si="57"/>
        <v>2</v>
      </c>
    </row>
    <row r="1841" spans="1:12" x14ac:dyDescent="0.25">
      <c r="A1841" t="s">
        <v>8868</v>
      </c>
      <c r="B1841" t="str">
        <f>IF(ISERROR(VLOOKUP(F1841,STEP!A:A, 1, FALSE)), "N", "Y")</f>
        <v>N</v>
      </c>
      <c r="C1841" t="str">
        <f>IF(ISERROR(VLOOKUP(E1841, BibleInEveryLanguageTexts!A:A, 1, FALSE)), "N", "Y")</f>
        <v>N</v>
      </c>
      <c r="D1841" t="str">
        <f t="shared" si="56"/>
        <v>X</v>
      </c>
      <c r="E1841" t="s">
        <v>8869</v>
      </c>
      <c r="F1841" t="s">
        <v>8870</v>
      </c>
      <c r="G1841" t="s">
        <v>4050</v>
      </c>
      <c r="H1841" t="s">
        <v>8871</v>
      </c>
      <c r="I1841" t="s">
        <v>2661</v>
      </c>
      <c r="J1841" t="str">
        <f>IF(0 = IFERROR(VLOOKUP(DBL_FullList!I1841, ContactsDbl!B:D, 2, FALSE), ""), "", IFERROR(VLOOKUP(DBL_FullList!I1841, ContactsDbl!B:D, 2, FALSE), ""))</f>
        <v>dbladmin_intl@sil.org</v>
      </c>
      <c r="K1841" t="str">
        <f>IF(0 = IFERROR(VLOOKUP(DBL_FullList!I1841,ContactsDbl!B:D, 3, FALSE), ""), "", IFERROR(VLOOKUP(DBL_FullList!I1841, ContactsDbl!B:D, 3, FALSE), ""))</f>
        <v>http://www.wycliffe.org</v>
      </c>
      <c r="L1841">
        <f t="shared" si="57"/>
        <v>2</v>
      </c>
    </row>
    <row r="1842" spans="1:12" x14ac:dyDescent="0.25">
      <c r="A1842" t="s">
        <v>405</v>
      </c>
      <c r="B1842" t="str">
        <f>IF(ISERROR(VLOOKUP(F1842,STEP!A:A, 1, FALSE)), "N", "Y")</f>
        <v>N</v>
      </c>
      <c r="C1842" t="str">
        <f>IF(ISERROR(VLOOKUP(E1842, BibleInEveryLanguageTexts!A:A, 1, FALSE)), "N", "Y")</f>
        <v>N</v>
      </c>
      <c r="D1842" t="str">
        <f t="shared" si="56"/>
        <v>X</v>
      </c>
      <c r="E1842" t="s">
        <v>404</v>
      </c>
      <c r="F1842" t="s">
        <v>403</v>
      </c>
      <c r="G1842" t="s">
        <v>11</v>
      </c>
      <c r="H1842" t="s">
        <v>402</v>
      </c>
      <c r="I1842" t="s">
        <v>24</v>
      </c>
      <c r="J1842" t="str">
        <f>IF(0 = IFERROR(VLOOKUP(DBL_FullList!I1842, ContactsDbl!B:D, 2, FALSE), ""), "", IFERROR(VLOOKUP(DBL_FullList!I1842, ContactsDbl!B:D, 2, FALSE), ""))</f>
        <v>Michael@eBible.org</v>
      </c>
      <c r="K1842" t="str">
        <f>IF(0 = IFERROR(VLOOKUP(DBL_FullList!I1842,ContactsDbl!B:D, 3, FALSE), ""), "", IFERROR(VLOOKUP(DBL_FullList!I1842, ContactsDbl!B:D, 3, FALSE), ""))</f>
        <v>http://eBible.org</v>
      </c>
      <c r="L1842">
        <f t="shared" si="57"/>
        <v>2</v>
      </c>
    </row>
    <row r="1843" spans="1:12" x14ac:dyDescent="0.25">
      <c r="A1843" t="s">
        <v>8872</v>
      </c>
      <c r="B1843" t="str">
        <f>IF(ISERROR(VLOOKUP(F1843,STEP!A:A, 1, FALSE)), "N", "Y")</f>
        <v>N</v>
      </c>
      <c r="C1843" t="str">
        <f>IF(ISERROR(VLOOKUP(E1843, BibleInEveryLanguageTexts!A:A, 1, FALSE)), "N", "Y")</f>
        <v>N</v>
      </c>
      <c r="D1843" t="str">
        <f t="shared" si="56"/>
        <v>X</v>
      </c>
      <c r="E1843" t="s">
        <v>3775</v>
      </c>
      <c r="F1843" t="s">
        <v>3776</v>
      </c>
      <c r="G1843" t="s">
        <v>3852</v>
      </c>
      <c r="H1843" t="s">
        <v>8873</v>
      </c>
      <c r="I1843" t="s">
        <v>183</v>
      </c>
      <c r="J1843" t="str">
        <f>IF(0 = IFERROR(VLOOKUP(DBL_FullList!I1843, ContactsDbl!B:D, 2, FALSE), ""), "", IFERROR(VLOOKUP(DBL_FullList!I1843, ContactsDbl!B:D, 2, FALSE), ""))</f>
        <v>dbl@biblesocieties.org</v>
      </c>
      <c r="K1843" t="str">
        <f>IF(0 = IFERROR(VLOOKUP(DBL_FullList!I1843,ContactsDbl!B:D, 3, FALSE), ""), "", IFERROR(VLOOKUP(DBL_FullList!I1843, ContactsDbl!B:D, 3, FALSE), ""))</f>
        <v>http://www.unitedbiblesocieties.org/</v>
      </c>
      <c r="L1843">
        <f t="shared" si="57"/>
        <v>2</v>
      </c>
    </row>
    <row r="1844" spans="1:12" x14ac:dyDescent="0.25">
      <c r="A1844" t="s">
        <v>8874</v>
      </c>
      <c r="B1844" t="str">
        <f>IF(ISERROR(VLOOKUP(F1844,STEP!A:A, 1, FALSE)), "N", "Y")</f>
        <v>N</v>
      </c>
      <c r="C1844" t="str">
        <f>IF(ISERROR(VLOOKUP(E1844, BibleInEveryLanguageTexts!A:A, 1, FALSE)), "N", "Y")</f>
        <v>N</v>
      </c>
      <c r="D1844" t="str">
        <f t="shared" si="56"/>
        <v>X</v>
      </c>
      <c r="E1844" t="s">
        <v>8569</v>
      </c>
      <c r="F1844" t="s">
        <v>8570</v>
      </c>
      <c r="G1844" t="s">
        <v>3221</v>
      </c>
      <c r="H1844" t="s">
        <v>8875</v>
      </c>
      <c r="I1844" t="s">
        <v>2473</v>
      </c>
      <c r="J1844" t="str">
        <f>IF(0 = IFERROR(VLOOKUP(DBL_FullList!I1844, ContactsDbl!B:D, 2, FALSE), ""), "", IFERROR(VLOOKUP(DBL_FullList!I1844, ContactsDbl!B:D, 2, FALSE), ""))</f>
        <v/>
      </c>
      <c r="K1844" t="str">
        <f>IF(0 = IFERROR(VLOOKUP(DBL_FullList!I1844,ContactsDbl!B:D, 3, FALSE), ""), "", IFERROR(VLOOKUP(DBL_FullList!I1844, ContactsDbl!B:D, 3, FALSE), ""))</f>
        <v>www.nepalbiblesociety.org</v>
      </c>
      <c r="L1844">
        <f t="shared" si="57"/>
        <v>1</v>
      </c>
    </row>
    <row r="1845" spans="1:12" x14ac:dyDescent="0.25">
      <c r="A1845" t="s">
        <v>8876</v>
      </c>
      <c r="B1845" t="str">
        <f>IF(ISERROR(VLOOKUP(F1845,STEP!A:A, 1, FALSE)), "N", "Y")</f>
        <v>N</v>
      </c>
      <c r="C1845" t="str">
        <f>IF(ISERROR(VLOOKUP(E1845, BibleInEveryLanguageTexts!A:A, 1, FALSE)), "N", "Y")</f>
        <v>N</v>
      </c>
      <c r="D1845" t="str">
        <f t="shared" si="56"/>
        <v>X</v>
      </c>
      <c r="E1845" t="s">
        <v>8877</v>
      </c>
      <c r="F1845" t="s">
        <v>8878</v>
      </c>
      <c r="G1845" t="s">
        <v>4050</v>
      </c>
      <c r="H1845" t="s">
        <v>8879</v>
      </c>
      <c r="I1845" t="s">
        <v>2661</v>
      </c>
      <c r="J1845" t="str">
        <f>IF(0 = IFERROR(VLOOKUP(DBL_FullList!I1845, ContactsDbl!B:D, 2, FALSE), ""), "", IFERROR(VLOOKUP(DBL_FullList!I1845, ContactsDbl!B:D, 2, FALSE), ""))</f>
        <v>dbladmin_intl@sil.org</v>
      </c>
      <c r="K1845" t="str">
        <f>IF(0 = IFERROR(VLOOKUP(DBL_FullList!I1845,ContactsDbl!B:D, 3, FALSE), ""), "", IFERROR(VLOOKUP(DBL_FullList!I1845, ContactsDbl!B:D, 3, FALSE), ""))</f>
        <v>http://www.wycliffe.org</v>
      </c>
      <c r="L1845">
        <f t="shared" si="57"/>
        <v>2</v>
      </c>
    </row>
    <row r="1846" spans="1:12" x14ac:dyDescent="0.25">
      <c r="A1846" t="s">
        <v>8880</v>
      </c>
      <c r="B1846" t="str">
        <f>IF(ISERROR(VLOOKUP(F1846,STEP!A:A, 1, FALSE)), "N", "Y")</f>
        <v>N</v>
      </c>
      <c r="C1846" t="str">
        <f>IF(ISERROR(VLOOKUP(E1846, BibleInEveryLanguageTexts!A:A, 1, FALSE)), "N", "Y")</f>
        <v>N</v>
      </c>
      <c r="D1846" t="str">
        <f t="shared" si="56"/>
        <v>X</v>
      </c>
      <c r="E1846" t="s">
        <v>8881</v>
      </c>
      <c r="F1846" t="s">
        <v>8882</v>
      </c>
      <c r="G1846" t="s">
        <v>4050</v>
      </c>
      <c r="H1846" t="s">
        <v>8883</v>
      </c>
      <c r="I1846" t="s">
        <v>2661</v>
      </c>
      <c r="J1846" t="str">
        <f>IF(0 = IFERROR(VLOOKUP(DBL_FullList!I1846, ContactsDbl!B:D, 2, FALSE), ""), "", IFERROR(VLOOKUP(DBL_FullList!I1846, ContactsDbl!B:D, 2, FALSE), ""))</f>
        <v>dbladmin_intl@sil.org</v>
      </c>
      <c r="K1846" t="str">
        <f>IF(0 = IFERROR(VLOOKUP(DBL_FullList!I1846,ContactsDbl!B:D, 3, FALSE), ""), "", IFERROR(VLOOKUP(DBL_FullList!I1846, ContactsDbl!B:D, 3, FALSE), ""))</f>
        <v>http://www.wycliffe.org</v>
      </c>
      <c r="L1846">
        <f t="shared" si="57"/>
        <v>2</v>
      </c>
    </row>
    <row r="1847" spans="1:12" x14ac:dyDescent="0.25">
      <c r="A1847" t="s">
        <v>8884</v>
      </c>
      <c r="B1847" t="str">
        <f>IF(ISERROR(VLOOKUP(F1847,STEP!A:A, 1, FALSE)), "N", "Y")</f>
        <v>N</v>
      </c>
      <c r="C1847" t="str">
        <f>IF(ISERROR(VLOOKUP(E1847, BibleInEveryLanguageTexts!A:A, 1, FALSE)), "N", "Y")</f>
        <v>N</v>
      </c>
      <c r="D1847" t="str">
        <f t="shared" si="56"/>
        <v>X</v>
      </c>
      <c r="E1847" t="s">
        <v>8885</v>
      </c>
      <c r="F1847" t="s">
        <v>8886</v>
      </c>
      <c r="G1847" t="s">
        <v>3984</v>
      </c>
      <c r="H1847" t="s">
        <v>8887</v>
      </c>
      <c r="I1847" t="s">
        <v>2661</v>
      </c>
      <c r="J1847" t="str">
        <f>IF(0 = IFERROR(VLOOKUP(DBL_FullList!I1847, ContactsDbl!B:D, 2, FALSE), ""), "", IFERROR(VLOOKUP(DBL_FullList!I1847, ContactsDbl!B:D, 2, FALSE), ""))</f>
        <v>dbladmin_intl@sil.org</v>
      </c>
      <c r="K1847" t="str">
        <f>IF(0 = IFERROR(VLOOKUP(DBL_FullList!I1847,ContactsDbl!B:D, 3, FALSE), ""), "", IFERROR(VLOOKUP(DBL_FullList!I1847, ContactsDbl!B:D, 3, FALSE), ""))</f>
        <v>http://www.wycliffe.org</v>
      </c>
      <c r="L1847">
        <f t="shared" si="57"/>
        <v>2</v>
      </c>
    </row>
    <row r="1848" spans="1:12" x14ac:dyDescent="0.25">
      <c r="A1848" t="s">
        <v>413</v>
      </c>
      <c r="B1848" t="str">
        <f>IF(ISERROR(VLOOKUP(F1848,STEP!A:A, 1, FALSE)), "N", "Y")</f>
        <v>N</v>
      </c>
      <c r="C1848" t="str">
        <f>IF(ISERROR(VLOOKUP(E1848, BibleInEveryLanguageTexts!A:A, 1, FALSE)), "N", "Y")</f>
        <v>N</v>
      </c>
      <c r="D1848" t="str">
        <f t="shared" si="56"/>
        <v>X</v>
      </c>
      <c r="E1848" t="s">
        <v>103</v>
      </c>
      <c r="F1848" t="s">
        <v>101</v>
      </c>
      <c r="G1848" t="s">
        <v>102</v>
      </c>
      <c r="H1848" t="s">
        <v>410</v>
      </c>
      <c r="I1848" t="s">
        <v>411</v>
      </c>
      <c r="J1848" t="str">
        <f>IF(0 = IFERROR(VLOOKUP(DBL_FullList!I1848, ContactsDbl!B:D, 2, FALSE), ""), "", IFERROR(VLOOKUP(DBL_FullList!I1848, ContactsDbl!B:D, 2, FALSE), ""))</f>
        <v>mern.mission@gmail.com</v>
      </c>
      <c r="K1848" t="str">
        <f>IF(0 = IFERROR(VLOOKUP(DBL_FullList!I1848,ContactsDbl!B:D, 3, FALSE), ""), "", IFERROR(VLOOKUP(DBL_FullList!I1848, ContactsDbl!B:D, 3, FALSE), ""))</f>
        <v>http://www.zgg.nl/</v>
      </c>
      <c r="L1848">
        <f t="shared" si="57"/>
        <v>2</v>
      </c>
    </row>
    <row r="1849" spans="1:12" x14ac:dyDescent="0.25">
      <c r="A1849" t="s">
        <v>8888</v>
      </c>
      <c r="B1849" t="str">
        <f>IF(ISERROR(VLOOKUP(F1849,STEP!A:A, 1, FALSE)), "N", "Y")</f>
        <v>N</v>
      </c>
      <c r="C1849" t="str">
        <f>IF(ISERROR(VLOOKUP(E1849, BibleInEveryLanguageTexts!A:A, 1, FALSE)), "N", "Y")</f>
        <v>N</v>
      </c>
      <c r="D1849" t="str">
        <f t="shared" si="56"/>
        <v>X</v>
      </c>
      <c r="E1849" t="s">
        <v>8889</v>
      </c>
      <c r="F1849" t="s">
        <v>8890</v>
      </c>
      <c r="G1849" t="s">
        <v>2756</v>
      </c>
      <c r="H1849" t="s">
        <v>8891</v>
      </c>
      <c r="I1849" t="s">
        <v>2126</v>
      </c>
      <c r="J1849" t="str">
        <f>IF(0 = IFERROR(VLOOKUP(DBL_FullList!I1849, ContactsDbl!B:D, 2, FALSE), ""), "", IFERROR(VLOOKUP(DBL_FullList!I1849, ContactsDbl!B:D, 2, FALSE), ""))</f>
        <v>gluke@biblesocieties.org</v>
      </c>
      <c r="K1849" t="str">
        <f>IF(0 = IFERROR(VLOOKUP(DBL_FullList!I1849,ContactsDbl!B:D, 3, FALSE), ""), "", IFERROR(VLOOKUP(DBL_FullList!I1849, ContactsDbl!B:D, 3, FALSE), ""))</f>
        <v>http://www.biblesociety-cameroon.org/</v>
      </c>
      <c r="L1849">
        <f t="shared" si="57"/>
        <v>2</v>
      </c>
    </row>
    <row r="1850" spans="1:12" x14ac:dyDescent="0.25">
      <c r="A1850" t="s">
        <v>8892</v>
      </c>
      <c r="B1850" t="str">
        <f>IF(ISERROR(VLOOKUP(F1850,STEP!A:A, 1, FALSE)), "N", "Y")</f>
        <v>N</v>
      </c>
      <c r="C1850" t="str">
        <f>IF(ISERROR(VLOOKUP(E1850, BibleInEveryLanguageTexts!A:A, 1, FALSE)), "N", "Y")</f>
        <v>N</v>
      </c>
      <c r="D1850" t="str">
        <f t="shared" si="56"/>
        <v>X</v>
      </c>
      <c r="E1850" t="s">
        <v>8893</v>
      </c>
      <c r="F1850" t="s">
        <v>8894</v>
      </c>
      <c r="G1850" t="s">
        <v>3531</v>
      </c>
      <c r="H1850" t="s">
        <v>8895</v>
      </c>
      <c r="I1850" t="s">
        <v>2110</v>
      </c>
      <c r="J1850" t="str">
        <f>IF(0 = IFERROR(VLOOKUP(DBL_FullList!I1850, ContactsDbl!B:D, 2, FALSE), ""), "", IFERROR(VLOOKUP(DBL_FullList!I1850, ContactsDbl!B:D, 2, FALSE), ""))</f>
        <v>joychen@bstwn.org</v>
      </c>
      <c r="K1850" t="str">
        <f>IF(0 = IFERROR(VLOOKUP(DBL_FullList!I1850,ContactsDbl!B:D, 3, FALSE), ""), "", IFERROR(VLOOKUP(DBL_FullList!I1850, ContactsDbl!B:D, 3, FALSE), ""))</f>
        <v>www.bstwn.org</v>
      </c>
      <c r="L1850">
        <f t="shared" si="57"/>
        <v>2</v>
      </c>
    </row>
    <row r="1851" spans="1:12" x14ac:dyDescent="0.25">
      <c r="A1851" t="s">
        <v>8896</v>
      </c>
      <c r="B1851" t="str">
        <f>IF(ISERROR(VLOOKUP(F1851,STEP!A:A, 1, FALSE)), "N", "Y")</f>
        <v>N</v>
      </c>
      <c r="C1851" t="str">
        <f>IF(ISERROR(VLOOKUP(E1851, BibleInEveryLanguageTexts!A:A, 1, FALSE)), "N", "Y")</f>
        <v>N</v>
      </c>
      <c r="D1851" t="str">
        <f t="shared" si="56"/>
        <v>X</v>
      </c>
      <c r="E1851" t="s">
        <v>8897</v>
      </c>
      <c r="F1851" t="s">
        <v>8898</v>
      </c>
      <c r="G1851" t="s">
        <v>2858</v>
      </c>
      <c r="H1851" t="s">
        <v>8899</v>
      </c>
      <c r="I1851" t="s">
        <v>2661</v>
      </c>
      <c r="J1851" t="str">
        <f>IF(0 = IFERROR(VLOOKUP(DBL_FullList!I1851, ContactsDbl!B:D, 2, FALSE), ""), "", IFERROR(VLOOKUP(DBL_FullList!I1851, ContactsDbl!B:D, 2, FALSE), ""))</f>
        <v>dbladmin_intl@sil.org</v>
      </c>
      <c r="K1851" t="str">
        <f>IF(0 = IFERROR(VLOOKUP(DBL_FullList!I1851,ContactsDbl!B:D, 3, FALSE), ""), "", IFERROR(VLOOKUP(DBL_FullList!I1851, ContactsDbl!B:D, 3, FALSE), ""))</f>
        <v>http://www.wycliffe.org</v>
      </c>
      <c r="L1851">
        <f t="shared" si="57"/>
        <v>2</v>
      </c>
    </row>
    <row r="1852" spans="1:12" x14ac:dyDescent="0.25">
      <c r="A1852" t="s">
        <v>415</v>
      </c>
      <c r="B1852" t="str">
        <f>IF(ISERROR(VLOOKUP(F1852,STEP!A:A, 1, FALSE)), "N", "Y")</f>
        <v>N</v>
      </c>
      <c r="C1852" t="str">
        <f>IF(ISERROR(VLOOKUP(E1852, BibleInEveryLanguageTexts!A:A, 1, FALSE)), "N", "Y")</f>
        <v>N</v>
      </c>
      <c r="D1852" t="str">
        <f t="shared" si="56"/>
        <v>X</v>
      </c>
      <c r="E1852" t="s">
        <v>172</v>
      </c>
      <c r="F1852" t="s">
        <v>170</v>
      </c>
      <c r="G1852" t="s">
        <v>171</v>
      </c>
      <c r="H1852" t="s">
        <v>414</v>
      </c>
      <c r="I1852" t="s">
        <v>168</v>
      </c>
      <c r="J1852" t="str">
        <f>IF(0 = IFERROR(VLOOKUP(DBL_FullList!I1852, ContactsDbl!B:D, 2, FALSE), ""), "", IFERROR(VLOOKUP(DBL_FullList!I1852, ContactsDbl!B:D, 2, FALSE), ""))</f>
        <v>admin@biblesociety-ethiopia.org</v>
      </c>
      <c r="K1852" t="str">
        <f>IF(0 = IFERROR(VLOOKUP(DBL_FullList!I1852,ContactsDbl!B:D, 3, FALSE), ""), "", IFERROR(VLOOKUP(DBL_FullList!I1852, ContactsDbl!B:D, 3, FALSE), ""))</f>
        <v>http://biblesociety-ethiopia.org</v>
      </c>
      <c r="L1852">
        <f t="shared" si="57"/>
        <v>2</v>
      </c>
    </row>
    <row r="1853" spans="1:12" x14ac:dyDescent="0.25">
      <c r="A1853" t="s">
        <v>8900</v>
      </c>
      <c r="B1853" t="str">
        <f>IF(ISERROR(VLOOKUP(F1853,STEP!A:A, 1, FALSE)), "N", "Y")</f>
        <v>N</v>
      </c>
      <c r="C1853" t="str">
        <f>IF(ISERROR(VLOOKUP(E1853, BibleInEveryLanguageTexts!A:A, 1, FALSE)), "N", "Y")</f>
        <v>N</v>
      </c>
      <c r="D1853" t="str">
        <f t="shared" si="56"/>
        <v>X</v>
      </c>
      <c r="E1853" t="s">
        <v>8901</v>
      </c>
      <c r="F1853" t="s">
        <v>8902</v>
      </c>
      <c r="G1853" t="s">
        <v>2723</v>
      </c>
      <c r="H1853" t="s">
        <v>8903</v>
      </c>
      <c r="I1853" t="s">
        <v>2661</v>
      </c>
      <c r="J1853" t="str">
        <f>IF(0 = IFERROR(VLOOKUP(DBL_FullList!I1853, ContactsDbl!B:D, 2, FALSE), ""), "", IFERROR(VLOOKUP(DBL_FullList!I1853, ContactsDbl!B:D, 2, FALSE), ""))</f>
        <v>dbladmin_intl@sil.org</v>
      </c>
      <c r="K1853" t="str">
        <f>IF(0 = IFERROR(VLOOKUP(DBL_FullList!I1853,ContactsDbl!B:D, 3, FALSE), ""), "", IFERROR(VLOOKUP(DBL_FullList!I1853, ContactsDbl!B:D, 3, FALSE), ""))</f>
        <v>http://www.wycliffe.org</v>
      </c>
      <c r="L1853">
        <f t="shared" si="57"/>
        <v>2</v>
      </c>
    </row>
    <row r="1854" spans="1:12" x14ac:dyDescent="0.25">
      <c r="A1854" t="s">
        <v>8904</v>
      </c>
      <c r="B1854" t="str">
        <f>IF(ISERROR(VLOOKUP(F1854,STEP!A:A, 1, FALSE)), "N", "Y")</f>
        <v>N</v>
      </c>
      <c r="C1854" t="str">
        <f>IF(ISERROR(VLOOKUP(E1854, BibleInEveryLanguageTexts!A:A, 1, FALSE)), "N", "Y")</f>
        <v>N</v>
      </c>
      <c r="D1854" t="str">
        <f t="shared" si="56"/>
        <v>X</v>
      </c>
      <c r="E1854" t="s">
        <v>8905</v>
      </c>
      <c r="F1854" t="s">
        <v>5050</v>
      </c>
      <c r="G1854" t="s">
        <v>3133</v>
      </c>
      <c r="H1854" t="s">
        <v>8906</v>
      </c>
      <c r="I1854" t="s">
        <v>2264</v>
      </c>
      <c r="J1854" t="str">
        <f>IF(0 = IFERROR(VLOOKUP(DBL_FullList!I1854, ContactsDbl!B:D, 2, FALSE), ""), "", IFERROR(VLOOKUP(DBL_FullList!I1854, ContactsDbl!B:D, 2, FALSE), ""))</f>
        <v/>
      </c>
      <c r="K1854" t="str">
        <f>IF(0 = IFERROR(VLOOKUP(DBL_FullList!I1854,ContactsDbl!B:D, 3, FALSE), ""), "", IFERROR(VLOOKUP(DBL_FullList!I1854, ContactsDbl!B:D, 3, FALSE), ""))</f>
        <v>http://www.sbiblica.org</v>
      </c>
      <c r="L1854">
        <f t="shared" si="57"/>
        <v>1</v>
      </c>
    </row>
    <row r="1855" spans="1:12" x14ac:dyDescent="0.25">
      <c r="A1855" t="s">
        <v>8907</v>
      </c>
      <c r="B1855" t="str">
        <f>IF(ISERROR(VLOOKUP(F1855,STEP!A:A, 1, FALSE)), "N", "Y")</f>
        <v>N</v>
      </c>
      <c r="C1855" t="str">
        <f>IF(ISERROR(VLOOKUP(E1855, BibleInEveryLanguageTexts!A:A, 1, FALSE)), "N", "Y")</f>
        <v>N</v>
      </c>
      <c r="D1855" t="str">
        <f t="shared" si="56"/>
        <v>X</v>
      </c>
      <c r="E1855" t="s">
        <v>3859</v>
      </c>
      <c r="F1855" t="s">
        <v>3860</v>
      </c>
      <c r="G1855" t="s">
        <v>3861</v>
      </c>
      <c r="H1855" t="s">
        <v>8908</v>
      </c>
      <c r="I1855" t="s">
        <v>2393</v>
      </c>
      <c r="J1855" t="str">
        <f>IF(0 = IFERROR(VLOOKUP(DBL_FullList!I1855, ContactsDbl!B:D, 2, FALSE), ""), "", IFERROR(VLOOKUP(DBL_FullList!I1855, ContactsDbl!B:D, 2, FALSE), ""))</f>
        <v>pstevens@biblesocieties.org</v>
      </c>
      <c r="K1855" t="str">
        <f>IF(0 = IFERROR(VLOOKUP(DBL_FullList!I1855,ContactsDbl!B:D, 3, FALSE), ""), "", IFERROR(VLOOKUP(DBL_FullList!I1855, ContactsDbl!B:D, 3, FALSE), ""))</f>
        <v>http://www.unitedbiblesocieties.org/society/bible-society-in-liberia/</v>
      </c>
      <c r="L1855">
        <f t="shared" si="57"/>
        <v>2</v>
      </c>
    </row>
    <row r="1856" spans="1:12" x14ac:dyDescent="0.25">
      <c r="A1856" t="s">
        <v>8909</v>
      </c>
      <c r="B1856" t="str">
        <f>IF(ISERROR(VLOOKUP(F1856,STEP!A:A, 1, FALSE)), "N", "Y")</f>
        <v>N</v>
      </c>
      <c r="C1856" t="str">
        <f>IF(ISERROR(VLOOKUP(E1856, BibleInEveryLanguageTexts!A:A, 1, FALSE)), "N", "Y")</f>
        <v>N</v>
      </c>
      <c r="D1856" t="str">
        <f t="shared" si="56"/>
        <v>X</v>
      </c>
      <c r="E1856" t="s">
        <v>8910</v>
      </c>
      <c r="F1856" t="s">
        <v>8911</v>
      </c>
      <c r="G1856" t="s">
        <v>2858</v>
      </c>
      <c r="H1856" t="s">
        <v>8912</v>
      </c>
      <c r="I1856" t="s">
        <v>2661</v>
      </c>
      <c r="J1856" t="str">
        <f>IF(0 = IFERROR(VLOOKUP(DBL_FullList!I1856, ContactsDbl!B:D, 2, FALSE), ""), "", IFERROR(VLOOKUP(DBL_FullList!I1856, ContactsDbl!B:D, 2, FALSE), ""))</f>
        <v>dbladmin_intl@sil.org</v>
      </c>
      <c r="K1856" t="str">
        <f>IF(0 = IFERROR(VLOOKUP(DBL_FullList!I1856,ContactsDbl!B:D, 3, FALSE), ""), "", IFERROR(VLOOKUP(DBL_FullList!I1856, ContactsDbl!B:D, 3, FALSE), ""))</f>
        <v>http://www.wycliffe.org</v>
      </c>
      <c r="L1856">
        <f t="shared" si="57"/>
        <v>2</v>
      </c>
    </row>
    <row r="1857" spans="1:12" x14ac:dyDescent="0.25">
      <c r="A1857" t="s">
        <v>8913</v>
      </c>
      <c r="B1857" t="str">
        <f>IF(ISERROR(VLOOKUP(F1857,STEP!A:A, 1, FALSE)), "N", "Y")</f>
        <v>N</v>
      </c>
      <c r="C1857" t="str">
        <f>IF(ISERROR(VLOOKUP(E1857, BibleInEveryLanguageTexts!A:A, 1, FALSE)), "N", "Y")</f>
        <v>N</v>
      </c>
      <c r="D1857" t="str">
        <f t="shared" si="56"/>
        <v>X</v>
      </c>
      <c r="E1857" t="s">
        <v>8914</v>
      </c>
      <c r="F1857" t="s">
        <v>8915</v>
      </c>
      <c r="G1857" t="s">
        <v>4050</v>
      </c>
      <c r="H1857" t="s">
        <v>8916</v>
      </c>
      <c r="I1857" t="s">
        <v>2661</v>
      </c>
      <c r="J1857" t="str">
        <f>IF(0 = IFERROR(VLOOKUP(DBL_FullList!I1857, ContactsDbl!B:D, 2, FALSE), ""), "", IFERROR(VLOOKUP(DBL_FullList!I1857, ContactsDbl!B:D, 2, FALSE), ""))</f>
        <v>dbladmin_intl@sil.org</v>
      </c>
      <c r="K1857" t="str">
        <f>IF(0 = IFERROR(VLOOKUP(DBL_FullList!I1857,ContactsDbl!B:D, 3, FALSE), ""), "", IFERROR(VLOOKUP(DBL_FullList!I1857, ContactsDbl!B:D, 3, FALSE), ""))</f>
        <v>http://www.wycliffe.org</v>
      </c>
      <c r="L1857">
        <f t="shared" si="57"/>
        <v>2</v>
      </c>
    </row>
    <row r="1858" spans="1:12" x14ac:dyDescent="0.25">
      <c r="A1858" t="s">
        <v>8917</v>
      </c>
      <c r="B1858" t="str">
        <f>IF(ISERROR(VLOOKUP(F1858,STEP!A:A, 1, FALSE)), "N", "Y")</f>
        <v>N</v>
      </c>
      <c r="C1858" t="str">
        <f>IF(ISERROR(VLOOKUP(E1858, BibleInEveryLanguageTexts!A:A, 1, FALSE)), "N", "Y")</f>
        <v>N</v>
      </c>
      <c r="D1858" t="str">
        <f t="shared" si="56"/>
        <v>X</v>
      </c>
      <c r="E1858" t="s">
        <v>8918</v>
      </c>
      <c r="F1858" t="s">
        <v>8919</v>
      </c>
      <c r="G1858" t="s">
        <v>8052</v>
      </c>
      <c r="H1858" t="s">
        <v>8920</v>
      </c>
      <c r="I1858" t="s">
        <v>2314</v>
      </c>
      <c r="J1858" t="str">
        <f>IF(0 = IFERROR(VLOOKUP(DBL_FullList!I1858, ContactsDbl!B:D, 2, FALSE), ""), "", IFERROR(VLOOKUP(DBL_FullList!I1858, ContactsDbl!B:D, 2, FALSE), ""))</f>
        <v>info@ibt.org.ru</v>
      </c>
      <c r="K1858" t="str">
        <f>IF(0 = IFERROR(VLOOKUP(DBL_FullList!I1858,ContactsDbl!B:D, 3, FALSE), ""), "", IFERROR(VLOOKUP(DBL_FullList!I1858, ContactsDbl!B:D, 3, FALSE), ""))</f>
        <v>https://ibtrussia.org</v>
      </c>
      <c r="L1858">
        <f t="shared" si="57"/>
        <v>2</v>
      </c>
    </row>
    <row r="1859" spans="1:12" x14ac:dyDescent="0.25">
      <c r="A1859" t="s">
        <v>8921</v>
      </c>
      <c r="B1859" t="str">
        <f>IF(ISERROR(VLOOKUP(F1859,STEP!A:A, 1, FALSE)), "N", "Y")</f>
        <v>N</v>
      </c>
      <c r="C1859" t="str">
        <f>IF(ISERROR(VLOOKUP(E1859, BibleInEveryLanguageTexts!A:A, 1, FALSE)), "N", "Y")</f>
        <v>N</v>
      </c>
      <c r="D1859" t="str">
        <f t="shared" ref="D1859:D1922" si="58">IF(AND("N" = B1859, "N" = C1859), "X", "")</f>
        <v>X</v>
      </c>
      <c r="E1859" t="s">
        <v>8922</v>
      </c>
      <c r="F1859" t="s">
        <v>8923</v>
      </c>
      <c r="G1859" t="s">
        <v>110</v>
      </c>
      <c r="H1859" t="s">
        <v>8924</v>
      </c>
      <c r="I1859" t="s">
        <v>2370</v>
      </c>
      <c r="J1859" t="str">
        <f>IF(0 = IFERROR(VLOOKUP(DBL_FullList!I1859, ContactsDbl!B:D, 2, FALSE), ""), "", IFERROR(VLOOKUP(DBL_FullList!I1859, ContactsDbl!B:D, 2, FALSE), ""))</f>
        <v>anwartjen@alkitab.or.id</v>
      </c>
      <c r="K1859" t="str">
        <f>IF(0 = IFERROR(VLOOKUP(DBL_FullList!I1859,ContactsDbl!B:D, 3, FALSE), ""), "", IFERROR(VLOOKUP(DBL_FullList!I1859, ContactsDbl!B:D, 3, FALSE), ""))</f>
        <v>http://www.alkitab.or.id/</v>
      </c>
      <c r="L1859">
        <f t="shared" ref="L1859:L1922" si="59">IF("" &lt;&gt; J1859, 2, IF("" &lt;&gt; K1859, 1, 0))</f>
        <v>2</v>
      </c>
    </row>
    <row r="1860" spans="1:12" x14ac:dyDescent="0.25">
      <c r="A1860" t="s">
        <v>8925</v>
      </c>
      <c r="B1860" t="str">
        <f>IF(ISERROR(VLOOKUP(F1860,STEP!A:A, 1, FALSE)), "N", "Y")</f>
        <v>N</v>
      </c>
      <c r="C1860" t="str">
        <f>IF(ISERROR(VLOOKUP(E1860, BibleInEveryLanguageTexts!A:A, 1, FALSE)), "N", "Y")</f>
        <v>Y</v>
      </c>
      <c r="D1860" t="str">
        <f t="shared" si="58"/>
        <v/>
      </c>
      <c r="E1860" t="s">
        <v>2700</v>
      </c>
      <c r="F1860" t="s">
        <v>3317</v>
      </c>
      <c r="G1860" t="s">
        <v>3083</v>
      </c>
      <c r="H1860" t="s">
        <v>8926</v>
      </c>
      <c r="I1860" t="s">
        <v>183</v>
      </c>
      <c r="J1860" t="str">
        <f>IF(0 = IFERROR(VLOOKUP(DBL_FullList!I1860, ContactsDbl!B:D, 2, FALSE), ""), "", IFERROR(VLOOKUP(DBL_FullList!I1860, ContactsDbl!B:D, 2, FALSE), ""))</f>
        <v>dbl@biblesocieties.org</v>
      </c>
      <c r="K1860" t="str">
        <f>IF(0 = IFERROR(VLOOKUP(DBL_FullList!I1860,ContactsDbl!B:D, 3, FALSE), ""), "", IFERROR(VLOOKUP(DBL_FullList!I1860, ContactsDbl!B:D, 3, FALSE), ""))</f>
        <v>http://www.unitedbiblesocieties.org/</v>
      </c>
      <c r="L1860">
        <f t="shared" si="59"/>
        <v>2</v>
      </c>
    </row>
    <row r="1861" spans="1:12" x14ac:dyDescent="0.25">
      <c r="A1861" t="s">
        <v>8927</v>
      </c>
      <c r="B1861" t="str">
        <f>IF(ISERROR(VLOOKUP(F1861,STEP!A:A, 1, FALSE)), "N", "Y")</f>
        <v>N</v>
      </c>
      <c r="C1861" t="str">
        <f>IF(ISERROR(VLOOKUP(E1861, BibleInEveryLanguageTexts!A:A, 1, FALSE)), "N", "Y")</f>
        <v>Y</v>
      </c>
      <c r="D1861" t="str">
        <f t="shared" si="58"/>
        <v/>
      </c>
      <c r="E1861" t="s">
        <v>111</v>
      </c>
      <c r="F1861" t="s">
        <v>109</v>
      </c>
      <c r="G1861" t="s">
        <v>110</v>
      </c>
      <c r="H1861" t="s">
        <v>8928</v>
      </c>
      <c r="I1861" t="s">
        <v>2370</v>
      </c>
      <c r="J1861" t="str">
        <f>IF(0 = IFERROR(VLOOKUP(DBL_FullList!I1861, ContactsDbl!B:D, 2, FALSE), ""), "", IFERROR(VLOOKUP(DBL_FullList!I1861, ContactsDbl!B:D, 2, FALSE), ""))</f>
        <v>anwartjen@alkitab.or.id</v>
      </c>
      <c r="K1861" t="str">
        <f>IF(0 = IFERROR(VLOOKUP(DBL_FullList!I1861,ContactsDbl!B:D, 3, FALSE), ""), "", IFERROR(VLOOKUP(DBL_FullList!I1861, ContactsDbl!B:D, 3, FALSE), ""))</f>
        <v>http://www.alkitab.or.id/</v>
      </c>
      <c r="L1861">
        <f t="shared" si="59"/>
        <v>2</v>
      </c>
    </row>
    <row r="1862" spans="1:12" x14ac:dyDescent="0.25">
      <c r="A1862" t="s">
        <v>8929</v>
      </c>
      <c r="B1862" t="str">
        <f>IF(ISERROR(VLOOKUP(F1862,STEP!A:A, 1, FALSE)), "N", "Y")</f>
        <v>N</v>
      </c>
      <c r="C1862" t="str">
        <f>IF(ISERROR(VLOOKUP(E1862, BibleInEveryLanguageTexts!A:A, 1, FALSE)), "N", "Y")</f>
        <v>N</v>
      </c>
      <c r="D1862" t="str">
        <f t="shared" si="58"/>
        <v>X</v>
      </c>
      <c r="E1862" t="s">
        <v>8930</v>
      </c>
      <c r="F1862" t="s">
        <v>8931</v>
      </c>
      <c r="G1862" t="s">
        <v>2858</v>
      </c>
      <c r="H1862" t="s">
        <v>8932</v>
      </c>
      <c r="I1862" t="s">
        <v>2661</v>
      </c>
      <c r="J1862" t="str">
        <f>IF(0 = IFERROR(VLOOKUP(DBL_FullList!I1862, ContactsDbl!B:D, 2, FALSE), ""), "", IFERROR(VLOOKUP(DBL_FullList!I1862, ContactsDbl!B:D, 2, FALSE), ""))</f>
        <v>dbladmin_intl@sil.org</v>
      </c>
      <c r="K1862" t="str">
        <f>IF(0 = IFERROR(VLOOKUP(DBL_FullList!I1862,ContactsDbl!B:D, 3, FALSE), ""), "", IFERROR(VLOOKUP(DBL_FullList!I1862, ContactsDbl!B:D, 3, FALSE), ""))</f>
        <v>http://www.wycliffe.org</v>
      </c>
      <c r="L1862">
        <f t="shared" si="59"/>
        <v>2</v>
      </c>
    </row>
    <row r="1863" spans="1:12" x14ac:dyDescent="0.25">
      <c r="A1863" t="s">
        <v>450</v>
      </c>
      <c r="B1863" t="str">
        <f>IF(ISERROR(VLOOKUP(F1863,STEP!A:A, 1, FALSE)), "N", "Y")</f>
        <v>N</v>
      </c>
      <c r="C1863" t="str">
        <f>IF(ISERROR(VLOOKUP(E1863, BibleInEveryLanguageTexts!A:A, 1, FALSE)), "N", "Y")</f>
        <v>N</v>
      </c>
      <c r="D1863" t="str">
        <f t="shared" si="58"/>
        <v>X</v>
      </c>
      <c r="E1863" t="s">
        <v>449</v>
      </c>
      <c r="F1863" t="s">
        <v>448</v>
      </c>
      <c r="G1863" t="s">
        <v>139</v>
      </c>
      <c r="H1863" t="s">
        <v>446</v>
      </c>
      <c r="I1863" t="s">
        <v>2640</v>
      </c>
      <c r="J1863" t="str">
        <f>IF(0 = IFERROR(VLOOKUP(DBL_FullList!I1863, ContactsDbl!B:D, 2, FALSE), ""), "", IFERROR(VLOOKUP(DBL_FullList!I1863, ContactsDbl!B:D, 2, FALSE), ""))</f>
        <v>admin-us@twftw.org</v>
      </c>
      <c r="K1863" t="str">
        <f>IF(0 = IFERROR(VLOOKUP(DBL_FullList!I1863,ContactsDbl!B:D, 3, FALSE), ""), "", IFERROR(VLOOKUP(DBL_FullList!I1863, ContactsDbl!B:D, 3, FALSE), ""))</f>
        <v>www.twftw.org</v>
      </c>
      <c r="L1863">
        <f t="shared" si="59"/>
        <v>2</v>
      </c>
    </row>
    <row r="1864" spans="1:12" x14ac:dyDescent="0.25">
      <c r="A1864" t="s">
        <v>455</v>
      </c>
      <c r="B1864" t="str">
        <f>IF(ISERROR(VLOOKUP(F1864,STEP!A:A, 1, FALSE)), "N", "Y")</f>
        <v>N</v>
      </c>
      <c r="C1864" t="str">
        <f>IF(ISERROR(VLOOKUP(E1864, BibleInEveryLanguageTexts!A:A, 1, FALSE)), "N", "Y")</f>
        <v>N</v>
      </c>
      <c r="D1864" t="str">
        <f t="shared" si="58"/>
        <v>X</v>
      </c>
      <c r="E1864" t="s">
        <v>454</v>
      </c>
      <c r="F1864" t="s">
        <v>453</v>
      </c>
      <c r="G1864" t="s">
        <v>139</v>
      </c>
      <c r="H1864" t="s">
        <v>451</v>
      </c>
      <c r="I1864" t="s">
        <v>2640</v>
      </c>
      <c r="J1864" t="str">
        <f>IF(0 = IFERROR(VLOOKUP(DBL_FullList!I1864, ContactsDbl!B:D, 2, FALSE), ""), "", IFERROR(VLOOKUP(DBL_FullList!I1864, ContactsDbl!B:D, 2, FALSE), ""))</f>
        <v>admin-us@twftw.org</v>
      </c>
      <c r="K1864" t="str">
        <f>IF(0 = IFERROR(VLOOKUP(DBL_FullList!I1864,ContactsDbl!B:D, 3, FALSE), ""), "", IFERROR(VLOOKUP(DBL_FullList!I1864, ContactsDbl!B:D, 3, FALSE), ""))</f>
        <v>www.twftw.org</v>
      </c>
      <c r="L1864">
        <f t="shared" si="59"/>
        <v>2</v>
      </c>
    </row>
    <row r="1865" spans="1:12" x14ac:dyDescent="0.25">
      <c r="A1865" t="s">
        <v>8933</v>
      </c>
      <c r="B1865" t="str">
        <f>IF(ISERROR(VLOOKUP(F1865,STEP!A:A, 1, FALSE)), "N", "Y")</f>
        <v>N</v>
      </c>
      <c r="C1865" t="str">
        <f>IF(ISERROR(VLOOKUP(E1865, BibleInEveryLanguageTexts!A:A, 1, FALSE)), "N", "Y")</f>
        <v>N</v>
      </c>
      <c r="D1865" t="str">
        <f t="shared" si="58"/>
        <v>X</v>
      </c>
      <c r="E1865" t="s">
        <v>8934</v>
      </c>
      <c r="F1865" t="s">
        <v>8935</v>
      </c>
      <c r="G1865" t="s">
        <v>3861</v>
      </c>
      <c r="H1865" t="s">
        <v>8936</v>
      </c>
      <c r="I1865" t="s">
        <v>2393</v>
      </c>
      <c r="J1865" t="str">
        <f>IF(0 = IFERROR(VLOOKUP(DBL_FullList!I1865, ContactsDbl!B:D, 2, FALSE), ""), "", IFERROR(VLOOKUP(DBL_FullList!I1865, ContactsDbl!B:D, 2, FALSE), ""))</f>
        <v>pstevens@biblesocieties.org</v>
      </c>
      <c r="K1865" t="str">
        <f>IF(0 = IFERROR(VLOOKUP(DBL_FullList!I1865,ContactsDbl!B:D, 3, FALSE), ""), "", IFERROR(VLOOKUP(DBL_FullList!I1865, ContactsDbl!B:D, 3, FALSE), ""))</f>
        <v>http://www.unitedbiblesocieties.org/society/bible-society-in-liberia/</v>
      </c>
      <c r="L1865">
        <f t="shared" si="59"/>
        <v>2</v>
      </c>
    </row>
    <row r="1866" spans="1:12" x14ac:dyDescent="0.25">
      <c r="A1866" t="s">
        <v>8937</v>
      </c>
      <c r="B1866" t="str">
        <f>IF(ISERROR(VLOOKUP(F1866,STEP!A:A, 1, FALSE)), "N", "Y")</f>
        <v>N</v>
      </c>
      <c r="C1866" t="str">
        <f>IF(ISERROR(VLOOKUP(E1866, BibleInEveryLanguageTexts!A:A, 1, FALSE)), "N", "Y")</f>
        <v>N</v>
      </c>
      <c r="D1866" t="str">
        <f t="shared" si="58"/>
        <v>X</v>
      </c>
      <c r="E1866" t="s">
        <v>8938</v>
      </c>
      <c r="F1866" t="s">
        <v>8939</v>
      </c>
      <c r="G1866" t="s">
        <v>2723</v>
      </c>
      <c r="H1866" t="s">
        <v>8940</v>
      </c>
      <c r="I1866" t="s">
        <v>2661</v>
      </c>
      <c r="J1866" t="str">
        <f>IF(0 = IFERROR(VLOOKUP(DBL_FullList!I1866, ContactsDbl!B:D, 2, FALSE), ""), "", IFERROR(VLOOKUP(DBL_FullList!I1866, ContactsDbl!B:D, 2, FALSE), ""))</f>
        <v>dbladmin_intl@sil.org</v>
      </c>
      <c r="K1866" t="str">
        <f>IF(0 = IFERROR(VLOOKUP(DBL_FullList!I1866,ContactsDbl!B:D, 3, FALSE), ""), "", IFERROR(VLOOKUP(DBL_FullList!I1866, ContactsDbl!B:D, 3, FALSE), ""))</f>
        <v>http://www.wycliffe.org</v>
      </c>
      <c r="L1866">
        <f t="shared" si="59"/>
        <v>2</v>
      </c>
    </row>
    <row r="1867" spans="1:12" x14ac:dyDescent="0.25">
      <c r="A1867" t="s">
        <v>8941</v>
      </c>
      <c r="B1867" t="str">
        <f>IF(ISERROR(VLOOKUP(F1867,STEP!A:A, 1, FALSE)), "N", "Y")</f>
        <v>N</v>
      </c>
      <c r="C1867" t="str">
        <f>IF(ISERROR(VLOOKUP(E1867, BibleInEveryLanguageTexts!A:A, 1, FALSE)), "N", "Y")</f>
        <v>N</v>
      </c>
      <c r="D1867" t="str">
        <f t="shared" si="58"/>
        <v>X</v>
      </c>
      <c r="E1867" t="s">
        <v>116</v>
      </c>
      <c r="F1867" t="s">
        <v>114</v>
      </c>
      <c r="G1867" t="s">
        <v>115</v>
      </c>
      <c r="H1867" t="s">
        <v>8942</v>
      </c>
      <c r="I1867" t="s">
        <v>2623</v>
      </c>
      <c r="J1867" t="str">
        <f>IF(0 = IFERROR(VLOOKUP(DBL_FullList!I1867, ContactsDbl!B:D, 2, FALSE), ""), "", IFERROR(VLOOKUP(DBL_FullList!I1867, ContactsDbl!B:D, 2, FALSE), ""))</f>
        <v>seree@thaibible.or.th</v>
      </c>
      <c r="K1867" t="str">
        <f>IF(0 = IFERROR(VLOOKUP(DBL_FullList!I1867,ContactsDbl!B:D, 3, FALSE), ""), "", IFERROR(VLOOKUP(DBL_FullList!I1867, ContactsDbl!B:D, 3, FALSE), ""))</f>
        <v>http://www.thaibible.or.th/</v>
      </c>
      <c r="L1867">
        <f t="shared" si="59"/>
        <v>2</v>
      </c>
    </row>
    <row r="1868" spans="1:12" x14ac:dyDescent="0.25">
      <c r="A1868" t="s">
        <v>8943</v>
      </c>
      <c r="B1868" t="str">
        <f>IF(ISERROR(VLOOKUP(F1868,STEP!A:A, 1, FALSE)), "N", "Y")</f>
        <v>N</v>
      </c>
      <c r="C1868" t="str">
        <f>IF(ISERROR(VLOOKUP(E1868, BibleInEveryLanguageTexts!A:A, 1, FALSE)), "N", "Y")</f>
        <v>N</v>
      </c>
      <c r="D1868" t="str">
        <f t="shared" si="58"/>
        <v>X</v>
      </c>
      <c r="E1868" t="s">
        <v>8944</v>
      </c>
      <c r="F1868" t="s">
        <v>8945</v>
      </c>
      <c r="G1868" t="s">
        <v>4050</v>
      </c>
      <c r="H1868" t="s">
        <v>8946</v>
      </c>
      <c r="I1868" t="s">
        <v>2661</v>
      </c>
      <c r="J1868" t="str">
        <f>IF(0 = IFERROR(VLOOKUP(DBL_FullList!I1868, ContactsDbl!B:D, 2, FALSE), ""), "", IFERROR(VLOOKUP(DBL_FullList!I1868, ContactsDbl!B:D, 2, FALSE), ""))</f>
        <v>dbladmin_intl@sil.org</v>
      </c>
      <c r="K1868" t="str">
        <f>IF(0 = IFERROR(VLOOKUP(DBL_FullList!I1868,ContactsDbl!B:D, 3, FALSE), ""), "", IFERROR(VLOOKUP(DBL_FullList!I1868, ContactsDbl!B:D, 3, FALSE), ""))</f>
        <v>http://www.wycliffe.org</v>
      </c>
      <c r="L1868">
        <f t="shared" si="59"/>
        <v>2</v>
      </c>
    </row>
    <row r="1869" spans="1:12" x14ac:dyDescent="0.25">
      <c r="A1869" t="s">
        <v>8947</v>
      </c>
      <c r="B1869" t="str">
        <f>IF(ISERROR(VLOOKUP(F1869,STEP!A:A, 1, FALSE)), "N", "Y")</f>
        <v>N</v>
      </c>
      <c r="C1869" t="str">
        <f>IF(ISERROR(VLOOKUP(E1869, BibleInEveryLanguageTexts!A:A, 1, FALSE)), "N", "Y")</f>
        <v>N</v>
      </c>
      <c r="D1869" t="str">
        <f t="shared" si="58"/>
        <v>X</v>
      </c>
      <c r="E1869" t="s">
        <v>8692</v>
      </c>
      <c r="F1869" t="s">
        <v>8540</v>
      </c>
      <c r="G1869" t="s">
        <v>4050</v>
      </c>
      <c r="H1869" t="s">
        <v>8948</v>
      </c>
      <c r="I1869" t="s">
        <v>2433</v>
      </c>
      <c r="J1869" t="str">
        <f>IF(0 = IFERROR(VLOOKUP(DBL_FullList!I1869, ContactsDbl!B:D, 2, FALSE), ""), "", IFERROR(VLOOKUP(DBL_FullList!I1869, ContactsDbl!B:D, 2, FALSE), ""))</f>
        <v>igalicia@sbm.mx</v>
      </c>
      <c r="K1869" t="str">
        <f>IF(0 = IFERROR(VLOOKUP(DBL_FullList!I1869,ContactsDbl!B:D, 3, FALSE), ""), "", IFERROR(VLOOKUP(DBL_FullList!I1869, ContactsDbl!B:D, 3, FALSE), ""))</f>
        <v>www.sbm.mx</v>
      </c>
      <c r="L1869">
        <f t="shared" si="59"/>
        <v>2</v>
      </c>
    </row>
    <row r="1870" spans="1:12" x14ac:dyDescent="0.25">
      <c r="A1870" t="s">
        <v>8949</v>
      </c>
      <c r="B1870" t="str">
        <f>IF(ISERROR(VLOOKUP(F1870,STEP!A:A, 1, FALSE)), "N", "Y")</f>
        <v>N</v>
      </c>
      <c r="C1870" t="str">
        <f>IF(ISERROR(VLOOKUP(E1870, BibleInEveryLanguageTexts!A:A, 1, FALSE)), "N", "Y")</f>
        <v>N</v>
      </c>
      <c r="D1870" t="str">
        <f t="shared" si="58"/>
        <v>X</v>
      </c>
      <c r="E1870" t="s">
        <v>8950</v>
      </c>
      <c r="F1870" t="s">
        <v>8278</v>
      </c>
      <c r="G1870" t="s">
        <v>4050</v>
      </c>
      <c r="H1870" t="s">
        <v>8951</v>
      </c>
      <c r="I1870" t="s">
        <v>2661</v>
      </c>
      <c r="J1870" t="str">
        <f>IF(0 = IFERROR(VLOOKUP(DBL_FullList!I1870, ContactsDbl!B:D, 2, FALSE), ""), "", IFERROR(VLOOKUP(DBL_FullList!I1870, ContactsDbl!B:D, 2, FALSE), ""))</f>
        <v>dbladmin_intl@sil.org</v>
      </c>
      <c r="K1870" t="str">
        <f>IF(0 = IFERROR(VLOOKUP(DBL_FullList!I1870,ContactsDbl!B:D, 3, FALSE), ""), "", IFERROR(VLOOKUP(DBL_FullList!I1870, ContactsDbl!B:D, 3, FALSE), ""))</f>
        <v>http://www.wycliffe.org</v>
      </c>
      <c r="L1870">
        <f t="shared" si="59"/>
        <v>2</v>
      </c>
    </row>
    <row r="1871" spans="1:12" x14ac:dyDescent="0.25">
      <c r="A1871" t="s">
        <v>8952</v>
      </c>
      <c r="B1871" t="str">
        <f>IF(ISERROR(VLOOKUP(F1871,STEP!A:A, 1, FALSE)), "N", "Y")</f>
        <v>N</v>
      </c>
      <c r="C1871" t="str">
        <f>IF(ISERROR(VLOOKUP(E1871, BibleInEveryLanguageTexts!A:A, 1, FALSE)), "N", "Y")</f>
        <v>N</v>
      </c>
      <c r="D1871" t="str">
        <f t="shared" si="58"/>
        <v>X</v>
      </c>
      <c r="E1871" t="s">
        <v>8953</v>
      </c>
      <c r="F1871" t="s">
        <v>8954</v>
      </c>
      <c r="G1871" t="s">
        <v>4050</v>
      </c>
      <c r="H1871" t="s">
        <v>8955</v>
      </c>
      <c r="I1871" t="s">
        <v>2433</v>
      </c>
      <c r="J1871" t="str">
        <f>IF(0 = IFERROR(VLOOKUP(DBL_FullList!I1871, ContactsDbl!B:D, 2, FALSE), ""), "", IFERROR(VLOOKUP(DBL_FullList!I1871, ContactsDbl!B:D, 2, FALSE), ""))</f>
        <v>igalicia@sbm.mx</v>
      </c>
      <c r="K1871" t="str">
        <f>IF(0 = IFERROR(VLOOKUP(DBL_FullList!I1871,ContactsDbl!B:D, 3, FALSE), ""), "", IFERROR(VLOOKUP(DBL_FullList!I1871, ContactsDbl!B:D, 3, FALSE), ""))</f>
        <v>www.sbm.mx</v>
      </c>
      <c r="L1871">
        <f t="shared" si="59"/>
        <v>2</v>
      </c>
    </row>
    <row r="1872" spans="1:12" x14ac:dyDescent="0.25">
      <c r="A1872" t="s">
        <v>8956</v>
      </c>
      <c r="B1872" t="str">
        <f>IF(ISERROR(VLOOKUP(F1872,STEP!A:A, 1, FALSE)), "N", "Y")</f>
        <v>N</v>
      </c>
      <c r="C1872" t="str">
        <f>IF(ISERROR(VLOOKUP(E1872, BibleInEveryLanguageTexts!A:A, 1, FALSE)), "N", "Y")</f>
        <v>N</v>
      </c>
      <c r="D1872" t="str">
        <f t="shared" si="58"/>
        <v>X</v>
      </c>
      <c r="E1872" t="s">
        <v>8957</v>
      </c>
      <c r="F1872" t="s">
        <v>8958</v>
      </c>
      <c r="G1872" t="s">
        <v>4050</v>
      </c>
      <c r="H1872" t="s">
        <v>8959</v>
      </c>
      <c r="I1872" t="s">
        <v>2661</v>
      </c>
      <c r="J1872" t="str">
        <f>IF(0 = IFERROR(VLOOKUP(DBL_FullList!I1872, ContactsDbl!B:D, 2, FALSE), ""), "", IFERROR(VLOOKUP(DBL_FullList!I1872, ContactsDbl!B:D, 2, FALSE), ""))</f>
        <v>dbladmin_intl@sil.org</v>
      </c>
      <c r="K1872" t="str">
        <f>IF(0 = IFERROR(VLOOKUP(DBL_FullList!I1872,ContactsDbl!B:D, 3, FALSE), ""), "", IFERROR(VLOOKUP(DBL_FullList!I1872, ContactsDbl!B:D, 3, FALSE), ""))</f>
        <v>http://www.wycliffe.org</v>
      </c>
      <c r="L1872">
        <f t="shared" si="59"/>
        <v>2</v>
      </c>
    </row>
    <row r="1873" spans="1:12" x14ac:dyDescent="0.25">
      <c r="A1873" t="s">
        <v>8960</v>
      </c>
      <c r="B1873" t="str">
        <f>IF(ISERROR(VLOOKUP(F1873,STEP!A:A, 1, FALSE)), "N", "Y")</f>
        <v>N</v>
      </c>
      <c r="C1873" t="str">
        <f>IF(ISERROR(VLOOKUP(E1873, BibleInEveryLanguageTexts!A:A, 1, FALSE)), "N", "Y")</f>
        <v>N</v>
      </c>
      <c r="D1873" t="str">
        <f t="shared" si="58"/>
        <v>X</v>
      </c>
      <c r="E1873" t="s">
        <v>8961</v>
      </c>
      <c r="F1873" t="s">
        <v>8962</v>
      </c>
      <c r="G1873" t="s">
        <v>2858</v>
      </c>
      <c r="H1873" t="s">
        <v>8963</v>
      </c>
      <c r="I1873" t="s">
        <v>2661</v>
      </c>
      <c r="J1873" t="str">
        <f>IF(0 = IFERROR(VLOOKUP(DBL_FullList!I1873, ContactsDbl!B:D, 2, FALSE), ""), "", IFERROR(VLOOKUP(DBL_FullList!I1873, ContactsDbl!B:D, 2, FALSE), ""))</f>
        <v>dbladmin_intl@sil.org</v>
      </c>
      <c r="K1873" t="str">
        <f>IF(0 = IFERROR(VLOOKUP(DBL_FullList!I1873,ContactsDbl!B:D, 3, FALSE), ""), "", IFERROR(VLOOKUP(DBL_FullList!I1873, ContactsDbl!B:D, 3, FALSE), ""))</f>
        <v>http://www.wycliffe.org</v>
      </c>
      <c r="L1873">
        <f t="shared" si="59"/>
        <v>2</v>
      </c>
    </row>
    <row r="1874" spans="1:12" x14ac:dyDescent="0.25">
      <c r="A1874" t="s">
        <v>8964</v>
      </c>
      <c r="B1874" t="str">
        <f>IF(ISERROR(VLOOKUP(F1874,STEP!A:A, 1, FALSE)), "N", "Y")</f>
        <v>N</v>
      </c>
      <c r="C1874" t="str">
        <f>IF(ISERROR(VLOOKUP(E1874, BibleInEveryLanguageTexts!A:A, 1, FALSE)), "N", "Y")</f>
        <v>N</v>
      </c>
      <c r="D1874" t="str">
        <f t="shared" si="58"/>
        <v>X</v>
      </c>
      <c r="E1874" t="s">
        <v>1229</v>
      </c>
      <c r="F1874" t="s">
        <v>8394</v>
      </c>
      <c r="G1874" t="s">
        <v>3609</v>
      </c>
      <c r="H1874" t="s">
        <v>8965</v>
      </c>
      <c r="I1874" t="s">
        <v>2373</v>
      </c>
      <c r="J1874" t="str">
        <f>IF(0 = IFERROR(VLOOKUP(DBL_FullList!I1874, ContactsDbl!B:D, 2, FALSE), ""), "", IFERROR(VLOOKUP(DBL_FullList!I1874, ContactsDbl!B:D, 2, FALSE), ""))</f>
        <v/>
      </c>
      <c r="K1874" t="str">
        <f>IF(0 = IFERROR(VLOOKUP(DBL_FullList!I1874,ContactsDbl!B:D, 3, FALSE), ""), "", IFERROR(VLOOKUP(DBL_FullList!I1874, ContactsDbl!B:D, 3, FALSE), ""))</f>
        <v>http://www.bibelesbiedriba.lv/</v>
      </c>
      <c r="L1874">
        <f t="shared" si="59"/>
        <v>1</v>
      </c>
    </row>
    <row r="1875" spans="1:12" x14ac:dyDescent="0.25">
      <c r="A1875" t="s">
        <v>8966</v>
      </c>
      <c r="B1875" t="str">
        <f>IF(ISERROR(VLOOKUP(F1875,STEP!A:A, 1, FALSE)), "N", "Y")</f>
        <v>N</v>
      </c>
      <c r="C1875" t="str">
        <f>IF(ISERROR(VLOOKUP(E1875, BibleInEveryLanguageTexts!A:A, 1, FALSE)), "N", "Y")</f>
        <v>N</v>
      </c>
      <c r="D1875" t="str">
        <f t="shared" si="58"/>
        <v>X</v>
      </c>
      <c r="E1875" t="s">
        <v>8692</v>
      </c>
      <c r="F1875" t="s">
        <v>8540</v>
      </c>
      <c r="G1875" t="s">
        <v>4050</v>
      </c>
      <c r="H1875" t="s">
        <v>8967</v>
      </c>
      <c r="I1875" t="s">
        <v>2661</v>
      </c>
      <c r="J1875" t="str">
        <f>IF(0 = IFERROR(VLOOKUP(DBL_FullList!I1875, ContactsDbl!B:D, 2, FALSE), ""), "", IFERROR(VLOOKUP(DBL_FullList!I1875, ContactsDbl!B:D, 2, FALSE), ""))</f>
        <v>dbladmin_intl@sil.org</v>
      </c>
      <c r="K1875" t="str">
        <f>IF(0 = IFERROR(VLOOKUP(DBL_FullList!I1875,ContactsDbl!B:D, 3, FALSE), ""), "", IFERROR(VLOOKUP(DBL_FullList!I1875, ContactsDbl!B:D, 3, FALSE), ""))</f>
        <v>http://www.wycliffe.org</v>
      </c>
      <c r="L1875">
        <f t="shared" si="59"/>
        <v>2</v>
      </c>
    </row>
    <row r="1876" spans="1:12" x14ac:dyDescent="0.25">
      <c r="A1876" t="s">
        <v>8968</v>
      </c>
      <c r="B1876" t="str">
        <f>IF(ISERROR(VLOOKUP(F1876,STEP!A:A, 1, FALSE)), "N", "Y")</f>
        <v>N</v>
      </c>
      <c r="C1876" t="str">
        <f>IF(ISERROR(VLOOKUP(E1876, BibleInEveryLanguageTexts!A:A, 1, FALSE)), "N", "Y")</f>
        <v>N</v>
      </c>
      <c r="D1876" t="str">
        <f t="shared" si="58"/>
        <v>X</v>
      </c>
      <c r="E1876" t="s">
        <v>8969</v>
      </c>
      <c r="F1876" t="s">
        <v>8970</v>
      </c>
      <c r="G1876" t="s">
        <v>4050</v>
      </c>
      <c r="H1876" t="s">
        <v>8971</v>
      </c>
      <c r="I1876" t="s">
        <v>2661</v>
      </c>
      <c r="J1876" t="str">
        <f>IF(0 = IFERROR(VLOOKUP(DBL_FullList!I1876, ContactsDbl!B:D, 2, FALSE), ""), "", IFERROR(VLOOKUP(DBL_FullList!I1876, ContactsDbl!B:D, 2, FALSE), ""))</f>
        <v>dbladmin_intl@sil.org</v>
      </c>
      <c r="K1876" t="str">
        <f>IF(0 = IFERROR(VLOOKUP(DBL_FullList!I1876,ContactsDbl!B:D, 3, FALSE), ""), "", IFERROR(VLOOKUP(DBL_FullList!I1876, ContactsDbl!B:D, 3, FALSE), ""))</f>
        <v>http://www.wycliffe.org</v>
      </c>
      <c r="L1876">
        <f t="shared" si="59"/>
        <v>2</v>
      </c>
    </row>
    <row r="1877" spans="1:12" x14ac:dyDescent="0.25">
      <c r="A1877" t="s">
        <v>8972</v>
      </c>
      <c r="B1877" t="str">
        <f>IF(ISERROR(VLOOKUP(F1877,STEP!A:A, 1, FALSE)), "N", "Y")</f>
        <v>N</v>
      </c>
      <c r="C1877" t="str">
        <f>IF(ISERROR(VLOOKUP(E1877, BibleInEveryLanguageTexts!A:A, 1, FALSE)), "N", "Y")</f>
        <v>N</v>
      </c>
      <c r="D1877" t="str">
        <f t="shared" si="58"/>
        <v>X</v>
      </c>
      <c r="E1877" t="s">
        <v>8692</v>
      </c>
      <c r="F1877" t="s">
        <v>8540</v>
      </c>
      <c r="G1877" t="s">
        <v>4050</v>
      </c>
      <c r="H1877" t="s">
        <v>8973</v>
      </c>
      <c r="I1877" t="s">
        <v>2661</v>
      </c>
      <c r="J1877" t="str">
        <f>IF(0 = IFERROR(VLOOKUP(DBL_FullList!I1877, ContactsDbl!B:D, 2, FALSE), ""), "", IFERROR(VLOOKUP(DBL_FullList!I1877, ContactsDbl!B:D, 2, FALSE), ""))</f>
        <v>dbladmin_intl@sil.org</v>
      </c>
      <c r="K1877" t="str">
        <f>IF(0 = IFERROR(VLOOKUP(DBL_FullList!I1877,ContactsDbl!B:D, 3, FALSE), ""), "", IFERROR(VLOOKUP(DBL_FullList!I1877, ContactsDbl!B:D, 3, FALSE), ""))</f>
        <v>http://www.wycliffe.org</v>
      </c>
      <c r="L1877">
        <f t="shared" si="59"/>
        <v>2</v>
      </c>
    </row>
    <row r="1878" spans="1:12" x14ac:dyDescent="0.25">
      <c r="A1878" t="s">
        <v>8974</v>
      </c>
      <c r="B1878" t="str">
        <f>IF(ISERROR(VLOOKUP(F1878,STEP!A:A, 1, FALSE)), "N", "Y")</f>
        <v>N</v>
      </c>
      <c r="C1878" t="str">
        <f>IF(ISERROR(VLOOKUP(E1878, BibleInEveryLanguageTexts!A:A, 1, FALSE)), "N", "Y")</f>
        <v>N</v>
      </c>
      <c r="D1878" t="str">
        <f t="shared" si="58"/>
        <v>X</v>
      </c>
      <c r="E1878" t="s">
        <v>8975</v>
      </c>
      <c r="F1878" t="s">
        <v>8976</v>
      </c>
      <c r="G1878" t="s">
        <v>2858</v>
      </c>
      <c r="H1878" t="s">
        <v>8977</v>
      </c>
      <c r="I1878" t="s">
        <v>2661</v>
      </c>
      <c r="J1878" t="str">
        <f>IF(0 = IFERROR(VLOOKUP(DBL_FullList!I1878, ContactsDbl!B:D, 2, FALSE), ""), "", IFERROR(VLOOKUP(DBL_FullList!I1878, ContactsDbl!B:D, 2, FALSE), ""))</f>
        <v>dbladmin_intl@sil.org</v>
      </c>
      <c r="K1878" t="str">
        <f>IF(0 = IFERROR(VLOOKUP(DBL_FullList!I1878,ContactsDbl!B:D, 3, FALSE), ""), "", IFERROR(VLOOKUP(DBL_FullList!I1878, ContactsDbl!B:D, 3, FALSE), ""))</f>
        <v>http://www.wycliffe.org</v>
      </c>
      <c r="L1878">
        <f t="shared" si="59"/>
        <v>2</v>
      </c>
    </row>
    <row r="1879" spans="1:12" x14ac:dyDescent="0.25">
      <c r="A1879" t="s">
        <v>8978</v>
      </c>
      <c r="B1879" t="str">
        <f>IF(ISERROR(VLOOKUP(F1879,STEP!A:A, 1, FALSE)), "N", "Y")</f>
        <v>N</v>
      </c>
      <c r="C1879" t="str">
        <f>IF(ISERROR(VLOOKUP(E1879, BibleInEveryLanguageTexts!A:A, 1, FALSE)), "N", "Y")</f>
        <v>N</v>
      </c>
      <c r="D1879" t="str">
        <f t="shared" si="58"/>
        <v>X</v>
      </c>
      <c r="E1879" t="s">
        <v>1745</v>
      </c>
      <c r="F1879" t="s">
        <v>6993</v>
      </c>
      <c r="G1879" t="s">
        <v>8979</v>
      </c>
      <c r="H1879" t="s">
        <v>8980</v>
      </c>
      <c r="I1879" t="s">
        <v>183</v>
      </c>
      <c r="J1879" t="str">
        <f>IF(0 = IFERROR(VLOOKUP(DBL_FullList!I1879, ContactsDbl!B:D, 2, FALSE), ""), "", IFERROR(VLOOKUP(DBL_FullList!I1879, ContactsDbl!B:D, 2, FALSE), ""))</f>
        <v>dbl@biblesocieties.org</v>
      </c>
      <c r="K1879" t="str">
        <f>IF(0 = IFERROR(VLOOKUP(DBL_FullList!I1879,ContactsDbl!B:D, 3, FALSE), ""), "", IFERROR(VLOOKUP(DBL_FullList!I1879, ContactsDbl!B:D, 3, FALSE), ""))</f>
        <v>http://www.unitedbiblesocieties.org/</v>
      </c>
      <c r="L1879">
        <f t="shared" si="59"/>
        <v>2</v>
      </c>
    </row>
    <row r="1880" spans="1:12" x14ac:dyDescent="0.25">
      <c r="A1880" t="s">
        <v>8981</v>
      </c>
      <c r="B1880" t="str">
        <f>IF(ISERROR(VLOOKUP(F1880,STEP!A:A, 1, FALSE)), "N", "Y")</f>
        <v>N</v>
      </c>
      <c r="C1880" t="str">
        <f>IF(ISERROR(VLOOKUP(E1880, BibleInEveryLanguageTexts!A:A, 1, FALSE)), "N", "Y")</f>
        <v>N</v>
      </c>
      <c r="D1880" t="str">
        <f t="shared" si="58"/>
        <v>X</v>
      </c>
      <c r="E1880" t="s">
        <v>8982</v>
      </c>
      <c r="F1880" t="s">
        <v>4791</v>
      </c>
      <c r="G1880" t="s">
        <v>2743</v>
      </c>
      <c r="H1880" t="s">
        <v>8983</v>
      </c>
      <c r="I1880" t="s">
        <v>2073</v>
      </c>
      <c r="J1880" t="str">
        <f>IF(0 = IFERROR(VLOOKUP(DBL_FullList!I1880, ContactsDbl!B:D, 2, FALSE), ""), "", IFERROR(VLOOKUP(DBL_FullList!I1880, ContactsDbl!B:D, 2, FALSE), ""))</f>
        <v>ajiboye@biblesociety-nigeria.org</v>
      </c>
      <c r="K1880" t="str">
        <f>IF(0 = IFERROR(VLOOKUP(DBL_FullList!I1880,ContactsDbl!B:D, 3, FALSE), ""), "", IFERROR(VLOOKUP(DBL_FullList!I1880, ContactsDbl!B:D, 3, FALSE), ""))</f>
        <v>http://www.biblesociety-nigeria.org/</v>
      </c>
      <c r="L1880">
        <f t="shared" si="59"/>
        <v>2</v>
      </c>
    </row>
    <row r="1881" spans="1:12" x14ac:dyDescent="0.25">
      <c r="A1881" t="s">
        <v>8984</v>
      </c>
      <c r="B1881" t="str">
        <f>IF(ISERROR(VLOOKUP(F1881,STEP!A:A, 1, FALSE)), "N", "Y")</f>
        <v>N</v>
      </c>
      <c r="C1881" t="str">
        <f>IF(ISERROR(VLOOKUP(E1881, BibleInEveryLanguageTexts!A:A, 1, FALSE)), "N", "Y")</f>
        <v>N</v>
      </c>
      <c r="D1881" t="str">
        <f t="shared" si="58"/>
        <v>X</v>
      </c>
      <c r="E1881" t="s">
        <v>8985</v>
      </c>
      <c r="F1881" t="s">
        <v>8986</v>
      </c>
      <c r="G1881" t="s">
        <v>3221</v>
      </c>
      <c r="H1881" t="s">
        <v>8987</v>
      </c>
      <c r="I1881" t="s">
        <v>2473</v>
      </c>
      <c r="J1881" t="str">
        <f>IF(0 = IFERROR(VLOOKUP(DBL_FullList!I1881, ContactsDbl!B:D, 2, FALSE), ""), "", IFERROR(VLOOKUP(DBL_FullList!I1881, ContactsDbl!B:D, 2, FALSE), ""))</f>
        <v/>
      </c>
      <c r="K1881" t="str">
        <f>IF(0 = IFERROR(VLOOKUP(DBL_FullList!I1881,ContactsDbl!B:D, 3, FALSE), ""), "", IFERROR(VLOOKUP(DBL_FullList!I1881, ContactsDbl!B:D, 3, FALSE), ""))</f>
        <v>www.nepalbiblesociety.org</v>
      </c>
      <c r="L1881">
        <f t="shared" si="59"/>
        <v>1</v>
      </c>
    </row>
    <row r="1882" spans="1:12" x14ac:dyDescent="0.25">
      <c r="A1882" t="s">
        <v>8988</v>
      </c>
      <c r="B1882" t="str">
        <f>IF(ISERROR(VLOOKUP(F1882,STEP!A:A, 1, FALSE)), "N", "Y")</f>
        <v>N</v>
      </c>
      <c r="C1882" t="str">
        <f>IF(ISERROR(VLOOKUP(E1882, BibleInEveryLanguageTexts!A:A, 1, FALSE)), "N", "Y")</f>
        <v>Y</v>
      </c>
      <c r="D1882" t="str">
        <f t="shared" si="58"/>
        <v/>
      </c>
      <c r="E1882" t="s">
        <v>78</v>
      </c>
      <c r="F1882" t="s">
        <v>76</v>
      </c>
      <c r="G1882" t="s">
        <v>7036</v>
      </c>
      <c r="H1882" t="s">
        <v>8989</v>
      </c>
      <c r="I1882" t="s">
        <v>2657</v>
      </c>
      <c r="J1882" t="str">
        <f>IF(0 = IFERROR(VLOOKUP(DBL_FullList!I1882, ContactsDbl!B:D, 2, FALSE), ""), "", IFERROR(VLOOKUP(DBL_FullList!I1882, ContactsDbl!B:D, 2, FALSE), ""))</f>
        <v>lktam@biblevietnam.org</v>
      </c>
      <c r="K1882" t="str">
        <f>IF(0 = IFERROR(VLOOKUP(DBL_FullList!I1882,ContactsDbl!B:D, 3, FALSE), ""), "", IFERROR(VLOOKUP(DBL_FullList!I1882, ContactsDbl!B:D, 3, FALSE), ""))</f>
        <v>http://www.biblevietnam.org</v>
      </c>
      <c r="L1882">
        <f t="shared" si="59"/>
        <v>2</v>
      </c>
    </row>
    <row r="1883" spans="1:12" x14ac:dyDescent="0.25">
      <c r="A1883" t="s">
        <v>8990</v>
      </c>
      <c r="B1883" t="str">
        <f>IF(ISERROR(VLOOKUP(F1883,STEP!A:A, 1, FALSE)), "N", "Y")</f>
        <v>N</v>
      </c>
      <c r="C1883" t="str">
        <f>IF(ISERROR(VLOOKUP(E1883, BibleInEveryLanguageTexts!A:A, 1, FALSE)), "N", "Y")</f>
        <v>N</v>
      </c>
      <c r="D1883" t="str">
        <f t="shared" si="58"/>
        <v>X</v>
      </c>
      <c r="E1883" t="s">
        <v>8991</v>
      </c>
      <c r="F1883" t="s">
        <v>8992</v>
      </c>
      <c r="G1883" t="s">
        <v>4050</v>
      </c>
      <c r="H1883" t="s">
        <v>8993</v>
      </c>
      <c r="I1883" t="s">
        <v>2661</v>
      </c>
      <c r="J1883" t="str">
        <f>IF(0 = IFERROR(VLOOKUP(DBL_FullList!I1883, ContactsDbl!B:D, 2, FALSE), ""), "", IFERROR(VLOOKUP(DBL_FullList!I1883, ContactsDbl!B:D, 2, FALSE), ""))</f>
        <v>dbladmin_intl@sil.org</v>
      </c>
      <c r="K1883" t="str">
        <f>IF(0 = IFERROR(VLOOKUP(DBL_FullList!I1883,ContactsDbl!B:D, 3, FALSE), ""), "", IFERROR(VLOOKUP(DBL_FullList!I1883, ContactsDbl!B:D, 3, FALSE), ""))</f>
        <v>http://www.wycliffe.org</v>
      </c>
      <c r="L1883">
        <f t="shared" si="59"/>
        <v>2</v>
      </c>
    </row>
    <row r="1884" spans="1:12" x14ac:dyDescent="0.25">
      <c r="A1884" t="s">
        <v>8994</v>
      </c>
      <c r="B1884" t="str">
        <f>IF(ISERROR(VLOOKUP(F1884,STEP!A:A, 1, FALSE)), "N", "Y")</f>
        <v>N</v>
      </c>
      <c r="C1884" t="str">
        <f>IF(ISERROR(VLOOKUP(E1884, BibleInEveryLanguageTexts!A:A, 1, FALSE)), "N", "Y")</f>
        <v>N</v>
      </c>
      <c r="D1884" t="str">
        <f t="shared" si="58"/>
        <v>X</v>
      </c>
      <c r="E1884" t="s">
        <v>8969</v>
      </c>
      <c r="F1884" t="s">
        <v>8970</v>
      </c>
      <c r="G1884" t="s">
        <v>4050</v>
      </c>
      <c r="H1884" t="s">
        <v>8995</v>
      </c>
      <c r="I1884" t="s">
        <v>2661</v>
      </c>
      <c r="J1884" t="str">
        <f>IF(0 = IFERROR(VLOOKUP(DBL_FullList!I1884, ContactsDbl!B:D, 2, FALSE), ""), "", IFERROR(VLOOKUP(DBL_FullList!I1884, ContactsDbl!B:D, 2, FALSE), ""))</f>
        <v>dbladmin_intl@sil.org</v>
      </c>
      <c r="K1884" t="str">
        <f>IF(0 = IFERROR(VLOOKUP(DBL_FullList!I1884,ContactsDbl!B:D, 3, FALSE), ""), "", IFERROR(VLOOKUP(DBL_FullList!I1884, ContactsDbl!B:D, 3, FALSE), ""))</f>
        <v>http://www.wycliffe.org</v>
      </c>
      <c r="L1884">
        <f t="shared" si="59"/>
        <v>2</v>
      </c>
    </row>
    <row r="1885" spans="1:12" x14ac:dyDescent="0.25">
      <c r="A1885" t="s">
        <v>8996</v>
      </c>
      <c r="B1885" t="str">
        <f>IF(ISERROR(VLOOKUP(F1885,STEP!A:A, 1, FALSE)), "N", "Y")</f>
        <v>N</v>
      </c>
      <c r="C1885" t="str">
        <f>IF(ISERROR(VLOOKUP(E1885, BibleInEveryLanguageTexts!A:A, 1, FALSE)), "N", "Y")</f>
        <v>N</v>
      </c>
      <c r="D1885" t="str">
        <f t="shared" si="58"/>
        <v>X</v>
      </c>
      <c r="E1885" t="s">
        <v>8997</v>
      </c>
      <c r="F1885" t="s">
        <v>8998</v>
      </c>
      <c r="G1885" t="s">
        <v>2723</v>
      </c>
      <c r="H1885" t="s">
        <v>8999</v>
      </c>
      <c r="I1885" t="s">
        <v>2661</v>
      </c>
      <c r="J1885" t="str">
        <f>IF(0 = IFERROR(VLOOKUP(DBL_FullList!I1885, ContactsDbl!B:D, 2, FALSE), ""), "", IFERROR(VLOOKUP(DBL_FullList!I1885, ContactsDbl!B:D, 2, FALSE), ""))</f>
        <v>dbladmin_intl@sil.org</v>
      </c>
      <c r="K1885" t="str">
        <f>IF(0 = IFERROR(VLOOKUP(DBL_FullList!I1885,ContactsDbl!B:D, 3, FALSE), ""), "", IFERROR(VLOOKUP(DBL_FullList!I1885, ContactsDbl!B:D, 3, FALSE), ""))</f>
        <v>http://www.wycliffe.org</v>
      </c>
      <c r="L1885">
        <f t="shared" si="59"/>
        <v>2</v>
      </c>
    </row>
    <row r="1886" spans="1:12" x14ac:dyDescent="0.25">
      <c r="A1886" t="s">
        <v>9000</v>
      </c>
      <c r="B1886" t="str">
        <f>IF(ISERROR(VLOOKUP(F1886,STEP!A:A, 1, FALSE)), "N", "Y")</f>
        <v>N</v>
      </c>
      <c r="C1886" t="str">
        <f>IF(ISERROR(VLOOKUP(E1886, BibleInEveryLanguageTexts!A:A, 1, FALSE)), "N", "Y")</f>
        <v>N</v>
      </c>
      <c r="D1886" t="str">
        <f t="shared" si="58"/>
        <v>X</v>
      </c>
      <c r="E1886" t="s">
        <v>9001</v>
      </c>
      <c r="F1886" t="s">
        <v>9002</v>
      </c>
      <c r="G1886" t="s">
        <v>2858</v>
      </c>
      <c r="H1886" t="s">
        <v>9003</v>
      </c>
      <c r="I1886" t="s">
        <v>2661</v>
      </c>
      <c r="J1886" t="str">
        <f>IF(0 = IFERROR(VLOOKUP(DBL_FullList!I1886, ContactsDbl!B:D, 2, FALSE), ""), "", IFERROR(VLOOKUP(DBL_FullList!I1886, ContactsDbl!B:D, 2, FALSE), ""))</f>
        <v>dbladmin_intl@sil.org</v>
      </c>
      <c r="K1886" t="str">
        <f>IF(0 = IFERROR(VLOOKUP(DBL_FullList!I1886,ContactsDbl!B:D, 3, FALSE), ""), "", IFERROR(VLOOKUP(DBL_FullList!I1886, ContactsDbl!B:D, 3, FALSE), ""))</f>
        <v>http://www.wycliffe.org</v>
      </c>
      <c r="L1886">
        <f t="shared" si="59"/>
        <v>2</v>
      </c>
    </row>
    <row r="1887" spans="1:12" x14ac:dyDescent="0.25">
      <c r="A1887" t="s">
        <v>9004</v>
      </c>
      <c r="B1887" t="str">
        <f>IF(ISERROR(VLOOKUP(F1887,STEP!A:A, 1, FALSE)), "N", "Y")</f>
        <v>N</v>
      </c>
      <c r="C1887" t="str">
        <f>IF(ISERROR(VLOOKUP(E1887, BibleInEveryLanguageTexts!A:A, 1, FALSE)), "N", "Y")</f>
        <v>N</v>
      </c>
      <c r="D1887" t="str">
        <f t="shared" si="58"/>
        <v>X</v>
      </c>
      <c r="E1887" t="s">
        <v>9005</v>
      </c>
      <c r="F1887" t="s">
        <v>9006</v>
      </c>
      <c r="G1887" t="s">
        <v>4050</v>
      </c>
      <c r="H1887" t="s">
        <v>9007</v>
      </c>
      <c r="I1887" t="s">
        <v>2661</v>
      </c>
      <c r="J1887" t="str">
        <f>IF(0 = IFERROR(VLOOKUP(DBL_FullList!I1887, ContactsDbl!B:D, 2, FALSE), ""), "", IFERROR(VLOOKUP(DBL_FullList!I1887, ContactsDbl!B:D, 2, FALSE), ""))</f>
        <v>dbladmin_intl@sil.org</v>
      </c>
      <c r="K1887" t="str">
        <f>IF(0 = IFERROR(VLOOKUP(DBL_FullList!I1887,ContactsDbl!B:D, 3, FALSE), ""), "", IFERROR(VLOOKUP(DBL_FullList!I1887, ContactsDbl!B:D, 3, FALSE), ""))</f>
        <v>http://www.wycliffe.org</v>
      </c>
      <c r="L1887">
        <f t="shared" si="59"/>
        <v>2</v>
      </c>
    </row>
    <row r="1888" spans="1:12" x14ac:dyDescent="0.25">
      <c r="A1888" t="s">
        <v>9008</v>
      </c>
      <c r="B1888" t="str">
        <f>IF(ISERROR(VLOOKUP(F1888,STEP!A:A, 1, FALSE)), "N", "Y")</f>
        <v>N</v>
      </c>
      <c r="C1888" t="str">
        <f>IF(ISERROR(VLOOKUP(E1888, BibleInEveryLanguageTexts!A:A, 1, FALSE)), "N", "Y")</f>
        <v>Y</v>
      </c>
      <c r="D1888" t="str">
        <f t="shared" si="58"/>
        <v/>
      </c>
      <c r="E1888" t="s">
        <v>2704</v>
      </c>
      <c r="F1888" t="s">
        <v>3193</v>
      </c>
      <c r="G1888" t="s">
        <v>3194</v>
      </c>
      <c r="H1888" t="s">
        <v>9009</v>
      </c>
      <c r="I1888" t="s">
        <v>1997</v>
      </c>
      <c r="J1888" t="str">
        <f>IF(0 = IFERROR(VLOOKUP(DBL_FullList!I1888, ContactsDbl!B:D, 2, FALSE), ""), "", IFERROR(VLOOKUP(DBL_FullList!I1888, ContactsDbl!B:D, 2, FALSE), ""))</f>
        <v>Lee.Harris@biblica.com</v>
      </c>
      <c r="K1888" t="str">
        <f>IF(0 = IFERROR(VLOOKUP(DBL_FullList!I1888,ContactsDbl!B:D, 3, FALSE), ""), "", IFERROR(VLOOKUP(DBL_FullList!I1888, ContactsDbl!B:D, 3, FALSE), ""))</f>
        <v>http://www.Biblica.com</v>
      </c>
      <c r="L1888">
        <f t="shared" si="59"/>
        <v>2</v>
      </c>
    </row>
    <row r="1889" spans="1:12" x14ac:dyDescent="0.25">
      <c r="A1889" t="s">
        <v>9010</v>
      </c>
      <c r="B1889" t="str">
        <f>IF(ISERROR(VLOOKUP(F1889,STEP!A:A, 1, FALSE)), "N", "Y")</f>
        <v>N</v>
      </c>
      <c r="C1889" t="str">
        <f>IF(ISERROR(VLOOKUP(E1889, BibleInEveryLanguageTexts!A:A, 1, FALSE)), "N", "Y")</f>
        <v>N</v>
      </c>
      <c r="D1889" t="str">
        <f t="shared" si="58"/>
        <v>X</v>
      </c>
      <c r="E1889" t="s">
        <v>9011</v>
      </c>
      <c r="F1889" t="s">
        <v>9012</v>
      </c>
      <c r="G1889" t="s">
        <v>4050</v>
      </c>
      <c r="H1889" t="s">
        <v>9013</v>
      </c>
      <c r="I1889" t="s">
        <v>2661</v>
      </c>
      <c r="J1889" t="str">
        <f>IF(0 = IFERROR(VLOOKUP(DBL_FullList!I1889, ContactsDbl!B:D, 2, FALSE), ""), "", IFERROR(VLOOKUP(DBL_FullList!I1889, ContactsDbl!B:D, 2, FALSE), ""))</f>
        <v>dbladmin_intl@sil.org</v>
      </c>
      <c r="K1889" t="str">
        <f>IF(0 = IFERROR(VLOOKUP(DBL_FullList!I1889,ContactsDbl!B:D, 3, FALSE), ""), "", IFERROR(VLOOKUP(DBL_FullList!I1889, ContactsDbl!B:D, 3, FALSE), ""))</f>
        <v>http://www.wycliffe.org</v>
      </c>
      <c r="L1889">
        <f t="shared" si="59"/>
        <v>2</v>
      </c>
    </row>
    <row r="1890" spans="1:12" x14ac:dyDescent="0.25">
      <c r="A1890" t="s">
        <v>9014</v>
      </c>
      <c r="B1890" t="str">
        <f>IF(ISERROR(VLOOKUP(F1890,STEP!A:A, 1, FALSE)), "N", "Y")</f>
        <v>N</v>
      </c>
      <c r="C1890" t="str">
        <f>IF(ISERROR(VLOOKUP(E1890, BibleInEveryLanguageTexts!A:A, 1, FALSE)), "N", "Y")</f>
        <v>Y</v>
      </c>
      <c r="D1890" t="str">
        <f t="shared" si="58"/>
        <v/>
      </c>
      <c r="E1890" t="s">
        <v>111</v>
      </c>
      <c r="F1890" t="s">
        <v>109</v>
      </c>
      <c r="G1890" t="s">
        <v>110</v>
      </c>
      <c r="H1890" t="s">
        <v>9015</v>
      </c>
      <c r="I1890" t="s">
        <v>1997</v>
      </c>
      <c r="J1890" t="str">
        <f>IF(0 = IFERROR(VLOOKUP(DBL_FullList!I1890, ContactsDbl!B:D, 2, FALSE), ""), "", IFERROR(VLOOKUP(DBL_FullList!I1890, ContactsDbl!B:D, 2, FALSE), ""))</f>
        <v>Lee.Harris@biblica.com</v>
      </c>
      <c r="K1890" t="str">
        <f>IF(0 = IFERROR(VLOOKUP(DBL_FullList!I1890,ContactsDbl!B:D, 3, FALSE), ""), "", IFERROR(VLOOKUP(DBL_FullList!I1890, ContactsDbl!B:D, 3, FALSE), ""))</f>
        <v>http://www.Biblica.com</v>
      </c>
      <c r="L1890">
        <f t="shared" si="59"/>
        <v>2</v>
      </c>
    </row>
    <row r="1891" spans="1:12" x14ac:dyDescent="0.25">
      <c r="A1891" t="s">
        <v>9016</v>
      </c>
      <c r="B1891" t="str">
        <f>IF(ISERROR(VLOOKUP(F1891,STEP!A:A, 1, FALSE)), "N", "Y")</f>
        <v>N</v>
      </c>
      <c r="C1891" t="str">
        <f>IF(ISERROR(VLOOKUP(E1891, BibleInEveryLanguageTexts!A:A, 1, FALSE)), "N", "Y")</f>
        <v>N</v>
      </c>
      <c r="D1891" t="str">
        <f t="shared" si="58"/>
        <v>X</v>
      </c>
      <c r="E1891" t="s">
        <v>517</v>
      </c>
      <c r="F1891" t="s">
        <v>515</v>
      </c>
      <c r="G1891" t="s">
        <v>516</v>
      </c>
      <c r="H1891" t="s">
        <v>9017</v>
      </c>
      <c r="I1891" t="s">
        <v>2476</v>
      </c>
      <c r="J1891" t="str">
        <f>IF(0 = IFERROR(VLOOKUP(DBL_FullList!I1891, ContactsDbl!B:D, 2, FALSE), ""), "", IFERROR(VLOOKUP(DBL_FullList!I1891, ContactsDbl!B:D, 2, FALSE), ""))</f>
        <v>info@bijbelgenootschap.nl</v>
      </c>
      <c r="K1891" t="str">
        <f>IF(0 = IFERROR(VLOOKUP(DBL_FullList!I1891,ContactsDbl!B:D, 3, FALSE), ""), "", IFERROR(VLOOKUP(DBL_FullList!I1891, ContactsDbl!B:D, 3, FALSE), ""))</f>
        <v>https://www.bijbelgenootschap.nl/</v>
      </c>
      <c r="L1891">
        <f t="shared" si="59"/>
        <v>2</v>
      </c>
    </row>
    <row r="1892" spans="1:12" x14ac:dyDescent="0.25">
      <c r="A1892" t="s">
        <v>472</v>
      </c>
      <c r="B1892" t="str">
        <f>IF(ISERROR(VLOOKUP(F1892,STEP!A:A, 1, FALSE)), "N", "Y")</f>
        <v>N</v>
      </c>
      <c r="C1892" t="str">
        <f>IF(ISERROR(VLOOKUP(E1892, BibleInEveryLanguageTexts!A:A, 1, FALSE)), "N", "Y")</f>
        <v>N</v>
      </c>
      <c r="D1892" t="str">
        <f t="shared" si="58"/>
        <v>X</v>
      </c>
      <c r="E1892" t="s">
        <v>471</v>
      </c>
      <c r="F1892" t="s">
        <v>470</v>
      </c>
      <c r="G1892" t="s">
        <v>139</v>
      </c>
      <c r="H1892" t="s">
        <v>469</v>
      </c>
      <c r="I1892" t="s">
        <v>2640</v>
      </c>
      <c r="J1892" t="str">
        <f>IF(0 = IFERROR(VLOOKUP(DBL_FullList!I1892, ContactsDbl!B:D, 2, FALSE), ""), "", IFERROR(VLOOKUP(DBL_FullList!I1892, ContactsDbl!B:D, 2, FALSE), ""))</f>
        <v>admin-us@twftw.org</v>
      </c>
      <c r="K1892" t="str">
        <f>IF(0 = IFERROR(VLOOKUP(DBL_FullList!I1892,ContactsDbl!B:D, 3, FALSE), ""), "", IFERROR(VLOOKUP(DBL_FullList!I1892, ContactsDbl!B:D, 3, FALSE), ""))</f>
        <v>www.twftw.org</v>
      </c>
      <c r="L1892">
        <f t="shared" si="59"/>
        <v>2</v>
      </c>
    </row>
    <row r="1893" spans="1:12" x14ac:dyDescent="0.25">
      <c r="A1893" t="s">
        <v>9018</v>
      </c>
      <c r="B1893" t="str">
        <f>IF(ISERROR(VLOOKUP(F1893,STEP!A:A, 1, FALSE)), "N", "Y")</f>
        <v>N</v>
      </c>
      <c r="C1893" t="str">
        <f>IF(ISERROR(VLOOKUP(E1893, BibleInEveryLanguageTexts!A:A, 1, FALSE)), "N", "Y")</f>
        <v>N</v>
      </c>
      <c r="D1893" t="str">
        <f t="shared" si="58"/>
        <v>X</v>
      </c>
      <c r="E1893" t="s">
        <v>9019</v>
      </c>
      <c r="F1893" t="s">
        <v>9020</v>
      </c>
      <c r="G1893" t="s">
        <v>4050</v>
      </c>
      <c r="H1893" t="s">
        <v>9021</v>
      </c>
      <c r="I1893" t="s">
        <v>2661</v>
      </c>
      <c r="J1893" t="str">
        <f>IF(0 = IFERROR(VLOOKUP(DBL_FullList!I1893, ContactsDbl!B:D, 2, FALSE), ""), "", IFERROR(VLOOKUP(DBL_FullList!I1893, ContactsDbl!B:D, 2, FALSE), ""))</f>
        <v>dbladmin_intl@sil.org</v>
      </c>
      <c r="K1893" t="str">
        <f>IF(0 = IFERROR(VLOOKUP(DBL_FullList!I1893,ContactsDbl!B:D, 3, FALSE), ""), "", IFERROR(VLOOKUP(DBL_FullList!I1893, ContactsDbl!B:D, 3, FALSE), ""))</f>
        <v>http://www.wycliffe.org</v>
      </c>
      <c r="L1893">
        <f t="shared" si="59"/>
        <v>2</v>
      </c>
    </row>
    <row r="1894" spans="1:12" x14ac:dyDescent="0.25">
      <c r="A1894" t="s">
        <v>487</v>
      </c>
      <c r="B1894" t="str">
        <f>IF(ISERROR(VLOOKUP(F1894,STEP!A:A, 1, FALSE)), "N", "Y")</f>
        <v>Y</v>
      </c>
      <c r="C1894" t="str">
        <f>IF(ISERROR(VLOOKUP(E1894, BibleInEveryLanguageTexts!A:A, 1, FALSE)), "N", "Y")</f>
        <v>N</v>
      </c>
      <c r="D1894" t="str">
        <f t="shared" si="58"/>
        <v/>
      </c>
      <c r="E1894" t="s">
        <v>486</v>
      </c>
      <c r="F1894" t="s">
        <v>484</v>
      </c>
      <c r="G1894" t="s">
        <v>485</v>
      </c>
      <c r="H1894" t="s">
        <v>482</v>
      </c>
      <c r="I1894" t="s">
        <v>24</v>
      </c>
      <c r="J1894" t="str">
        <f>IF(0 = IFERROR(VLOOKUP(DBL_FullList!I1894, ContactsDbl!B:D, 2, FALSE), ""), "", IFERROR(VLOOKUP(DBL_FullList!I1894, ContactsDbl!B:D, 2, FALSE), ""))</f>
        <v>Michael@eBible.org</v>
      </c>
      <c r="K1894" t="str">
        <f>IF(0 = IFERROR(VLOOKUP(DBL_FullList!I1894,ContactsDbl!B:D, 3, FALSE), ""), "", IFERROR(VLOOKUP(DBL_FullList!I1894, ContactsDbl!B:D, 3, FALSE), ""))</f>
        <v>http://eBible.org</v>
      </c>
      <c r="L1894">
        <f t="shared" si="59"/>
        <v>2</v>
      </c>
    </row>
    <row r="1895" spans="1:12" x14ac:dyDescent="0.25">
      <c r="A1895" t="s">
        <v>9022</v>
      </c>
      <c r="B1895" t="str">
        <f>IF(ISERROR(VLOOKUP(F1895,STEP!A:A, 1, FALSE)), "N", "Y")</f>
        <v>N</v>
      </c>
      <c r="C1895" t="str">
        <f>IF(ISERROR(VLOOKUP(E1895, BibleInEveryLanguageTexts!A:A, 1, FALSE)), "N", "Y")</f>
        <v>Y</v>
      </c>
      <c r="D1895" t="str">
        <f t="shared" si="58"/>
        <v/>
      </c>
      <c r="E1895" t="s">
        <v>2700</v>
      </c>
      <c r="F1895" t="s">
        <v>3317</v>
      </c>
      <c r="G1895" t="s">
        <v>3418</v>
      </c>
      <c r="H1895" t="s">
        <v>9023</v>
      </c>
      <c r="I1895" t="s">
        <v>2226</v>
      </c>
      <c r="J1895" t="str">
        <f>IF(0 = IFERROR(VLOOKUP(DBL_FullList!I1895, ContactsDbl!B:D, 2, FALSE), ""), "", IFERROR(VLOOKUP(DBL_FullList!I1895, ContactsDbl!B:D, 2, FALSE), ""))</f>
        <v>alliance.biblique@sbf.fr</v>
      </c>
      <c r="K1895" t="str">
        <f>IF(0 = IFERROR(VLOOKUP(DBL_FullList!I1895,ContactsDbl!B:D, 3, FALSE), ""), "", IFERROR(VLOOKUP(DBL_FullList!I1895, ContactsDbl!B:D, 3, FALSE), ""))</f>
        <v>www.alliancebiblique.fr</v>
      </c>
      <c r="L1895">
        <f t="shared" si="59"/>
        <v>2</v>
      </c>
    </row>
    <row r="1896" spans="1:12" x14ac:dyDescent="0.25">
      <c r="A1896" t="s">
        <v>9024</v>
      </c>
      <c r="B1896" t="str">
        <f>IF(ISERROR(VLOOKUP(F1896,STEP!A:A, 1, FALSE)), "N", "Y")</f>
        <v>N</v>
      </c>
      <c r="C1896" t="str">
        <f>IF(ISERROR(VLOOKUP(E1896, BibleInEveryLanguageTexts!A:A, 1, FALSE)), "N", "Y")</f>
        <v>N</v>
      </c>
      <c r="D1896" t="str">
        <f t="shared" si="58"/>
        <v>X</v>
      </c>
      <c r="E1896" t="s">
        <v>9025</v>
      </c>
      <c r="F1896" t="s">
        <v>9026</v>
      </c>
      <c r="G1896" t="s">
        <v>2858</v>
      </c>
      <c r="H1896" t="s">
        <v>9027</v>
      </c>
      <c r="I1896" t="s">
        <v>2661</v>
      </c>
      <c r="J1896" t="str">
        <f>IF(0 = IFERROR(VLOOKUP(DBL_FullList!I1896, ContactsDbl!B:D, 2, FALSE), ""), "", IFERROR(VLOOKUP(DBL_FullList!I1896, ContactsDbl!B:D, 2, FALSE), ""))</f>
        <v>dbladmin_intl@sil.org</v>
      </c>
      <c r="K1896" t="str">
        <f>IF(0 = IFERROR(VLOOKUP(DBL_FullList!I1896,ContactsDbl!B:D, 3, FALSE), ""), "", IFERROR(VLOOKUP(DBL_FullList!I1896, ContactsDbl!B:D, 3, FALSE), ""))</f>
        <v>http://www.wycliffe.org</v>
      </c>
      <c r="L1896">
        <f t="shared" si="59"/>
        <v>2</v>
      </c>
    </row>
    <row r="1897" spans="1:12" x14ac:dyDescent="0.25">
      <c r="A1897" t="s">
        <v>9028</v>
      </c>
      <c r="B1897" t="str">
        <f>IF(ISERROR(VLOOKUP(F1897,STEP!A:A, 1, FALSE)), "N", "Y")</f>
        <v>N</v>
      </c>
      <c r="C1897" t="str">
        <f>IF(ISERROR(VLOOKUP(E1897, BibleInEveryLanguageTexts!A:A, 1, FALSE)), "N", "Y")</f>
        <v>N</v>
      </c>
      <c r="D1897" t="str">
        <f t="shared" si="58"/>
        <v>X</v>
      </c>
      <c r="E1897" t="s">
        <v>199</v>
      </c>
      <c r="F1897" t="s">
        <v>197</v>
      </c>
      <c r="G1897" t="s">
        <v>198</v>
      </c>
      <c r="H1897" t="s">
        <v>9029</v>
      </c>
      <c r="I1897" t="s">
        <v>2591</v>
      </c>
      <c r="J1897" t="str">
        <f>IF(0 = IFERROR(VLOOKUP(DBL_FullList!I1897, ContactsDbl!B:D, 2, FALSE), ""), "", IFERROR(VLOOKUP(DBL_FullList!I1897, ContactsDbl!B:D, 2, FALSE), ""))</f>
        <v/>
      </c>
      <c r="K1897" t="str">
        <f>IF(0 = IFERROR(VLOOKUP(DBL_FullList!I1897,ContactsDbl!B:D, 3, FALSE), ""), "", IFERROR(VLOOKUP(DBL_FullList!I1897, ContactsDbl!B:D, 3, FALSE), ""))</f>
        <v>http://sociedadbiblica.org</v>
      </c>
      <c r="L1897">
        <f t="shared" si="59"/>
        <v>1</v>
      </c>
    </row>
    <row r="1898" spans="1:12" x14ac:dyDescent="0.25">
      <c r="A1898" t="s">
        <v>9030</v>
      </c>
      <c r="B1898" t="str">
        <f>IF(ISERROR(VLOOKUP(F1898,STEP!A:A, 1, FALSE)), "N", "Y")</f>
        <v>N</v>
      </c>
      <c r="C1898" t="str">
        <f>IF(ISERROR(VLOOKUP(E1898, BibleInEveryLanguageTexts!A:A, 1, FALSE)), "N", "Y")</f>
        <v>N</v>
      </c>
      <c r="D1898" t="str">
        <f t="shared" si="58"/>
        <v>X</v>
      </c>
      <c r="E1898" t="s">
        <v>9031</v>
      </c>
      <c r="F1898" t="s">
        <v>7449</v>
      </c>
      <c r="G1898" t="s">
        <v>3133</v>
      </c>
      <c r="H1898" t="s">
        <v>9032</v>
      </c>
      <c r="I1898" t="s">
        <v>2264</v>
      </c>
      <c r="J1898" t="str">
        <f>IF(0 = IFERROR(VLOOKUP(DBL_FullList!I1898, ContactsDbl!B:D, 2, FALSE), ""), "", IFERROR(VLOOKUP(DBL_FullList!I1898, ContactsDbl!B:D, 2, FALSE), ""))</f>
        <v/>
      </c>
      <c r="K1898" t="str">
        <f>IF(0 = IFERROR(VLOOKUP(DBL_FullList!I1898,ContactsDbl!B:D, 3, FALSE), ""), "", IFERROR(VLOOKUP(DBL_FullList!I1898, ContactsDbl!B:D, 3, FALSE), ""))</f>
        <v>http://www.sbiblica.org</v>
      </c>
      <c r="L1898">
        <f t="shared" si="59"/>
        <v>1</v>
      </c>
    </row>
    <row r="1899" spans="1:12" x14ac:dyDescent="0.25">
      <c r="A1899" t="s">
        <v>9033</v>
      </c>
      <c r="B1899" t="str">
        <f>IF(ISERROR(VLOOKUP(F1899,STEP!A:A, 1, FALSE)), "N", "Y")</f>
        <v>N</v>
      </c>
      <c r="C1899" t="str">
        <f>IF(ISERROR(VLOOKUP(E1899, BibleInEveryLanguageTexts!A:A, 1, FALSE)), "N", "Y")</f>
        <v>N</v>
      </c>
      <c r="D1899" t="str">
        <f t="shared" si="58"/>
        <v>X</v>
      </c>
      <c r="E1899" t="s">
        <v>916</v>
      </c>
      <c r="F1899" t="s">
        <v>9034</v>
      </c>
      <c r="G1899" t="s">
        <v>5332</v>
      </c>
      <c r="H1899" t="s">
        <v>9035</v>
      </c>
      <c r="I1899" t="s">
        <v>3104</v>
      </c>
      <c r="J1899" t="str">
        <f>IF(0 = IFERROR(VLOOKUP(DBL_FullList!I1899, ContactsDbl!B:D, 2, FALSE), ""), "", IFERROR(VLOOKUP(DBL_FullList!I1899, ContactsDbl!B:D, 2, FALSE), ""))</f>
        <v/>
      </c>
      <c r="K1899" t="str">
        <f>IF(0 = IFERROR(VLOOKUP(DBL_FullList!I1899,ContactsDbl!B:D, 3, FALSE), ""), "", IFERROR(VLOOKUP(DBL_FullList!I1899, ContactsDbl!B:D, 3, FALSE), ""))</f>
        <v/>
      </c>
      <c r="L1899">
        <f t="shared" si="59"/>
        <v>0</v>
      </c>
    </row>
    <row r="1900" spans="1:12" x14ac:dyDescent="0.25">
      <c r="A1900" t="s">
        <v>9036</v>
      </c>
      <c r="B1900" t="str">
        <f>IF(ISERROR(VLOOKUP(F1900,STEP!A:A, 1, FALSE)), "N", "Y")</f>
        <v>N</v>
      </c>
      <c r="C1900" t="str">
        <f>IF(ISERROR(VLOOKUP(E1900, BibleInEveryLanguageTexts!A:A, 1, FALSE)), "N", "Y")</f>
        <v>N</v>
      </c>
      <c r="D1900" t="str">
        <f t="shared" si="58"/>
        <v>X</v>
      </c>
      <c r="E1900" t="s">
        <v>9037</v>
      </c>
      <c r="F1900" t="s">
        <v>4123</v>
      </c>
      <c r="G1900" t="s">
        <v>139</v>
      </c>
      <c r="H1900" t="s">
        <v>9038</v>
      </c>
      <c r="I1900" t="s">
        <v>2106</v>
      </c>
      <c r="J1900" t="str">
        <f>IF(0 = IFERROR(VLOOKUP(DBL_FullList!I1900, ContactsDbl!B:D, 2, FALSE), ""), "", IFERROR(VLOOKUP(DBL_FullList!I1900, ContactsDbl!B:D, 2, FALSE), ""))</f>
        <v>info@biblesociety-tanzania.org</v>
      </c>
      <c r="K1900" t="str">
        <f>IF(0 = IFERROR(VLOOKUP(DBL_FullList!I1900,ContactsDbl!B:D, 3, FALSE), ""), "", IFERROR(VLOOKUP(DBL_FullList!I1900, ContactsDbl!B:D, 3, FALSE), ""))</f>
        <v>http://biblesociety-tanzania.org/</v>
      </c>
      <c r="L1900">
        <f t="shared" si="59"/>
        <v>2</v>
      </c>
    </row>
    <row r="1901" spans="1:12" x14ac:dyDescent="0.25">
      <c r="A1901" t="s">
        <v>9039</v>
      </c>
      <c r="B1901" t="str">
        <f>IF(ISERROR(VLOOKUP(F1901,STEP!A:A, 1, FALSE)), "N", "Y")</f>
        <v>N</v>
      </c>
      <c r="C1901" t="str">
        <f>IF(ISERROR(VLOOKUP(E1901, BibleInEveryLanguageTexts!A:A, 1, FALSE)), "N", "Y")</f>
        <v>N</v>
      </c>
      <c r="D1901" t="str">
        <f t="shared" si="58"/>
        <v>X</v>
      </c>
      <c r="E1901" t="s">
        <v>9040</v>
      </c>
      <c r="F1901" t="s">
        <v>9041</v>
      </c>
      <c r="G1901" t="s">
        <v>3861</v>
      </c>
      <c r="H1901" t="s">
        <v>9042</v>
      </c>
      <c r="I1901" t="s">
        <v>2393</v>
      </c>
      <c r="J1901" t="str">
        <f>IF(0 = IFERROR(VLOOKUP(DBL_FullList!I1901, ContactsDbl!B:D, 2, FALSE), ""), "", IFERROR(VLOOKUP(DBL_FullList!I1901, ContactsDbl!B:D, 2, FALSE), ""))</f>
        <v>pstevens@biblesocieties.org</v>
      </c>
      <c r="K1901" t="str">
        <f>IF(0 = IFERROR(VLOOKUP(DBL_FullList!I1901,ContactsDbl!B:D, 3, FALSE), ""), "", IFERROR(VLOOKUP(DBL_FullList!I1901, ContactsDbl!B:D, 3, FALSE), ""))</f>
        <v>http://www.unitedbiblesocieties.org/society/bible-society-in-liberia/</v>
      </c>
      <c r="L1901">
        <f t="shared" si="59"/>
        <v>2</v>
      </c>
    </row>
    <row r="1902" spans="1:12" x14ac:dyDescent="0.25">
      <c r="A1902" t="s">
        <v>9043</v>
      </c>
      <c r="B1902" t="str">
        <f>IF(ISERROR(VLOOKUP(F1902,STEP!A:A, 1, FALSE)), "N", "Y")</f>
        <v>N</v>
      </c>
      <c r="C1902" t="str">
        <f>IF(ISERROR(VLOOKUP(E1902, BibleInEveryLanguageTexts!A:A, 1, FALSE)), "N", "Y")</f>
        <v>N</v>
      </c>
      <c r="D1902" t="str">
        <f t="shared" si="58"/>
        <v>X</v>
      </c>
      <c r="E1902" t="s">
        <v>219</v>
      </c>
      <c r="F1902" t="s">
        <v>217</v>
      </c>
      <c r="G1902" t="s">
        <v>218</v>
      </c>
      <c r="H1902" t="s">
        <v>9044</v>
      </c>
      <c r="I1902" t="s">
        <v>2241</v>
      </c>
      <c r="J1902" t="str">
        <f>IF(0 = IFERROR(VLOOKUP(DBL_FullList!I1902, ContactsDbl!B:D, 2, FALSE), ""), "", IFERROR(VLOOKUP(DBL_FullList!I1902, ContactsDbl!B:D, 2, FALSE), ""))</f>
        <v>dbl@dbg.de</v>
      </c>
      <c r="K1902" t="str">
        <f>IF(0 = IFERROR(VLOOKUP(DBL_FullList!I1902,ContactsDbl!B:D, 3, FALSE), ""), "", IFERROR(VLOOKUP(DBL_FullList!I1902, ContactsDbl!B:D, 3, FALSE), ""))</f>
        <v>http://www.die-bibel.de</v>
      </c>
      <c r="L1902">
        <f t="shared" si="59"/>
        <v>2</v>
      </c>
    </row>
    <row r="1903" spans="1:12" x14ac:dyDescent="0.25">
      <c r="A1903" t="s">
        <v>9045</v>
      </c>
      <c r="B1903" t="str">
        <f>IF(ISERROR(VLOOKUP(F1903,STEP!A:A, 1, FALSE)), "N", "Y")</f>
        <v>N</v>
      </c>
      <c r="C1903" t="str">
        <f>IF(ISERROR(VLOOKUP(E1903, BibleInEveryLanguageTexts!A:A, 1, FALSE)), "N", "Y")</f>
        <v>N</v>
      </c>
      <c r="D1903" t="str">
        <f t="shared" si="58"/>
        <v>X</v>
      </c>
      <c r="E1903" t="s">
        <v>205</v>
      </c>
      <c r="F1903" t="s">
        <v>204</v>
      </c>
      <c r="G1903" t="s">
        <v>4081</v>
      </c>
      <c r="H1903" t="s">
        <v>9046</v>
      </c>
      <c r="I1903" t="s">
        <v>1978</v>
      </c>
      <c r="J1903" t="str">
        <f>IF(0 = IFERROR(VLOOKUP(DBL_FullList!I1903, ContactsDbl!B:D, 2, FALSE), ""), "", IFERROR(VLOOKUP(DBL_FullList!I1903, ContactsDbl!B:D, 2, FALSE), ""))</f>
        <v>info@biblesociety.org.bd</v>
      </c>
      <c r="K1903" t="str">
        <f>IF(0 = IFERROR(VLOOKUP(DBL_FullList!I1903,ContactsDbl!B:D, 3, FALSE), ""), "", IFERROR(VLOOKUP(DBL_FullList!I1903, ContactsDbl!B:D, 3, FALSE), ""))</f>
        <v>http://biblesociety.org.bd</v>
      </c>
      <c r="L1903">
        <f t="shared" si="59"/>
        <v>2</v>
      </c>
    </row>
    <row r="1904" spans="1:12" x14ac:dyDescent="0.25">
      <c r="A1904" t="s">
        <v>9047</v>
      </c>
      <c r="B1904" t="str">
        <f>IF(ISERROR(VLOOKUP(F1904,STEP!A:A, 1, FALSE)), "N", "Y")</f>
        <v>Y</v>
      </c>
      <c r="C1904" t="str">
        <f>IF(ISERROR(VLOOKUP(E1904, BibleInEveryLanguageTexts!A:A, 1, FALSE)), "N", "Y")</f>
        <v>N</v>
      </c>
      <c r="D1904" t="str">
        <f t="shared" si="58"/>
        <v/>
      </c>
      <c r="E1904" t="s">
        <v>6469</v>
      </c>
      <c r="F1904" t="s">
        <v>6470</v>
      </c>
      <c r="G1904" t="s">
        <v>48</v>
      </c>
      <c r="H1904" t="s">
        <v>9048</v>
      </c>
      <c r="I1904" t="s">
        <v>2512</v>
      </c>
      <c r="J1904" t="str">
        <f>IF(0 = IFERROR(VLOOKUP(DBL_FullList!I1904, ContactsDbl!B:D, 2, FALSE), ""), "", IFERROR(VLOOKUP(DBL_FullList!I1904, ContactsDbl!B:D, 2, FALSE), ""))</f>
        <v/>
      </c>
      <c r="K1904" t="str">
        <f>IF(0 = IFERROR(VLOOKUP(DBL_FullList!I1904,ContactsDbl!B:D, 3, FALSE), ""), "", IFERROR(VLOOKUP(DBL_FullList!I1904, ContactsDbl!B:D, 3, FALSE), ""))</f>
        <v/>
      </c>
      <c r="L1904">
        <f t="shared" si="59"/>
        <v>0</v>
      </c>
    </row>
    <row r="1905" spans="1:12" x14ac:dyDescent="0.25">
      <c r="A1905" t="s">
        <v>500</v>
      </c>
      <c r="B1905" t="str">
        <f>IF(ISERROR(VLOOKUP(F1905,STEP!A:A, 1, FALSE)), "N", "Y")</f>
        <v>N</v>
      </c>
      <c r="C1905" t="str">
        <f>IF(ISERROR(VLOOKUP(E1905, BibleInEveryLanguageTexts!A:A, 1, FALSE)), "N", "Y")</f>
        <v>N</v>
      </c>
      <c r="D1905" t="str">
        <f t="shared" si="58"/>
        <v>X</v>
      </c>
      <c r="E1905" t="s">
        <v>499</v>
      </c>
      <c r="F1905" t="s">
        <v>498</v>
      </c>
      <c r="G1905" t="s">
        <v>171</v>
      </c>
      <c r="H1905" t="s">
        <v>497</v>
      </c>
      <c r="I1905" t="s">
        <v>2640</v>
      </c>
      <c r="J1905" t="str">
        <f>IF(0 = IFERROR(VLOOKUP(DBL_FullList!I1905, ContactsDbl!B:D, 2, FALSE), ""), "", IFERROR(VLOOKUP(DBL_FullList!I1905, ContactsDbl!B:D, 2, FALSE), ""))</f>
        <v>admin-us@twftw.org</v>
      </c>
      <c r="K1905" t="str">
        <f>IF(0 = IFERROR(VLOOKUP(DBL_FullList!I1905,ContactsDbl!B:D, 3, FALSE), ""), "", IFERROR(VLOOKUP(DBL_FullList!I1905, ContactsDbl!B:D, 3, FALSE), ""))</f>
        <v>www.twftw.org</v>
      </c>
      <c r="L1905">
        <f t="shared" si="59"/>
        <v>2</v>
      </c>
    </row>
    <row r="1906" spans="1:12" x14ac:dyDescent="0.25">
      <c r="A1906" t="s">
        <v>9049</v>
      </c>
      <c r="B1906" t="str">
        <f>IF(ISERROR(VLOOKUP(F1906,STEP!A:A, 1, FALSE)), "N", "Y")</f>
        <v>N</v>
      </c>
      <c r="C1906" t="str">
        <f>IF(ISERROR(VLOOKUP(E1906, BibleInEveryLanguageTexts!A:A, 1, FALSE)), "N", "Y")</f>
        <v>N</v>
      </c>
      <c r="D1906" t="str">
        <f t="shared" si="58"/>
        <v>X</v>
      </c>
      <c r="E1906" t="s">
        <v>9050</v>
      </c>
      <c r="F1906" t="s">
        <v>9051</v>
      </c>
      <c r="G1906" t="s">
        <v>4050</v>
      </c>
      <c r="H1906" t="s">
        <v>9052</v>
      </c>
      <c r="I1906" t="s">
        <v>2661</v>
      </c>
      <c r="J1906" t="str">
        <f>IF(0 = IFERROR(VLOOKUP(DBL_FullList!I1906, ContactsDbl!B:D, 2, FALSE), ""), "", IFERROR(VLOOKUP(DBL_FullList!I1906, ContactsDbl!B:D, 2, FALSE), ""))</f>
        <v>dbladmin_intl@sil.org</v>
      </c>
      <c r="K1906" t="str">
        <f>IF(0 = IFERROR(VLOOKUP(DBL_FullList!I1906,ContactsDbl!B:D, 3, FALSE), ""), "", IFERROR(VLOOKUP(DBL_FullList!I1906, ContactsDbl!B:D, 3, FALSE), ""))</f>
        <v>http://www.wycliffe.org</v>
      </c>
      <c r="L1906">
        <f t="shared" si="59"/>
        <v>2</v>
      </c>
    </row>
    <row r="1907" spans="1:12" x14ac:dyDescent="0.25">
      <c r="A1907" t="s">
        <v>9053</v>
      </c>
      <c r="B1907" t="str">
        <f>IF(ISERROR(VLOOKUP(F1907,STEP!A:A, 1, FALSE)), "N", "Y")</f>
        <v>N</v>
      </c>
      <c r="C1907" t="str">
        <f>IF(ISERROR(VLOOKUP(E1907, BibleInEveryLanguageTexts!A:A, 1, FALSE)), "N", "Y")</f>
        <v>N</v>
      </c>
      <c r="D1907" t="str">
        <f t="shared" si="58"/>
        <v>X</v>
      </c>
      <c r="E1907" t="s">
        <v>9054</v>
      </c>
      <c r="F1907" t="s">
        <v>9055</v>
      </c>
      <c r="G1907" t="s">
        <v>110</v>
      </c>
      <c r="H1907" t="s">
        <v>9056</v>
      </c>
      <c r="I1907" t="s">
        <v>2370</v>
      </c>
      <c r="J1907" t="str">
        <f>IF(0 = IFERROR(VLOOKUP(DBL_FullList!I1907, ContactsDbl!B:D, 2, FALSE), ""), "", IFERROR(VLOOKUP(DBL_FullList!I1907, ContactsDbl!B:D, 2, FALSE), ""))</f>
        <v>anwartjen@alkitab.or.id</v>
      </c>
      <c r="K1907" t="str">
        <f>IF(0 = IFERROR(VLOOKUP(DBL_FullList!I1907,ContactsDbl!B:D, 3, FALSE), ""), "", IFERROR(VLOOKUP(DBL_FullList!I1907, ContactsDbl!B:D, 3, FALSE), ""))</f>
        <v>http://www.alkitab.or.id/</v>
      </c>
      <c r="L1907">
        <f t="shared" si="59"/>
        <v>2</v>
      </c>
    </row>
    <row r="1908" spans="1:12" x14ac:dyDescent="0.25">
      <c r="A1908" t="s">
        <v>508</v>
      </c>
      <c r="B1908" t="str">
        <f>IF(ISERROR(VLOOKUP(F1908,STEP!A:A, 1, FALSE)), "N", "Y")</f>
        <v>N</v>
      </c>
      <c r="C1908" t="str">
        <f>IF(ISERROR(VLOOKUP(E1908, BibleInEveryLanguageTexts!A:A, 1, FALSE)), "N", "Y")</f>
        <v>N</v>
      </c>
      <c r="D1908" t="str">
        <f t="shared" si="58"/>
        <v>X</v>
      </c>
      <c r="E1908" t="s">
        <v>507</v>
      </c>
      <c r="F1908" t="s">
        <v>506</v>
      </c>
      <c r="G1908" t="s">
        <v>48</v>
      </c>
      <c r="H1908" t="s">
        <v>505</v>
      </c>
      <c r="I1908" t="s">
        <v>45</v>
      </c>
      <c r="J1908" t="str">
        <f>IF(0 = IFERROR(VLOOKUP(DBL_FullList!I1908, ContactsDbl!B:D, 2, FALSE), ""), "", IFERROR(VLOOKUP(DBL_FullList!I1908, ContactsDbl!B:D, 2, FALSE), ""))</f>
        <v>pbt@pbti.org</v>
      </c>
      <c r="K1908" t="str">
        <f>IF(0 = IFERROR(VLOOKUP(DBL_FullList!I1908,ContactsDbl!B:D, 3, FALSE), ""), "", IFERROR(VLOOKUP(DBL_FullList!I1908, ContactsDbl!B:D, 3, FALSE), ""))</f>
        <v>www.pioneerbible.org</v>
      </c>
      <c r="L1908">
        <f t="shared" si="59"/>
        <v>2</v>
      </c>
    </row>
    <row r="1909" spans="1:12" x14ac:dyDescent="0.25">
      <c r="A1909" t="s">
        <v>9057</v>
      </c>
      <c r="B1909" t="str">
        <f>IF(ISERROR(VLOOKUP(F1909,STEP!A:A, 1, FALSE)), "N", "Y")</f>
        <v>N</v>
      </c>
      <c r="C1909" t="str">
        <f>IF(ISERROR(VLOOKUP(E1909, BibleInEveryLanguageTexts!A:A, 1, FALSE)), "N", "Y")</f>
        <v>N</v>
      </c>
      <c r="D1909" t="str">
        <f t="shared" si="58"/>
        <v>X</v>
      </c>
      <c r="E1909" t="s">
        <v>9058</v>
      </c>
      <c r="F1909" t="s">
        <v>9059</v>
      </c>
      <c r="G1909" t="s">
        <v>5900</v>
      </c>
      <c r="H1909" t="s">
        <v>9060</v>
      </c>
      <c r="I1909" t="s">
        <v>2314</v>
      </c>
      <c r="J1909" t="str">
        <f>IF(0 = IFERROR(VLOOKUP(DBL_FullList!I1909, ContactsDbl!B:D, 2, FALSE), ""), "", IFERROR(VLOOKUP(DBL_FullList!I1909, ContactsDbl!B:D, 2, FALSE), ""))</f>
        <v>info@ibt.org.ru</v>
      </c>
      <c r="K1909" t="str">
        <f>IF(0 = IFERROR(VLOOKUP(DBL_FullList!I1909,ContactsDbl!B:D, 3, FALSE), ""), "", IFERROR(VLOOKUP(DBL_FullList!I1909, ContactsDbl!B:D, 3, FALSE), ""))</f>
        <v>https://ibtrussia.org</v>
      </c>
      <c r="L1909">
        <f t="shared" si="59"/>
        <v>2</v>
      </c>
    </row>
    <row r="1910" spans="1:12" x14ac:dyDescent="0.25">
      <c r="A1910" t="s">
        <v>9061</v>
      </c>
      <c r="B1910" t="str">
        <f>IF(ISERROR(VLOOKUP(F1910,STEP!A:A, 1, FALSE)), "N", "Y")</f>
        <v>N</v>
      </c>
      <c r="C1910" t="str">
        <f>IF(ISERROR(VLOOKUP(E1910, BibleInEveryLanguageTexts!A:A, 1, FALSE)), "N", "Y")</f>
        <v>N</v>
      </c>
      <c r="D1910" t="str">
        <f t="shared" si="58"/>
        <v>X</v>
      </c>
      <c r="E1910" t="s">
        <v>8391</v>
      </c>
      <c r="F1910" t="s">
        <v>5590</v>
      </c>
      <c r="G1910" t="s">
        <v>5239</v>
      </c>
      <c r="H1910" t="s">
        <v>9062</v>
      </c>
      <c r="I1910" t="s">
        <v>2487</v>
      </c>
      <c r="J1910" t="str">
        <f>IF(0 = IFERROR(VLOOKUP(DBL_FullList!I1910, ContactsDbl!B:D, 2, FALSE), ""), "", IFERROR(VLOOKUP(DBL_FullList!I1910, ContactsDbl!B:D, 2, FALSE), ""))</f>
        <v/>
      </c>
      <c r="K1910" t="str">
        <f>IF(0 = IFERROR(VLOOKUP(DBL_FullList!I1910,ContactsDbl!B:D, 3, FALSE), ""), "", IFERROR(VLOOKUP(DBL_FullList!I1910, ContactsDbl!B:D, 3, FALSE), ""))</f>
        <v>http://www.bibelselskapet.no/</v>
      </c>
      <c r="L1910">
        <f t="shared" si="59"/>
        <v>1</v>
      </c>
    </row>
    <row r="1911" spans="1:12" x14ac:dyDescent="0.25">
      <c r="A1911" t="s">
        <v>9063</v>
      </c>
      <c r="B1911" t="str">
        <f>IF(ISERROR(VLOOKUP(F1911,STEP!A:A, 1, FALSE)), "N", "Y")</f>
        <v>N</v>
      </c>
      <c r="C1911" t="str">
        <f>IF(ISERROR(VLOOKUP(E1911, BibleInEveryLanguageTexts!A:A, 1, FALSE)), "N", "Y")</f>
        <v>N</v>
      </c>
      <c r="D1911" t="str">
        <f t="shared" si="58"/>
        <v>X</v>
      </c>
      <c r="E1911" t="s">
        <v>9064</v>
      </c>
      <c r="F1911" t="s">
        <v>9065</v>
      </c>
      <c r="G1911" t="s">
        <v>110</v>
      </c>
      <c r="H1911" t="s">
        <v>9066</v>
      </c>
      <c r="I1911" t="s">
        <v>2370</v>
      </c>
      <c r="J1911" t="str">
        <f>IF(0 = IFERROR(VLOOKUP(DBL_FullList!I1911, ContactsDbl!B:D, 2, FALSE), ""), "", IFERROR(VLOOKUP(DBL_FullList!I1911, ContactsDbl!B:D, 2, FALSE), ""))</f>
        <v>anwartjen@alkitab.or.id</v>
      </c>
      <c r="K1911" t="str">
        <f>IF(0 = IFERROR(VLOOKUP(DBL_FullList!I1911,ContactsDbl!B:D, 3, FALSE), ""), "", IFERROR(VLOOKUP(DBL_FullList!I1911, ContactsDbl!B:D, 3, FALSE), ""))</f>
        <v>http://www.alkitab.or.id/</v>
      </c>
      <c r="L1911">
        <f t="shared" si="59"/>
        <v>2</v>
      </c>
    </row>
    <row r="1912" spans="1:12" x14ac:dyDescent="0.25">
      <c r="A1912" t="s">
        <v>9067</v>
      </c>
      <c r="B1912" t="str">
        <f>IF(ISERROR(VLOOKUP(F1912,STEP!A:A, 1, FALSE)), "N", "Y")</f>
        <v>N</v>
      </c>
      <c r="C1912" t="str">
        <f>IF(ISERROR(VLOOKUP(E1912, BibleInEveryLanguageTexts!A:A, 1, FALSE)), "N", "Y")</f>
        <v>N</v>
      </c>
      <c r="D1912" t="str">
        <f t="shared" si="58"/>
        <v>X</v>
      </c>
      <c r="E1912" t="s">
        <v>9068</v>
      </c>
      <c r="F1912" t="s">
        <v>9069</v>
      </c>
      <c r="G1912" t="s">
        <v>4050</v>
      </c>
      <c r="H1912" t="s">
        <v>9070</v>
      </c>
      <c r="I1912" t="s">
        <v>2661</v>
      </c>
      <c r="J1912" t="str">
        <f>IF(0 = IFERROR(VLOOKUP(DBL_FullList!I1912, ContactsDbl!B:D, 2, FALSE), ""), "", IFERROR(VLOOKUP(DBL_FullList!I1912, ContactsDbl!B:D, 2, FALSE), ""))</f>
        <v>dbladmin_intl@sil.org</v>
      </c>
      <c r="K1912" t="str">
        <f>IF(0 = IFERROR(VLOOKUP(DBL_FullList!I1912,ContactsDbl!B:D, 3, FALSE), ""), "", IFERROR(VLOOKUP(DBL_FullList!I1912, ContactsDbl!B:D, 3, FALSE), ""))</f>
        <v>http://www.wycliffe.org</v>
      </c>
      <c r="L1912">
        <f t="shared" si="59"/>
        <v>2</v>
      </c>
    </row>
    <row r="1913" spans="1:12" x14ac:dyDescent="0.25">
      <c r="A1913" t="s">
        <v>9071</v>
      </c>
      <c r="B1913" t="str">
        <f>IF(ISERROR(VLOOKUP(F1913,STEP!A:A, 1, FALSE)), "N", "Y")</f>
        <v>N</v>
      </c>
      <c r="C1913" t="str">
        <f>IF(ISERROR(VLOOKUP(E1913, BibleInEveryLanguageTexts!A:A, 1, FALSE)), "N", "Y")</f>
        <v>Y</v>
      </c>
      <c r="D1913" t="str">
        <f t="shared" si="58"/>
        <v/>
      </c>
      <c r="E1913" t="s">
        <v>78</v>
      </c>
      <c r="F1913" t="s">
        <v>76</v>
      </c>
      <c r="G1913" t="s">
        <v>77</v>
      </c>
      <c r="H1913" t="s">
        <v>9072</v>
      </c>
      <c r="I1913" t="s">
        <v>1997</v>
      </c>
      <c r="J1913" t="str">
        <f>IF(0 = IFERROR(VLOOKUP(DBL_FullList!I1913, ContactsDbl!B:D, 2, FALSE), ""), "", IFERROR(VLOOKUP(DBL_FullList!I1913, ContactsDbl!B:D, 2, FALSE), ""))</f>
        <v>Lee.Harris@biblica.com</v>
      </c>
      <c r="K1913" t="str">
        <f>IF(0 = IFERROR(VLOOKUP(DBL_FullList!I1913,ContactsDbl!B:D, 3, FALSE), ""), "", IFERROR(VLOOKUP(DBL_FullList!I1913, ContactsDbl!B:D, 3, FALSE), ""))</f>
        <v>http://www.Biblica.com</v>
      </c>
      <c r="L1913">
        <f t="shared" si="59"/>
        <v>2</v>
      </c>
    </row>
    <row r="1914" spans="1:12" x14ac:dyDescent="0.25">
      <c r="A1914" t="s">
        <v>9073</v>
      </c>
      <c r="B1914" t="str">
        <f>IF(ISERROR(VLOOKUP(F1914,STEP!A:A, 1, FALSE)), "N", "Y")</f>
        <v>N</v>
      </c>
      <c r="C1914" t="str">
        <f>IF(ISERROR(VLOOKUP(E1914, BibleInEveryLanguageTexts!A:A, 1, FALSE)), "N", "Y")</f>
        <v>N</v>
      </c>
      <c r="D1914" t="str">
        <f t="shared" si="58"/>
        <v>X</v>
      </c>
      <c r="E1914" t="s">
        <v>8169</v>
      </c>
      <c r="F1914" t="s">
        <v>8170</v>
      </c>
      <c r="G1914" t="s">
        <v>4050</v>
      </c>
      <c r="H1914" t="s">
        <v>9074</v>
      </c>
      <c r="I1914" t="s">
        <v>2661</v>
      </c>
      <c r="J1914" t="str">
        <f>IF(0 = IFERROR(VLOOKUP(DBL_FullList!I1914, ContactsDbl!B:D, 2, FALSE), ""), "", IFERROR(VLOOKUP(DBL_FullList!I1914, ContactsDbl!B:D, 2, FALSE), ""))</f>
        <v>dbladmin_intl@sil.org</v>
      </c>
      <c r="K1914" t="str">
        <f>IF(0 = IFERROR(VLOOKUP(DBL_FullList!I1914,ContactsDbl!B:D, 3, FALSE), ""), "", IFERROR(VLOOKUP(DBL_FullList!I1914, ContactsDbl!B:D, 3, FALSE), ""))</f>
        <v>http://www.wycliffe.org</v>
      </c>
      <c r="L1914">
        <f t="shared" si="59"/>
        <v>2</v>
      </c>
    </row>
    <row r="1915" spans="1:12" x14ac:dyDescent="0.25">
      <c r="A1915" t="s">
        <v>9075</v>
      </c>
      <c r="B1915" t="str">
        <f>IF(ISERROR(VLOOKUP(F1915,STEP!A:A, 1, FALSE)), "N", "Y")</f>
        <v>N</v>
      </c>
      <c r="C1915" t="str">
        <f>IF(ISERROR(VLOOKUP(E1915, BibleInEveryLanguageTexts!A:A, 1, FALSE)), "N", "Y")</f>
        <v>N</v>
      </c>
      <c r="D1915" t="str">
        <f t="shared" si="58"/>
        <v>X</v>
      </c>
      <c r="E1915" t="s">
        <v>9076</v>
      </c>
      <c r="F1915" t="s">
        <v>9077</v>
      </c>
      <c r="G1915" t="s">
        <v>4050</v>
      </c>
      <c r="H1915" t="s">
        <v>9078</v>
      </c>
      <c r="I1915" t="s">
        <v>2661</v>
      </c>
      <c r="J1915" t="str">
        <f>IF(0 = IFERROR(VLOOKUP(DBL_FullList!I1915, ContactsDbl!B:D, 2, FALSE), ""), "", IFERROR(VLOOKUP(DBL_FullList!I1915, ContactsDbl!B:D, 2, FALSE), ""))</f>
        <v>dbladmin_intl@sil.org</v>
      </c>
      <c r="K1915" t="str">
        <f>IF(0 = IFERROR(VLOOKUP(DBL_FullList!I1915,ContactsDbl!B:D, 3, FALSE), ""), "", IFERROR(VLOOKUP(DBL_FullList!I1915, ContactsDbl!B:D, 3, FALSE), ""))</f>
        <v>http://www.wycliffe.org</v>
      </c>
      <c r="L1915">
        <f t="shared" si="59"/>
        <v>2</v>
      </c>
    </row>
    <row r="1916" spans="1:12" x14ac:dyDescent="0.25">
      <c r="A1916" t="s">
        <v>531</v>
      </c>
      <c r="B1916" t="str">
        <f>IF(ISERROR(VLOOKUP(F1916,STEP!A:A, 1, FALSE)), "N", "Y")</f>
        <v>N</v>
      </c>
      <c r="C1916" t="str">
        <f>IF(ISERROR(VLOOKUP(E1916, BibleInEveryLanguageTexts!A:A, 1, FALSE)), "N", "Y")</f>
        <v>N</v>
      </c>
      <c r="D1916" t="str">
        <f t="shared" si="58"/>
        <v>X</v>
      </c>
      <c r="E1916" t="s">
        <v>530</v>
      </c>
      <c r="F1916" t="s">
        <v>529</v>
      </c>
      <c r="G1916" t="s">
        <v>139</v>
      </c>
      <c r="H1916" t="s">
        <v>527</v>
      </c>
      <c r="I1916" t="s">
        <v>2640</v>
      </c>
      <c r="J1916" t="str">
        <f>IF(0 = IFERROR(VLOOKUP(DBL_FullList!I1916, ContactsDbl!B:D, 2, FALSE), ""), "", IFERROR(VLOOKUP(DBL_FullList!I1916, ContactsDbl!B:D, 2, FALSE), ""))</f>
        <v>admin-us@twftw.org</v>
      </c>
      <c r="K1916" t="str">
        <f>IF(0 = IFERROR(VLOOKUP(DBL_FullList!I1916,ContactsDbl!B:D, 3, FALSE), ""), "", IFERROR(VLOOKUP(DBL_FullList!I1916, ContactsDbl!B:D, 3, FALSE), ""))</f>
        <v>www.twftw.org</v>
      </c>
      <c r="L1916">
        <f t="shared" si="59"/>
        <v>2</v>
      </c>
    </row>
    <row r="1917" spans="1:12" x14ac:dyDescent="0.25">
      <c r="A1917" t="s">
        <v>9079</v>
      </c>
      <c r="B1917" t="str">
        <f>IF(ISERROR(VLOOKUP(F1917,STEP!A:A, 1, FALSE)), "N", "Y")</f>
        <v>N</v>
      </c>
      <c r="C1917" t="str">
        <f>IF(ISERROR(VLOOKUP(E1917, BibleInEveryLanguageTexts!A:A, 1, FALSE)), "N", "Y")</f>
        <v>Y</v>
      </c>
      <c r="D1917" t="str">
        <f t="shared" si="58"/>
        <v/>
      </c>
      <c r="E1917" t="s">
        <v>12</v>
      </c>
      <c r="F1917" t="s">
        <v>10</v>
      </c>
      <c r="G1917" t="s">
        <v>11</v>
      </c>
      <c r="H1917" t="s">
        <v>9080</v>
      </c>
      <c r="I1917" t="s">
        <v>2154</v>
      </c>
      <c r="J1917" t="str">
        <f>IF(0 = IFERROR(VLOOKUP(DBL_FullList!I1917, ContactsDbl!B:D, 2, FALSE), ""), "", IFERROR(VLOOKUP(DBL_FullList!I1917, ContactsDbl!B:D, 2, FALSE), ""))</f>
        <v>rjahns.crossway.org</v>
      </c>
      <c r="K1917" t="str">
        <f>IF(0 = IFERROR(VLOOKUP(DBL_FullList!I1917,ContactsDbl!B:D, 3, FALSE), ""), "", IFERROR(VLOOKUP(DBL_FullList!I1917, ContactsDbl!B:D, 3, FALSE), ""))</f>
        <v>http://www.crossway.org</v>
      </c>
      <c r="L1917">
        <f t="shared" si="59"/>
        <v>2</v>
      </c>
    </row>
    <row r="1918" spans="1:12" x14ac:dyDescent="0.25">
      <c r="A1918" t="s">
        <v>9081</v>
      </c>
      <c r="B1918" t="str">
        <f>IF(ISERROR(VLOOKUP(F1918,STEP!A:A, 1, FALSE)), "N", "Y")</f>
        <v>N</v>
      </c>
      <c r="C1918" t="str">
        <f>IF(ISERROR(VLOOKUP(E1918, BibleInEveryLanguageTexts!A:A, 1, FALSE)), "N", "Y")</f>
        <v>N</v>
      </c>
      <c r="D1918" t="str">
        <f t="shared" si="58"/>
        <v>X</v>
      </c>
      <c r="E1918" t="s">
        <v>9082</v>
      </c>
      <c r="F1918" t="s">
        <v>9083</v>
      </c>
      <c r="G1918" t="s">
        <v>4050</v>
      </c>
      <c r="H1918" t="s">
        <v>9084</v>
      </c>
      <c r="I1918" t="s">
        <v>2661</v>
      </c>
      <c r="J1918" t="str">
        <f>IF(0 = IFERROR(VLOOKUP(DBL_FullList!I1918, ContactsDbl!B:D, 2, FALSE), ""), "", IFERROR(VLOOKUP(DBL_FullList!I1918, ContactsDbl!B:D, 2, FALSE), ""))</f>
        <v>dbladmin_intl@sil.org</v>
      </c>
      <c r="K1918" t="str">
        <f>IF(0 = IFERROR(VLOOKUP(DBL_FullList!I1918,ContactsDbl!B:D, 3, FALSE), ""), "", IFERROR(VLOOKUP(DBL_FullList!I1918, ContactsDbl!B:D, 3, FALSE), ""))</f>
        <v>http://www.wycliffe.org</v>
      </c>
      <c r="L1918">
        <f t="shared" si="59"/>
        <v>2</v>
      </c>
    </row>
    <row r="1919" spans="1:12" x14ac:dyDescent="0.25">
      <c r="A1919" t="s">
        <v>9085</v>
      </c>
      <c r="B1919" t="str">
        <f>IF(ISERROR(VLOOKUP(F1919,STEP!A:A, 1, FALSE)), "N", "Y")</f>
        <v>N</v>
      </c>
      <c r="C1919" t="str">
        <f>IF(ISERROR(VLOOKUP(E1919, BibleInEveryLanguageTexts!A:A, 1, FALSE)), "N", "Y")</f>
        <v>N</v>
      </c>
      <c r="D1919" t="str">
        <f t="shared" si="58"/>
        <v>X</v>
      </c>
      <c r="E1919" t="s">
        <v>9086</v>
      </c>
      <c r="F1919" t="s">
        <v>9087</v>
      </c>
      <c r="G1919" t="s">
        <v>2858</v>
      </c>
      <c r="H1919" t="s">
        <v>9088</v>
      </c>
      <c r="I1919" t="s">
        <v>2661</v>
      </c>
      <c r="J1919" t="str">
        <f>IF(0 = IFERROR(VLOOKUP(DBL_FullList!I1919, ContactsDbl!B:D, 2, FALSE), ""), "", IFERROR(VLOOKUP(DBL_FullList!I1919, ContactsDbl!B:D, 2, FALSE), ""))</f>
        <v>dbladmin_intl@sil.org</v>
      </c>
      <c r="K1919" t="str">
        <f>IF(0 = IFERROR(VLOOKUP(DBL_FullList!I1919,ContactsDbl!B:D, 3, FALSE), ""), "", IFERROR(VLOOKUP(DBL_FullList!I1919, ContactsDbl!B:D, 3, FALSE), ""))</f>
        <v>http://www.wycliffe.org</v>
      </c>
      <c r="L1919">
        <f t="shared" si="59"/>
        <v>2</v>
      </c>
    </row>
    <row r="1920" spans="1:12" x14ac:dyDescent="0.25">
      <c r="A1920" t="s">
        <v>9089</v>
      </c>
      <c r="B1920" t="str">
        <f>IF(ISERROR(VLOOKUP(F1920,STEP!A:A, 1, FALSE)), "N", "Y")</f>
        <v>N</v>
      </c>
      <c r="C1920" t="str">
        <f>IF(ISERROR(VLOOKUP(E1920, BibleInEveryLanguageTexts!A:A, 1, FALSE)), "N", "Y")</f>
        <v>N</v>
      </c>
      <c r="D1920" t="str">
        <f t="shared" si="58"/>
        <v>X</v>
      </c>
      <c r="E1920" t="s">
        <v>9090</v>
      </c>
      <c r="F1920" t="s">
        <v>9091</v>
      </c>
      <c r="G1920" t="s">
        <v>3221</v>
      </c>
      <c r="H1920" t="s">
        <v>9092</v>
      </c>
      <c r="I1920" t="s">
        <v>2473</v>
      </c>
      <c r="J1920" t="str">
        <f>IF(0 = IFERROR(VLOOKUP(DBL_FullList!I1920, ContactsDbl!B:D, 2, FALSE), ""), "", IFERROR(VLOOKUP(DBL_FullList!I1920, ContactsDbl!B:D, 2, FALSE), ""))</f>
        <v/>
      </c>
      <c r="K1920" t="str">
        <f>IF(0 = IFERROR(VLOOKUP(DBL_FullList!I1920,ContactsDbl!B:D, 3, FALSE), ""), "", IFERROR(VLOOKUP(DBL_FullList!I1920, ContactsDbl!B:D, 3, FALSE), ""))</f>
        <v>www.nepalbiblesociety.org</v>
      </c>
      <c r="L1920">
        <f t="shared" si="59"/>
        <v>1</v>
      </c>
    </row>
    <row r="1921" spans="1:12" x14ac:dyDescent="0.25">
      <c r="A1921" t="s">
        <v>9093</v>
      </c>
      <c r="B1921" t="str">
        <f>IF(ISERROR(VLOOKUP(F1921,STEP!A:A, 1, FALSE)), "N", "Y")</f>
        <v>N</v>
      </c>
      <c r="C1921" t="str">
        <f>IF(ISERROR(VLOOKUP(E1921, BibleInEveryLanguageTexts!A:A, 1, FALSE)), "N", "Y")</f>
        <v>N</v>
      </c>
      <c r="D1921" t="str">
        <f t="shared" si="58"/>
        <v>X</v>
      </c>
      <c r="E1921" t="s">
        <v>8889</v>
      </c>
      <c r="F1921" t="s">
        <v>8890</v>
      </c>
      <c r="G1921" t="s">
        <v>2756</v>
      </c>
      <c r="H1921" t="s">
        <v>9094</v>
      </c>
      <c r="I1921" t="s">
        <v>2126</v>
      </c>
      <c r="J1921" t="str">
        <f>IF(0 = IFERROR(VLOOKUP(DBL_FullList!I1921, ContactsDbl!B:D, 2, FALSE), ""), "", IFERROR(VLOOKUP(DBL_FullList!I1921, ContactsDbl!B:D, 2, FALSE), ""))</f>
        <v>gluke@biblesocieties.org</v>
      </c>
      <c r="K1921" t="str">
        <f>IF(0 = IFERROR(VLOOKUP(DBL_FullList!I1921,ContactsDbl!B:D, 3, FALSE), ""), "", IFERROR(VLOOKUP(DBL_FullList!I1921, ContactsDbl!B:D, 3, FALSE), ""))</f>
        <v>http://www.biblesociety-cameroon.org/</v>
      </c>
      <c r="L1921">
        <f t="shared" si="59"/>
        <v>2</v>
      </c>
    </row>
    <row r="1922" spans="1:12" x14ac:dyDescent="0.25">
      <c r="A1922" t="s">
        <v>9095</v>
      </c>
      <c r="B1922" t="str">
        <f>IF(ISERROR(VLOOKUP(F1922,STEP!A:A, 1, FALSE)), "N", "Y")</f>
        <v>N</v>
      </c>
      <c r="C1922" t="str">
        <f>IF(ISERROR(VLOOKUP(E1922, BibleInEveryLanguageTexts!A:A, 1, FALSE)), "N", "Y")</f>
        <v>N</v>
      </c>
      <c r="D1922" t="str">
        <f t="shared" si="58"/>
        <v>X</v>
      </c>
      <c r="E1922" t="s">
        <v>9096</v>
      </c>
      <c r="F1922" t="s">
        <v>9097</v>
      </c>
      <c r="G1922" t="s">
        <v>4050</v>
      </c>
      <c r="H1922" t="s">
        <v>9098</v>
      </c>
      <c r="I1922" t="s">
        <v>2661</v>
      </c>
      <c r="J1922" t="str">
        <f>IF(0 = IFERROR(VLOOKUP(DBL_FullList!I1922, ContactsDbl!B:D, 2, FALSE), ""), "", IFERROR(VLOOKUP(DBL_FullList!I1922, ContactsDbl!B:D, 2, FALSE), ""))</f>
        <v>dbladmin_intl@sil.org</v>
      </c>
      <c r="K1922" t="str">
        <f>IF(0 = IFERROR(VLOOKUP(DBL_FullList!I1922,ContactsDbl!B:D, 3, FALSE), ""), "", IFERROR(VLOOKUP(DBL_FullList!I1922, ContactsDbl!B:D, 3, FALSE), ""))</f>
        <v>http://www.wycliffe.org</v>
      </c>
      <c r="L1922">
        <f t="shared" si="59"/>
        <v>2</v>
      </c>
    </row>
    <row r="1923" spans="1:12" x14ac:dyDescent="0.25">
      <c r="A1923" t="s">
        <v>9099</v>
      </c>
      <c r="B1923" t="str">
        <f>IF(ISERROR(VLOOKUP(F1923,STEP!A:A, 1, FALSE)), "N", "Y")</f>
        <v>N</v>
      </c>
      <c r="C1923" t="str">
        <f>IF(ISERROR(VLOOKUP(E1923, BibleInEveryLanguageTexts!A:A, 1, FALSE)), "N", "Y")</f>
        <v>N</v>
      </c>
      <c r="D1923" t="str">
        <f t="shared" ref="D1923:D1986" si="60">IF(AND("N" = B1923, "N" = C1923), "X", "")</f>
        <v>X</v>
      </c>
      <c r="E1923" t="s">
        <v>9100</v>
      </c>
      <c r="F1923" t="s">
        <v>9101</v>
      </c>
      <c r="G1923" t="s">
        <v>2858</v>
      </c>
      <c r="H1923" t="s">
        <v>9102</v>
      </c>
      <c r="I1923" t="s">
        <v>2661</v>
      </c>
      <c r="J1923" t="str">
        <f>IF(0 = IFERROR(VLOOKUP(DBL_FullList!I1923, ContactsDbl!B:D, 2, FALSE), ""), "", IFERROR(VLOOKUP(DBL_FullList!I1923, ContactsDbl!B:D, 2, FALSE), ""))</f>
        <v>dbladmin_intl@sil.org</v>
      </c>
      <c r="K1923" t="str">
        <f>IF(0 = IFERROR(VLOOKUP(DBL_FullList!I1923,ContactsDbl!B:D, 3, FALSE), ""), "", IFERROR(VLOOKUP(DBL_FullList!I1923, ContactsDbl!B:D, 3, FALSE), ""))</f>
        <v>http://www.wycliffe.org</v>
      </c>
      <c r="L1923">
        <f t="shared" ref="L1923:L1986" si="61">IF("" &lt;&gt; J1923, 2, IF("" &lt;&gt; K1923, 1, 0))</f>
        <v>2</v>
      </c>
    </row>
    <row r="1924" spans="1:12" x14ac:dyDescent="0.25">
      <c r="A1924" t="s">
        <v>9103</v>
      </c>
      <c r="B1924" t="str">
        <f>IF(ISERROR(VLOOKUP(F1924,STEP!A:A, 1, FALSE)), "N", "Y")</f>
        <v>N</v>
      </c>
      <c r="C1924" t="str">
        <f>IF(ISERROR(VLOOKUP(E1924, BibleInEveryLanguageTexts!A:A, 1, FALSE)), "N", "Y")</f>
        <v>N</v>
      </c>
      <c r="D1924" t="str">
        <f t="shared" si="60"/>
        <v>X</v>
      </c>
      <c r="E1924" t="s">
        <v>9104</v>
      </c>
      <c r="F1924" t="s">
        <v>9105</v>
      </c>
      <c r="G1924" t="s">
        <v>2723</v>
      </c>
      <c r="H1924" t="s">
        <v>9106</v>
      </c>
      <c r="I1924" t="s">
        <v>2661</v>
      </c>
      <c r="J1924" t="str">
        <f>IF(0 = IFERROR(VLOOKUP(DBL_FullList!I1924, ContactsDbl!B:D, 2, FALSE), ""), "", IFERROR(VLOOKUP(DBL_FullList!I1924, ContactsDbl!B:D, 2, FALSE), ""))</f>
        <v>dbladmin_intl@sil.org</v>
      </c>
      <c r="K1924" t="str">
        <f>IF(0 = IFERROR(VLOOKUP(DBL_FullList!I1924,ContactsDbl!B:D, 3, FALSE), ""), "", IFERROR(VLOOKUP(DBL_FullList!I1924, ContactsDbl!B:D, 3, FALSE), ""))</f>
        <v>http://www.wycliffe.org</v>
      </c>
      <c r="L1924">
        <f t="shared" si="61"/>
        <v>2</v>
      </c>
    </row>
    <row r="1925" spans="1:12" x14ac:dyDescent="0.25">
      <c r="A1925" t="s">
        <v>9107</v>
      </c>
      <c r="B1925" t="str">
        <f>IF(ISERROR(VLOOKUP(F1925,STEP!A:A, 1, FALSE)), "N", "Y")</f>
        <v>N</v>
      </c>
      <c r="C1925" t="str">
        <f>IF(ISERROR(VLOOKUP(E1925, BibleInEveryLanguageTexts!A:A, 1, FALSE)), "N", "Y")</f>
        <v>N</v>
      </c>
      <c r="D1925" t="str">
        <f t="shared" si="60"/>
        <v>X</v>
      </c>
      <c r="E1925" t="s">
        <v>9108</v>
      </c>
      <c r="F1925" t="s">
        <v>9109</v>
      </c>
      <c r="G1925" t="s">
        <v>4050</v>
      </c>
      <c r="H1925" t="s">
        <v>9110</v>
      </c>
      <c r="I1925" t="s">
        <v>2661</v>
      </c>
      <c r="J1925" t="str">
        <f>IF(0 = IFERROR(VLOOKUP(DBL_FullList!I1925, ContactsDbl!B:D, 2, FALSE), ""), "", IFERROR(VLOOKUP(DBL_FullList!I1925, ContactsDbl!B:D, 2, FALSE), ""))</f>
        <v>dbladmin_intl@sil.org</v>
      </c>
      <c r="K1925" t="str">
        <f>IF(0 = IFERROR(VLOOKUP(DBL_FullList!I1925,ContactsDbl!B:D, 3, FALSE), ""), "", IFERROR(VLOOKUP(DBL_FullList!I1925, ContactsDbl!B:D, 3, FALSE), ""))</f>
        <v>http://www.wycliffe.org</v>
      </c>
      <c r="L1925">
        <f t="shared" si="61"/>
        <v>2</v>
      </c>
    </row>
    <row r="1926" spans="1:12" x14ac:dyDescent="0.25">
      <c r="A1926" t="s">
        <v>9111</v>
      </c>
      <c r="B1926" t="str">
        <f>IF(ISERROR(VLOOKUP(F1926,STEP!A:A, 1, FALSE)), "N", "Y")</f>
        <v>N</v>
      </c>
      <c r="C1926" t="str">
        <f>IF(ISERROR(VLOOKUP(E1926, BibleInEveryLanguageTexts!A:A, 1, FALSE)), "N", "Y")</f>
        <v>N</v>
      </c>
      <c r="D1926" t="str">
        <f t="shared" si="60"/>
        <v>X</v>
      </c>
      <c r="E1926" t="s">
        <v>9112</v>
      </c>
      <c r="F1926" t="s">
        <v>9113</v>
      </c>
      <c r="G1926" t="s">
        <v>4050</v>
      </c>
      <c r="H1926" t="s">
        <v>9114</v>
      </c>
      <c r="I1926" t="s">
        <v>2661</v>
      </c>
      <c r="J1926" t="str">
        <f>IF(0 = IFERROR(VLOOKUP(DBL_FullList!I1926, ContactsDbl!B:D, 2, FALSE), ""), "", IFERROR(VLOOKUP(DBL_FullList!I1926, ContactsDbl!B:D, 2, FALSE), ""))</f>
        <v>dbladmin_intl@sil.org</v>
      </c>
      <c r="K1926" t="str">
        <f>IF(0 = IFERROR(VLOOKUP(DBL_FullList!I1926,ContactsDbl!B:D, 3, FALSE), ""), "", IFERROR(VLOOKUP(DBL_FullList!I1926, ContactsDbl!B:D, 3, FALSE), ""))</f>
        <v>http://www.wycliffe.org</v>
      </c>
      <c r="L1926">
        <f t="shared" si="61"/>
        <v>2</v>
      </c>
    </row>
    <row r="1927" spans="1:12" x14ac:dyDescent="0.25">
      <c r="A1927" t="s">
        <v>9115</v>
      </c>
      <c r="B1927" t="str">
        <f>IF(ISERROR(VLOOKUP(F1927,STEP!A:A, 1, FALSE)), "N", "Y")</f>
        <v>N</v>
      </c>
      <c r="C1927" t="str">
        <f>IF(ISERROR(VLOOKUP(E1927, BibleInEveryLanguageTexts!A:A, 1, FALSE)), "N", "Y")</f>
        <v>N</v>
      </c>
      <c r="D1927" t="str">
        <f t="shared" si="60"/>
        <v>X</v>
      </c>
      <c r="E1927" t="s">
        <v>9116</v>
      </c>
      <c r="F1927" t="s">
        <v>9117</v>
      </c>
      <c r="G1927" t="s">
        <v>2858</v>
      </c>
      <c r="H1927" t="s">
        <v>9118</v>
      </c>
      <c r="I1927" t="s">
        <v>2661</v>
      </c>
      <c r="J1927" t="str">
        <f>IF(0 = IFERROR(VLOOKUP(DBL_FullList!I1927, ContactsDbl!B:D, 2, FALSE), ""), "", IFERROR(VLOOKUP(DBL_FullList!I1927, ContactsDbl!B:D, 2, FALSE), ""))</f>
        <v>dbladmin_intl@sil.org</v>
      </c>
      <c r="K1927" t="str">
        <f>IF(0 = IFERROR(VLOOKUP(DBL_FullList!I1927,ContactsDbl!B:D, 3, FALSE), ""), "", IFERROR(VLOOKUP(DBL_FullList!I1927, ContactsDbl!B:D, 3, FALSE), ""))</f>
        <v>http://www.wycliffe.org</v>
      </c>
      <c r="L1927">
        <f t="shared" si="61"/>
        <v>2</v>
      </c>
    </row>
    <row r="1928" spans="1:12" x14ac:dyDescent="0.25">
      <c r="A1928" t="s">
        <v>9119</v>
      </c>
      <c r="B1928" t="str">
        <f>IF(ISERROR(VLOOKUP(F1928,STEP!A:A, 1, FALSE)), "N", "Y")</f>
        <v>N</v>
      </c>
      <c r="C1928" t="str">
        <f>IF(ISERROR(VLOOKUP(E1928, BibleInEveryLanguageTexts!A:A, 1, FALSE)), "N", "Y")</f>
        <v>N</v>
      </c>
      <c r="D1928" t="str">
        <f t="shared" si="60"/>
        <v>X</v>
      </c>
      <c r="E1928" t="s">
        <v>8034</v>
      </c>
      <c r="F1928" t="s">
        <v>8035</v>
      </c>
      <c r="G1928" t="s">
        <v>8587</v>
      </c>
      <c r="H1928" t="s">
        <v>9120</v>
      </c>
      <c r="I1928" t="s">
        <v>2080</v>
      </c>
      <c r="J1928" t="str">
        <f>IF(0 = IFERROR(VLOOKUP(DBL_FullList!I1928, ContactsDbl!B:D, 2, FALSE), ""), "", IFERROR(VLOOKUP(DBL_FullList!I1928, ContactsDbl!B:D, 2, FALSE), ""))</f>
        <v>dbl@biblesocieties.org</v>
      </c>
      <c r="K1928" t="str">
        <f>IF(0 = IFERROR(VLOOKUP(DBL_FullList!I1928,ContactsDbl!B:D, 3, FALSE), ""), "", IFERROR(VLOOKUP(DBL_FullList!I1928, ContactsDbl!B:D, 3, FALSE), ""))</f>
        <v>http://www.biblia.ru/</v>
      </c>
      <c r="L1928">
        <f t="shared" si="61"/>
        <v>2</v>
      </c>
    </row>
    <row r="1929" spans="1:12" x14ac:dyDescent="0.25">
      <c r="A1929" t="s">
        <v>9121</v>
      </c>
      <c r="B1929" t="str">
        <f>IF(ISERROR(VLOOKUP(F1929,STEP!A:A, 1, FALSE)), "N", "Y")</f>
        <v>N</v>
      </c>
      <c r="C1929" t="str">
        <f>IF(ISERROR(VLOOKUP(E1929, BibleInEveryLanguageTexts!A:A, 1, FALSE)), "N", "Y")</f>
        <v>N</v>
      </c>
      <c r="D1929" t="str">
        <f t="shared" si="60"/>
        <v>X</v>
      </c>
      <c r="E1929" t="s">
        <v>9122</v>
      </c>
      <c r="F1929" t="s">
        <v>9123</v>
      </c>
      <c r="G1929" t="s">
        <v>4050</v>
      </c>
      <c r="H1929" t="s">
        <v>9124</v>
      </c>
      <c r="I1929" t="s">
        <v>2661</v>
      </c>
      <c r="J1929" t="str">
        <f>IF(0 = IFERROR(VLOOKUP(DBL_FullList!I1929, ContactsDbl!B:D, 2, FALSE), ""), "", IFERROR(VLOOKUP(DBL_FullList!I1929, ContactsDbl!B:D, 2, FALSE), ""))</f>
        <v>dbladmin_intl@sil.org</v>
      </c>
      <c r="K1929" t="str">
        <f>IF(0 = IFERROR(VLOOKUP(DBL_FullList!I1929,ContactsDbl!B:D, 3, FALSE), ""), "", IFERROR(VLOOKUP(DBL_FullList!I1929, ContactsDbl!B:D, 3, FALSE), ""))</f>
        <v>http://www.wycliffe.org</v>
      </c>
      <c r="L1929">
        <f t="shared" si="61"/>
        <v>2</v>
      </c>
    </row>
    <row r="1930" spans="1:12" x14ac:dyDescent="0.25">
      <c r="A1930" t="s">
        <v>9125</v>
      </c>
      <c r="B1930" t="str">
        <f>IF(ISERROR(VLOOKUP(F1930,STEP!A:A, 1, FALSE)), "N", "Y")</f>
        <v>N</v>
      </c>
      <c r="C1930" t="str">
        <f>IF(ISERROR(VLOOKUP(E1930, BibleInEveryLanguageTexts!A:A, 1, FALSE)), "N", "Y")</f>
        <v>N</v>
      </c>
      <c r="D1930" t="str">
        <f t="shared" si="60"/>
        <v>X</v>
      </c>
      <c r="E1930" t="s">
        <v>9126</v>
      </c>
      <c r="F1930" t="s">
        <v>9127</v>
      </c>
      <c r="G1930" t="s">
        <v>4050</v>
      </c>
      <c r="H1930" t="s">
        <v>9128</v>
      </c>
      <c r="I1930" t="s">
        <v>2661</v>
      </c>
      <c r="J1930" t="str">
        <f>IF(0 = IFERROR(VLOOKUP(DBL_FullList!I1930, ContactsDbl!B:D, 2, FALSE), ""), "", IFERROR(VLOOKUP(DBL_FullList!I1930, ContactsDbl!B:D, 2, FALSE), ""))</f>
        <v>dbladmin_intl@sil.org</v>
      </c>
      <c r="K1930" t="str">
        <f>IF(0 = IFERROR(VLOOKUP(DBL_FullList!I1930,ContactsDbl!B:D, 3, FALSE), ""), "", IFERROR(VLOOKUP(DBL_FullList!I1930, ContactsDbl!B:D, 3, FALSE), ""))</f>
        <v>http://www.wycliffe.org</v>
      </c>
      <c r="L1930">
        <f t="shared" si="61"/>
        <v>2</v>
      </c>
    </row>
    <row r="1931" spans="1:12" x14ac:dyDescent="0.25">
      <c r="A1931" t="s">
        <v>9129</v>
      </c>
      <c r="B1931" t="str">
        <f>IF(ISERROR(VLOOKUP(F1931,STEP!A:A, 1, FALSE)), "N", "Y")</f>
        <v>N</v>
      </c>
      <c r="C1931" t="str">
        <f>IF(ISERROR(VLOOKUP(E1931, BibleInEveryLanguageTexts!A:A, 1, FALSE)), "N", "Y")</f>
        <v>N</v>
      </c>
      <c r="D1931" t="str">
        <f t="shared" si="60"/>
        <v>X</v>
      </c>
      <c r="E1931" t="s">
        <v>9130</v>
      </c>
      <c r="F1931" t="s">
        <v>9131</v>
      </c>
      <c r="G1931" t="s">
        <v>2723</v>
      </c>
      <c r="H1931" t="s">
        <v>9132</v>
      </c>
      <c r="I1931" t="s">
        <v>2661</v>
      </c>
      <c r="J1931" t="str">
        <f>IF(0 = IFERROR(VLOOKUP(DBL_FullList!I1931, ContactsDbl!B:D, 2, FALSE), ""), "", IFERROR(VLOOKUP(DBL_FullList!I1931, ContactsDbl!B:D, 2, FALSE), ""))</f>
        <v>dbladmin_intl@sil.org</v>
      </c>
      <c r="K1931" t="str">
        <f>IF(0 = IFERROR(VLOOKUP(DBL_FullList!I1931,ContactsDbl!B:D, 3, FALSE), ""), "", IFERROR(VLOOKUP(DBL_FullList!I1931, ContactsDbl!B:D, 3, FALSE), ""))</f>
        <v>http://www.wycliffe.org</v>
      </c>
      <c r="L1931">
        <f t="shared" si="61"/>
        <v>2</v>
      </c>
    </row>
    <row r="1932" spans="1:12" x14ac:dyDescent="0.25">
      <c r="A1932" t="s">
        <v>9133</v>
      </c>
      <c r="B1932" t="str">
        <f>IF(ISERROR(VLOOKUP(F1932,STEP!A:A, 1, FALSE)), "N", "Y")</f>
        <v>N</v>
      </c>
      <c r="C1932" t="str">
        <f>IF(ISERROR(VLOOKUP(E1932, BibleInEveryLanguageTexts!A:A, 1, FALSE)), "N", "Y")</f>
        <v>N</v>
      </c>
      <c r="D1932" t="str">
        <f t="shared" si="60"/>
        <v>X</v>
      </c>
      <c r="E1932" t="s">
        <v>9134</v>
      </c>
      <c r="F1932" t="s">
        <v>4838</v>
      </c>
      <c r="G1932" t="s">
        <v>5353</v>
      </c>
      <c r="H1932" t="s">
        <v>9135</v>
      </c>
      <c r="I1932" t="s">
        <v>2139</v>
      </c>
      <c r="J1932" t="str">
        <f>IF(0 = IFERROR(VLOOKUP(DBL_FullList!I1932, ContactsDbl!B:D, 2, FALSE), ""), "", IFERROR(VLOOKUP(DBL_FullList!I1932, ContactsDbl!B:D, 2, FALSE), ""))</f>
        <v>info@sbch.cl</v>
      </c>
      <c r="K1932" t="str">
        <f>IF(0 = IFERROR(VLOOKUP(DBL_FullList!I1932,ContactsDbl!B:D, 3, FALSE), ""), "", IFERROR(VLOOKUP(DBL_FullList!I1932, ContactsDbl!B:D, 3, FALSE), ""))</f>
        <v>http://www.sbch.cl/</v>
      </c>
      <c r="L1932">
        <f t="shared" si="61"/>
        <v>2</v>
      </c>
    </row>
    <row r="1933" spans="1:12" x14ac:dyDescent="0.25">
      <c r="A1933" t="s">
        <v>9136</v>
      </c>
      <c r="B1933" t="str">
        <f>IF(ISERROR(VLOOKUP(F1933,STEP!A:A, 1, FALSE)), "N", "Y")</f>
        <v>N</v>
      </c>
      <c r="C1933" t="str">
        <f>IF(ISERROR(VLOOKUP(E1933, BibleInEveryLanguageTexts!A:A, 1, FALSE)), "N", "Y")</f>
        <v>N</v>
      </c>
      <c r="D1933" t="str">
        <f t="shared" si="60"/>
        <v>X</v>
      </c>
      <c r="E1933" t="s">
        <v>9137</v>
      </c>
      <c r="F1933" t="s">
        <v>9138</v>
      </c>
      <c r="G1933" t="s">
        <v>4050</v>
      </c>
      <c r="H1933" t="s">
        <v>9139</v>
      </c>
      <c r="I1933" t="s">
        <v>2661</v>
      </c>
      <c r="J1933" t="str">
        <f>IF(0 = IFERROR(VLOOKUP(DBL_FullList!I1933, ContactsDbl!B:D, 2, FALSE), ""), "", IFERROR(VLOOKUP(DBL_FullList!I1933, ContactsDbl!B:D, 2, FALSE), ""))</f>
        <v>dbladmin_intl@sil.org</v>
      </c>
      <c r="K1933" t="str">
        <f>IF(0 = IFERROR(VLOOKUP(DBL_FullList!I1933,ContactsDbl!B:D, 3, FALSE), ""), "", IFERROR(VLOOKUP(DBL_FullList!I1933, ContactsDbl!B:D, 3, FALSE), ""))</f>
        <v>http://www.wycliffe.org</v>
      </c>
      <c r="L1933">
        <f t="shared" si="61"/>
        <v>2</v>
      </c>
    </row>
    <row r="1934" spans="1:12" x14ac:dyDescent="0.25">
      <c r="A1934" t="s">
        <v>9140</v>
      </c>
      <c r="B1934" t="str">
        <f>IF(ISERROR(VLOOKUP(F1934,STEP!A:A, 1, FALSE)), "N", "Y")</f>
        <v>N</v>
      </c>
      <c r="C1934" t="str">
        <f>IF(ISERROR(VLOOKUP(E1934, BibleInEveryLanguageTexts!A:A, 1, FALSE)), "N", "Y")</f>
        <v>N</v>
      </c>
      <c r="D1934" t="str">
        <f t="shared" si="60"/>
        <v>X</v>
      </c>
      <c r="E1934" t="s">
        <v>9141</v>
      </c>
      <c r="F1934" t="s">
        <v>9142</v>
      </c>
      <c r="G1934" t="s">
        <v>2858</v>
      </c>
      <c r="H1934" t="s">
        <v>9143</v>
      </c>
      <c r="I1934" t="s">
        <v>2661</v>
      </c>
      <c r="J1934" t="str">
        <f>IF(0 = IFERROR(VLOOKUP(DBL_FullList!I1934, ContactsDbl!B:D, 2, FALSE), ""), "", IFERROR(VLOOKUP(DBL_FullList!I1934, ContactsDbl!B:D, 2, FALSE), ""))</f>
        <v>dbladmin_intl@sil.org</v>
      </c>
      <c r="K1934" t="str">
        <f>IF(0 = IFERROR(VLOOKUP(DBL_FullList!I1934,ContactsDbl!B:D, 3, FALSE), ""), "", IFERROR(VLOOKUP(DBL_FullList!I1934, ContactsDbl!B:D, 3, FALSE), ""))</f>
        <v>http://www.wycliffe.org</v>
      </c>
      <c r="L1934">
        <f t="shared" si="61"/>
        <v>2</v>
      </c>
    </row>
    <row r="1935" spans="1:12" x14ac:dyDescent="0.25">
      <c r="A1935" t="s">
        <v>9144</v>
      </c>
      <c r="B1935" t="str">
        <f>IF(ISERROR(VLOOKUP(F1935,STEP!A:A, 1, FALSE)), "N", "Y")</f>
        <v>N</v>
      </c>
      <c r="C1935" t="str">
        <f>IF(ISERROR(VLOOKUP(E1935, BibleInEveryLanguageTexts!A:A, 1, FALSE)), "N", "Y")</f>
        <v>N</v>
      </c>
      <c r="D1935" t="str">
        <f t="shared" si="60"/>
        <v>X</v>
      </c>
      <c r="E1935" t="s">
        <v>9145</v>
      </c>
      <c r="F1935" t="s">
        <v>9146</v>
      </c>
      <c r="G1935" t="s">
        <v>2858</v>
      </c>
      <c r="H1935" t="s">
        <v>9147</v>
      </c>
      <c r="I1935" t="s">
        <v>2661</v>
      </c>
      <c r="J1935" t="str">
        <f>IF(0 = IFERROR(VLOOKUP(DBL_FullList!I1935, ContactsDbl!B:D, 2, FALSE), ""), "", IFERROR(VLOOKUP(DBL_FullList!I1935, ContactsDbl!B:D, 2, FALSE), ""))</f>
        <v>dbladmin_intl@sil.org</v>
      </c>
      <c r="K1935" t="str">
        <f>IF(0 = IFERROR(VLOOKUP(DBL_FullList!I1935,ContactsDbl!B:D, 3, FALSE), ""), "", IFERROR(VLOOKUP(DBL_FullList!I1935, ContactsDbl!B:D, 3, FALSE), ""))</f>
        <v>http://www.wycliffe.org</v>
      </c>
      <c r="L1935">
        <f t="shared" si="61"/>
        <v>2</v>
      </c>
    </row>
    <row r="1936" spans="1:12" x14ac:dyDescent="0.25">
      <c r="A1936" t="s">
        <v>9148</v>
      </c>
      <c r="B1936" t="str">
        <f>IF(ISERROR(VLOOKUP(F1936,STEP!A:A, 1, FALSE)), "N", "Y")</f>
        <v>N</v>
      </c>
      <c r="C1936" t="str">
        <f>IF(ISERROR(VLOOKUP(E1936, BibleInEveryLanguageTexts!A:A, 1, FALSE)), "N", "Y")</f>
        <v>N</v>
      </c>
      <c r="D1936" t="str">
        <f t="shared" si="60"/>
        <v>X</v>
      </c>
      <c r="E1936" t="s">
        <v>7616</v>
      </c>
      <c r="F1936" t="s">
        <v>7617</v>
      </c>
      <c r="G1936" t="s">
        <v>5353</v>
      </c>
      <c r="H1936" t="s">
        <v>9149</v>
      </c>
      <c r="I1936" t="s">
        <v>2139</v>
      </c>
      <c r="J1936" t="str">
        <f>IF(0 = IFERROR(VLOOKUP(DBL_FullList!I1936, ContactsDbl!B:D, 2, FALSE), ""), "", IFERROR(VLOOKUP(DBL_FullList!I1936, ContactsDbl!B:D, 2, FALSE), ""))</f>
        <v>info@sbch.cl</v>
      </c>
      <c r="K1936" t="str">
        <f>IF(0 = IFERROR(VLOOKUP(DBL_FullList!I1936,ContactsDbl!B:D, 3, FALSE), ""), "", IFERROR(VLOOKUP(DBL_FullList!I1936, ContactsDbl!B:D, 3, FALSE), ""))</f>
        <v>http://www.sbch.cl/</v>
      </c>
      <c r="L1936">
        <f t="shared" si="61"/>
        <v>2</v>
      </c>
    </row>
    <row r="1937" spans="1:12" x14ac:dyDescent="0.25">
      <c r="A1937" t="s">
        <v>9150</v>
      </c>
      <c r="B1937" t="str">
        <f>IF(ISERROR(VLOOKUP(F1937,STEP!A:A, 1, FALSE)), "N", "Y")</f>
        <v>N</v>
      </c>
      <c r="C1937" t="str">
        <f>IF(ISERROR(VLOOKUP(E1937, BibleInEveryLanguageTexts!A:A, 1, FALSE)), "N", "Y")</f>
        <v>N</v>
      </c>
      <c r="D1937" t="str">
        <f t="shared" si="60"/>
        <v>X</v>
      </c>
      <c r="E1937" t="s">
        <v>5909</v>
      </c>
      <c r="F1937" t="s">
        <v>5910</v>
      </c>
      <c r="G1937" t="s">
        <v>3634</v>
      </c>
      <c r="H1937" t="s">
        <v>9151</v>
      </c>
      <c r="I1937" t="s">
        <v>2296</v>
      </c>
      <c r="J1937" t="str">
        <f>IF(0 = IFERROR(VLOOKUP(DBL_FullList!I1937, ContactsDbl!B:D, 2, FALSE), ""), "", IFERROR(VLOOKUP(DBL_FullList!I1937, ContactsDbl!B:D, 2, FALSE), ""))</f>
        <v>gjergj@biblesocieties.org</v>
      </c>
      <c r="K1937" t="str">
        <f>IF(0 = IFERROR(VLOOKUP(DBL_FullList!I1937,ContactsDbl!B:D, 3, FALSE), ""), "", IFERROR(VLOOKUP(DBL_FullList!I1937, ContactsDbl!B:D, 3, FALSE), ""))</f>
        <v>http://albanianbiblesociety.com</v>
      </c>
      <c r="L1937">
        <f t="shared" si="61"/>
        <v>2</v>
      </c>
    </row>
    <row r="1938" spans="1:12" x14ac:dyDescent="0.25">
      <c r="A1938" t="s">
        <v>9152</v>
      </c>
      <c r="B1938" t="str">
        <f>IF(ISERROR(VLOOKUP(F1938,STEP!A:A, 1, FALSE)), "N", "Y")</f>
        <v>N</v>
      </c>
      <c r="C1938" t="str">
        <f>IF(ISERROR(VLOOKUP(E1938, BibleInEveryLanguageTexts!A:A, 1, FALSE)), "N", "Y")</f>
        <v>N</v>
      </c>
      <c r="D1938" t="str">
        <f t="shared" si="60"/>
        <v>X</v>
      </c>
      <c r="E1938" t="s">
        <v>4189</v>
      </c>
      <c r="F1938" t="s">
        <v>4190</v>
      </c>
      <c r="G1938" t="s">
        <v>4191</v>
      </c>
      <c r="H1938" t="s">
        <v>9153</v>
      </c>
      <c r="I1938" t="s">
        <v>3104</v>
      </c>
      <c r="J1938" t="str">
        <f>IF(0 = IFERROR(VLOOKUP(DBL_FullList!I1938, ContactsDbl!B:D, 2, FALSE), ""), "", IFERROR(VLOOKUP(DBL_FullList!I1938, ContactsDbl!B:D, 2, FALSE), ""))</f>
        <v/>
      </c>
      <c r="K1938" t="str">
        <f>IF(0 = IFERROR(VLOOKUP(DBL_FullList!I1938,ContactsDbl!B:D, 3, FALSE), ""), "", IFERROR(VLOOKUP(DBL_FullList!I1938, ContactsDbl!B:D, 3, FALSE), ""))</f>
        <v/>
      </c>
      <c r="L1938">
        <f t="shared" si="61"/>
        <v>0</v>
      </c>
    </row>
    <row r="1939" spans="1:12" x14ac:dyDescent="0.25">
      <c r="A1939" t="s">
        <v>9154</v>
      </c>
      <c r="B1939" t="str">
        <f>IF(ISERROR(VLOOKUP(F1939,STEP!A:A, 1, FALSE)), "N", "Y")</f>
        <v>N</v>
      </c>
      <c r="C1939" t="str">
        <f>IF(ISERROR(VLOOKUP(E1939, BibleInEveryLanguageTexts!A:A, 1, FALSE)), "N", "Y")</f>
        <v>N</v>
      </c>
      <c r="D1939" t="str">
        <f t="shared" si="60"/>
        <v>X</v>
      </c>
      <c r="E1939" t="s">
        <v>9155</v>
      </c>
      <c r="F1939" t="s">
        <v>9156</v>
      </c>
      <c r="G1939" t="s">
        <v>383</v>
      </c>
      <c r="H1939" t="s">
        <v>9155</v>
      </c>
      <c r="I1939" t="s">
        <v>2661</v>
      </c>
      <c r="J1939" t="str">
        <f>IF(0 = IFERROR(VLOOKUP(DBL_FullList!I1939, ContactsDbl!B:D, 2, FALSE), ""), "", IFERROR(VLOOKUP(DBL_FullList!I1939, ContactsDbl!B:D, 2, FALSE), ""))</f>
        <v>dbladmin_intl@sil.org</v>
      </c>
      <c r="K1939" t="str">
        <f>IF(0 = IFERROR(VLOOKUP(DBL_FullList!I1939,ContactsDbl!B:D, 3, FALSE), ""), "", IFERROR(VLOOKUP(DBL_FullList!I1939, ContactsDbl!B:D, 3, FALSE), ""))</f>
        <v>http://www.wycliffe.org</v>
      </c>
      <c r="L1939">
        <f t="shared" si="61"/>
        <v>2</v>
      </c>
    </row>
    <row r="1940" spans="1:12" x14ac:dyDescent="0.25">
      <c r="A1940" t="s">
        <v>9157</v>
      </c>
      <c r="B1940" t="str">
        <f>IF(ISERROR(VLOOKUP(F1940,STEP!A:A, 1, FALSE)), "N", "Y")</f>
        <v>N</v>
      </c>
      <c r="C1940" t="str">
        <f>IF(ISERROR(VLOOKUP(E1940, BibleInEveryLanguageTexts!A:A, 1, FALSE)), "N", "Y")</f>
        <v>N</v>
      </c>
      <c r="D1940" t="str">
        <f t="shared" si="60"/>
        <v>X</v>
      </c>
      <c r="E1940" t="s">
        <v>9158</v>
      </c>
      <c r="F1940" t="s">
        <v>9159</v>
      </c>
      <c r="G1940" t="s">
        <v>9160</v>
      </c>
      <c r="H1940" t="s">
        <v>9161</v>
      </c>
      <c r="I1940" t="s">
        <v>2424</v>
      </c>
      <c r="J1940" t="str">
        <f>IF(0 = IFERROR(VLOOKUP(DBL_FullList!I1940, ContactsDbl!B:D, 2, FALSE), ""), "", IFERROR(VLOOKUP(DBL_FullList!I1940, ContactsDbl!B:D, 2, FALSE), ""))</f>
        <v/>
      </c>
      <c r="K1940" t="str">
        <f>IF(0 = IFERROR(VLOOKUP(DBL_FullList!I1940,ContactsDbl!B:D, 3, FALSE), ""), "", IFERROR(VLOOKUP(DBL_FullList!I1940, ContactsDbl!B:D, 3, FALSE), ""))</f>
        <v>http://www.maltabible.com/</v>
      </c>
      <c r="L1940">
        <f t="shared" si="61"/>
        <v>1</v>
      </c>
    </row>
    <row r="1941" spans="1:12" x14ac:dyDescent="0.25">
      <c r="A1941" t="s">
        <v>9162</v>
      </c>
      <c r="B1941" t="str">
        <f>IF(ISERROR(VLOOKUP(F1941,STEP!A:A, 1, FALSE)), "N", "Y")</f>
        <v>N</v>
      </c>
      <c r="C1941" t="str">
        <f>IF(ISERROR(VLOOKUP(E1941, BibleInEveryLanguageTexts!A:A, 1, FALSE)), "N", "Y")</f>
        <v>N</v>
      </c>
      <c r="D1941" t="str">
        <f t="shared" si="60"/>
        <v>X</v>
      </c>
      <c r="E1941" t="s">
        <v>9163</v>
      </c>
      <c r="F1941" t="s">
        <v>9164</v>
      </c>
      <c r="G1941" t="s">
        <v>20</v>
      </c>
      <c r="H1941" t="s">
        <v>9165</v>
      </c>
      <c r="I1941" t="s">
        <v>2640</v>
      </c>
      <c r="J1941" t="str">
        <f>IF(0 = IFERROR(VLOOKUP(DBL_FullList!I1941, ContactsDbl!B:D, 2, FALSE), ""), "", IFERROR(VLOOKUP(DBL_FullList!I1941, ContactsDbl!B:D, 2, FALSE), ""))</f>
        <v>admin-us@twftw.org</v>
      </c>
      <c r="K1941" t="str">
        <f>IF(0 = IFERROR(VLOOKUP(DBL_FullList!I1941,ContactsDbl!B:D, 3, FALSE), ""), "", IFERROR(VLOOKUP(DBL_FullList!I1941, ContactsDbl!B:D, 3, FALSE), ""))</f>
        <v>www.twftw.org</v>
      </c>
      <c r="L1941">
        <f t="shared" si="61"/>
        <v>2</v>
      </c>
    </row>
    <row r="1942" spans="1:12" x14ac:dyDescent="0.25">
      <c r="A1942" t="s">
        <v>9166</v>
      </c>
      <c r="B1942" t="str">
        <f>IF(ISERROR(VLOOKUP(F1942,STEP!A:A, 1, FALSE)), "N", "Y")</f>
        <v>N</v>
      </c>
      <c r="C1942" t="str">
        <f>IF(ISERROR(VLOOKUP(E1942, BibleInEveryLanguageTexts!A:A, 1, FALSE)), "N", "Y")</f>
        <v>N</v>
      </c>
      <c r="D1942" t="str">
        <f t="shared" si="60"/>
        <v>X</v>
      </c>
      <c r="E1942" t="s">
        <v>3706</v>
      </c>
      <c r="F1942" t="s">
        <v>3707</v>
      </c>
      <c r="G1942" t="s">
        <v>2743</v>
      </c>
      <c r="H1942" t="s">
        <v>9167</v>
      </c>
      <c r="I1942" t="s">
        <v>1997</v>
      </c>
      <c r="J1942" t="str">
        <f>IF(0 = IFERROR(VLOOKUP(DBL_FullList!I1942, ContactsDbl!B:D, 2, FALSE), ""), "", IFERROR(VLOOKUP(DBL_FullList!I1942, ContactsDbl!B:D, 2, FALSE), ""))</f>
        <v>Lee.Harris@biblica.com</v>
      </c>
      <c r="K1942" t="str">
        <f>IF(0 = IFERROR(VLOOKUP(DBL_FullList!I1942,ContactsDbl!B:D, 3, FALSE), ""), "", IFERROR(VLOOKUP(DBL_FullList!I1942, ContactsDbl!B:D, 3, FALSE), ""))</f>
        <v>http://www.Biblica.com</v>
      </c>
      <c r="L1942">
        <f t="shared" si="61"/>
        <v>2</v>
      </c>
    </row>
    <row r="1943" spans="1:12" x14ac:dyDescent="0.25">
      <c r="A1943" t="s">
        <v>9168</v>
      </c>
      <c r="B1943" t="str">
        <f>IF(ISERROR(VLOOKUP(F1943,STEP!A:A, 1, FALSE)), "N", "Y")</f>
        <v>N</v>
      </c>
      <c r="C1943" t="str">
        <f>IF(ISERROR(VLOOKUP(E1943, BibleInEveryLanguageTexts!A:A, 1, FALSE)), "N", "Y")</f>
        <v>N</v>
      </c>
      <c r="D1943" t="str">
        <f t="shared" si="60"/>
        <v>X</v>
      </c>
      <c r="E1943" t="s">
        <v>4189</v>
      </c>
      <c r="F1943" t="s">
        <v>4190</v>
      </c>
      <c r="G1943" t="s">
        <v>4191</v>
      </c>
      <c r="H1943" t="s">
        <v>9169</v>
      </c>
      <c r="I1943" t="s">
        <v>3104</v>
      </c>
      <c r="J1943" t="str">
        <f>IF(0 = IFERROR(VLOOKUP(DBL_FullList!I1943, ContactsDbl!B:D, 2, FALSE), ""), "", IFERROR(VLOOKUP(DBL_FullList!I1943, ContactsDbl!B:D, 2, FALSE), ""))</f>
        <v/>
      </c>
      <c r="K1943" t="str">
        <f>IF(0 = IFERROR(VLOOKUP(DBL_FullList!I1943,ContactsDbl!B:D, 3, FALSE), ""), "", IFERROR(VLOOKUP(DBL_FullList!I1943, ContactsDbl!B:D, 3, FALSE), ""))</f>
        <v/>
      </c>
      <c r="L1943">
        <f t="shared" si="61"/>
        <v>0</v>
      </c>
    </row>
    <row r="1944" spans="1:12" x14ac:dyDescent="0.25">
      <c r="A1944" t="s">
        <v>9170</v>
      </c>
      <c r="B1944" t="str">
        <f>IF(ISERROR(VLOOKUP(F1944,STEP!A:A, 1, FALSE)), "N", "Y")</f>
        <v>N</v>
      </c>
      <c r="C1944" t="str">
        <f>IF(ISERROR(VLOOKUP(E1944, BibleInEveryLanguageTexts!A:A, 1, FALSE)), "N", "Y")</f>
        <v>N</v>
      </c>
      <c r="D1944" t="str">
        <f t="shared" si="60"/>
        <v>X</v>
      </c>
      <c r="E1944" t="s">
        <v>9171</v>
      </c>
      <c r="F1944" t="s">
        <v>9172</v>
      </c>
      <c r="G1944" t="s">
        <v>4050</v>
      </c>
      <c r="H1944" t="s">
        <v>9173</v>
      </c>
      <c r="I1944" t="s">
        <v>2661</v>
      </c>
      <c r="J1944" t="str">
        <f>IF(0 = IFERROR(VLOOKUP(DBL_FullList!I1944, ContactsDbl!B:D, 2, FALSE), ""), "", IFERROR(VLOOKUP(DBL_FullList!I1944, ContactsDbl!B:D, 2, FALSE), ""))</f>
        <v>dbladmin_intl@sil.org</v>
      </c>
      <c r="K1944" t="str">
        <f>IF(0 = IFERROR(VLOOKUP(DBL_FullList!I1944,ContactsDbl!B:D, 3, FALSE), ""), "", IFERROR(VLOOKUP(DBL_FullList!I1944, ContactsDbl!B:D, 3, FALSE), ""))</f>
        <v>http://www.wycliffe.org</v>
      </c>
      <c r="L1944">
        <f t="shared" si="61"/>
        <v>2</v>
      </c>
    </row>
    <row r="1945" spans="1:12" x14ac:dyDescent="0.25">
      <c r="A1945" t="s">
        <v>9174</v>
      </c>
      <c r="B1945" t="str">
        <f>IF(ISERROR(VLOOKUP(F1945,STEP!A:A, 1, FALSE)), "N", "Y")</f>
        <v>N</v>
      </c>
      <c r="C1945" t="str">
        <f>IF(ISERROR(VLOOKUP(E1945, BibleInEveryLanguageTexts!A:A, 1, FALSE)), "N", "Y")</f>
        <v>N</v>
      </c>
      <c r="D1945" t="str">
        <f t="shared" si="60"/>
        <v>X</v>
      </c>
      <c r="E1945" t="s">
        <v>9175</v>
      </c>
      <c r="F1945" t="s">
        <v>9176</v>
      </c>
      <c r="G1945" t="s">
        <v>4050</v>
      </c>
      <c r="H1945" t="s">
        <v>9177</v>
      </c>
      <c r="I1945" t="s">
        <v>2661</v>
      </c>
      <c r="J1945" t="str">
        <f>IF(0 = IFERROR(VLOOKUP(DBL_FullList!I1945, ContactsDbl!B:D, 2, FALSE), ""), "", IFERROR(VLOOKUP(DBL_FullList!I1945, ContactsDbl!B:D, 2, FALSE), ""))</f>
        <v>dbladmin_intl@sil.org</v>
      </c>
      <c r="K1945" t="str">
        <f>IF(0 = IFERROR(VLOOKUP(DBL_FullList!I1945,ContactsDbl!B:D, 3, FALSE), ""), "", IFERROR(VLOOKUP(DBL_FullList!I1945, ContactsDbl!B:D, 3, FALSE), ""))</f>
        <v>http://www.wycliffe.org</v>
      </c>
      <c r="L1945">
        <f t="shared" si="61"/>
        <v>2</v>
      </c>
    </row>
    <row r="1946" spans="1:12" x14ac:dyDescent="0.25">
      <c r="A1946" s="1" t="s">
        <v>9178</v>
      </c>
      <c r="B1946" t="str">
        <f>IF(ISERROR(VLOOKUP(F1946,STEP!A:A, 1, FALSE)), "N", "Y")</f>
        <v>N</v>
      </c>
      <c r="C1946" t="str">
        <f>IF(ISERROR(VLOOKUP(E1946, BibleInEveryLanguageTexts!A:A, 1, FALSE)), "N", "Y")</f>
        <v>N</v>
      </c>
      <c r="D1946" t="str">
        <f t="shared" si="60"/>
        <v>X</v>
      </c>
      <c r="E1946" t="s">
        <v>9179</v>
      </c>
      <c r="F1946" t="s">
        <v>8303</v>
      </c>
      <c r="G1946" t="s">
        <v>2858</v>
      </c>
      <c r="H1946" t="s">
        <v>9180</v>
      </c>
      <c r="I1946" t="s">
        <v>2661</v>
      </c>
      <c r="J1946" t="str">
        <f>IF(0 = IFERROR(VLOOKUP(DBL_FullList!I1946, ContactsDbl!B:D, 2, FALSE), ""), "", IFERROR(VLOOKUP(DBL_FullList!I1946, ContactsDbl!B:D, 2, FALSE), ""))</f>
        <v>dbladmin_intl@sil.org</v>
      </c>
      <c r="K1946" t="str">
        <f>IF(0 = IFERROR(VLOOKUP(DBL_FullList!I1946,ContactsDbl!B:D, 3, FALSE), ""), "", IFERROR(VLOOKUP(DBL_FullList!I1946, ContactsDbl!B:D, 3, FALSE), ""))</f>
        <v>http://www.wycliffe.org</v>
      </c>
      <c r="L1946">
        <f t="shared" si="61"/>
        <v>2</v>
      </c>
    </row>
    <row r="1947" spans="1:12" x14ac:dyDescent="0.25">
      <c r="A1947" t="s">
        <v>9181</v>
      </c>
      <c r="B1947" t="str">
        <f>IF(ISERROR(VLOOKUP(F1947,STEP!A:A, 1, FALSE)), "N", "Y")</f>
        <v>Y</v>
      </c>
      <c r="C1947" t="str">
        <f>IF(ISERROR(VLOOKUP(E1947, BibleInEveryLanguageTexts!A:A, 1, FALSE)), "N", "Y")</f>
        <v>N</v>
      </c>
      <c r="D1947" t="str">
        <f t="shared" si="60"/>
        <v/>
      </c>
      <c r="E1947" t="s">
        <v>4258</v>
      </c>
      <c r="F1947" t="s">
        <v>4259</v>
      </c>
      <c r="G1947" t="s">
        <v>27</v>
      </c>
      <c r="H1947" t="s">
        <v>9182</v>
      </c>
      <c r="I1947" t="s">
        <v>3104</v>
      </c>
      <c r="J1947" t="str">
        <f>IF(0 = IFERROR(VLOOKUP(DBL_FullList!I1947, ContactsDbl!B:D, 2, FALSE), ""), "", IFERROR(VLOOKUP(DBL_FullList!I1947, ContactsDbl!B:D, 2, FALSE), ""))</f>
        <v/>
      </c>
      <c r="K1947" t="str">
        <f>IF(0 = IFERROR(VLOOKUP(DBL_FullList!I1947,ContactsDbl!B:D, 3, FALSE), ""), "", IFERROR(VLOOKUP(DBL_FullList!I1947, ContactsDbl!B:D, 3, FALSE), ""))</f>
        <v/>
      </c>
      <c r="L1947">
        <f t="shared" si="61"/>
        <v>0</v>
      </c>
    </row>
    <row r="1948" spans="1:12" x14ac:dyDescent="0.25">
      <c r="A1948" t="s">
        <v>9183</v>
      </c>
      <c r="B1948" t="str">
        <f>IF(ISERROR(VLOOKUP(F1948,STEP!A:A, 1, FALSE)), "N", "Y")</f>
        <v>N</v>
      </c>
      <c r="C1948" t="str">
        <f>IF(ISERROR(VLOOKUP(E1948, BibleInEveryLanguageTexts!A:A, 1, FALSE)), "N", "Y")</f>
        <v>Y</v>
      </c>
      <c r="D1948" t="str">
        <f t="shared" si="60"/>
        <v/>
      </c>
      <c r="E1948" t="s">
        <v>458</v>
      </c>
      <c r="F1948" t="s">
        <v>457</v>
      </c>
      <c r="G1948" t="s">
        <v>20</v>
      </c>
      <c r="H1948" t="s">
        <v>9184</v>
      </c>
      <c r="I1948" t="s">
        <v>24</v>
      </c>
      <c r="J1948" t="str">
        <f>IF(0 = IFERROR(VLOOKUP(DBL_FullList!I1948, ContactsDbl!B:D, 2, FALSE), ""), "", IFERROR(VLOOKUP(DBL_FullList!I1948, ContactsDbl!B:D, 2, FALSE), ""))</f>
        <v>Michael@eBible.org</v>
      </c>
      <c r="K1948" t="str">
        <f>IF(0 = IFERROR(VLOOKUP(DBL_FullList!I1948,ContactsDbl!B:D, 3, FALSE), ""), "", IFERROR(VLOOKUP(DBL_FullList!I1948, ContactsDbl!B:D, 3, FALSE), ""))</f>
        <v>http://eBible.org</v>
      </c>
      <c r="L1948">
        <f t="shared" si="61"/>
        <v>2</v>
      </c>
    </row>
    <row r="1949" spans="1:12" x14ac:dyDescent="0.25">
      <c r="A1949" t="s">
        <v>9185</v>
      </c>
      <c r="B1949" t="str">
        <f>IF(ISERROR(VLOOKUP(F1949,STEP!A:A, 1, FALSE)), "N", "Y")</f>
        <v>N</v>
      </c>
      <c r="C1949" t="str">
        <f>IF(ISERROR(VLOOKUP(E1949, BibleInEveryLanguageTexts!A:A, 1, FALSE)), "N", "Y")</f>
        <v>N</v>
      </c>
      <c r="D1949" t="str">
        <f t="shared" si="60"/>
        <v>X</v>
      </c>
      <c r="E1949" t="s">
        <v>205</v>
      </c>
      <c r="F1949" t="s">
        <v>204</v>
      </c>
      <c r="G1949" t="s">
        <v>4081</v>
      </c>
      <c r="H1949" t="s">
        <v>9186</v>
      </c>
      <c r="I1949" t="s">
        <v>24</v>
      </c>
      <c r="J1949" t="str">
        <f>IF(0 = IFERROR(VLOOKUP(DBL_FullList!I1949, ContactsDbl!B:D, 2, FALSE), ""), "", IFERROR(VLOOKUP(DBL_FullList!I1949, ContactsDbl!B:D, 2, FALSE), ""))</f>
        <v>Michael@eBible.org</v>
      </c>
      <c r="K1949" t="str">
        <f>IF(0 = IFERROR(VLOOKUP(DBL_FullList!I1949,ContactsDbl!B:D, 3, FALSE), ""), "", IFERROR(VLOOKUP(DBL_FullList!I1949, ContactsDbl!B:D, 3, FALSE), ""))</f>
        <v>http://eBible.org</v>
      </c>
      <c r="L1949">
        <f t="shared" si="61"/>
        <v>2</v>
      </c>
    </row>
    <row r="1950" spans="1:12" x14ac:dyDescent="0.25">
      <c r="A1950" t="s">
        <v>292</v>
      </c>
      <c r="B1950" t="str">
        <f>IF(ISERROR(VLOOKUP(F1950,STEP!A:A, 1, FALSE)), "N", "Y")</f>
        <v>N</v>
      </c>
      <c r="C1950" t="str">
        <f>IF(ISERROR(VLOOKUP(E1950, BibleInEveryLanguageTexts!A:A, 1, FALSE)), "N", "Y")</f>
        <v>Y</v>
      </c>
      <c r="D1950" t="str">
        <f t="shared" si="60"/>
        <v/>
      </c>
      <c r="E1950" t="s">
        <v>291</v>
      </c>
      <c r="F1950" t="s">
        <v>290</v>
      </c>
      <c r="G1950" t="s">
        <v>20</v>
      </c>
      <c r="H1950" t="s">
        <v>289</v>
      </c>
      <c r="I1950" t="s">
        <v>24</v>
      </c>
      <c r="J1950" t="str">
        <f>IF(0 = IFERROR(VLOOKUP(DBL_FullList!I1950, ContactsDbl!B:D, 2, FALSE), ""), "", IFERROR(VLOOKUP(DBL_FullList!I1950, ContactsDbl!B:D, 2, FALSE), ""))</f>
        <v>Michael@eBible.org</v>
      </c>
      <c r="K1950" t="str">
        <f>IF(0 = IFERROR(VLOOKUP(DBL_FullList!I1950,ContactsDbl!B:D, 3, FALSE), ""), "", IFERROR(VLOOKUP(DBL_FullList!I1950, ContactsDbl!B:D, 3, FALSE), ""))</f>
        <v>http://eBible.org</v>
      </c>
      <c r="L1950">
        <f t="shared" si="61"/>
        <v>2</v>
      </c>
    </row>
    <row r="1951" spans="1:12" x14ac:dyDescent="0.25">
      <c r="A1951" t="s">
        <v>9187</v>
      </c>
      <c r="B1951" t="str">
        <f>IF(ISERROR(VLOOKUP(F1951,STEP!A:A, 1, FALSE)), "N", "Y")</f>
        <v>N</v>
      </c>
      <c r="C1951" t="str">
        <f>IF(ISERROR(VLOOKUP(E1951, BibleInEveryLanguageTexts!A:A, 1, FALSE)), "N", "Y")</f>
        <v>N</v>
      </c>
      <c r="D1951" t="str">
        <f t="shared" si="60"/>
        <v>X</v>
      </c>
      <c r="E1951" t="s">
        <v>9188</v>
      </c>
      <c r="F1951" t="s">
        <v>9189</v>
      </c>
      <c r="G1951" t="s">
        <v>3194</v>
      </c>
      <c r="H1951" t="s">
        <v>9190</v>
      </c>
      <c r="I1951" t="s">
        <v>2318</v>
      </c>
      <c r="J1951" t="str">
        <f>IF(0 = IFERROR(VLOOKUP(DBL_FullList!I1951, ContactsDbl!B:D, 2, FALSE), ""), "", IFERROR(VLOOKUP(DBL_FullList!I1951, ContactsDbl!B:D, 2, FALSE), ""))</f>
        <v/>
      </c>
      <c r="K1951" t="str">
        <f>IF(0 = IFERROR(VLOOKUP(DBL_FullList!I1951,ContactsDbl!B:D, 3, FALSE), ""), "", IFERROR(VLOOKUP(DBL_FullList!I1951, ContactsDbl!B:D, 3, FALSE), ""))</f>
        <v>http://www.ifb.nu</v>
      </c>
      <c r="L1951">
        <f t="shared" si="61"/>
        <v>1</v>
      </c>
    </row>
    <row r="1952" spans="1:12" x14ac:dyDescent="0.25">
      <c r="A1952" t="s">
        <v>9191</v>
      </c>
      <c r="B1952" t="str">
        <f>IF(ISERROR(VLOOKUP(F1952,STEP!A:A, 1, FALSE)), "N", "Y")</f>
        <v>N</v>
      </c>
      <c r="C1952" t="str">
        <f>IF(ISERROR(VLOOKUP(E1952, BibleInEveryLanguageTexts!A:A, 1, FALSE)), "N", "Y")</f>
        <v>N</v>
      </c>
      <c r="D1952" t="str">
        <f t="shared" si="60"/>
        <v>X</v>
      </c>
      <c r="E1952" t="s">
        <v>9192</v>
      </c>
      <c r="F1952" t="s">
        <v>9193</v>
      </c>
      <c r="G1952" t="s">
        <v>2833</v>
      </c>
      <c r="H1952" t="s">
        <v>9194</v>
      </c>
      <c r="I1952" t="s">
        <v>2647</v>
      </c>
      <c r="J1952" t="str">
        <f>IF(0 = IFERROR(VLOOKUP(DBL_FullList!I1952, ContactsDbl!B:D, 2, FALSE), ""), "", IFERROR(VLOOKUP(DBL_FullList!I1952, ContactsDbl!B:D, 2, FALSE), ""))</f>
        <v>info@biblesociety-uganda.org</v>
      </c>
      <c r="K1952" t="str">
        <f>IF(0 = IFERROR(VLOOKUP(DBL_FullList!I1952,ContactsDbl!B:D, 3, FALSE), ""), "", IFERROR(VLOOKUP(DBL_FullList!I1952, ContactsDbl!B:D, 3, FALSE), ""))</f>
        <v>http://www.biblesociety-uganda.org/</v>
      </c>
      <c r="L1952">
        <f t="shared" si="61"/>
        <v>2</v>
      </c>
    </row>
    <row r="1953" spans="1:12" x14ac:dyDescent="0.25">
      <c r="A1953" t="s">
        <v>9195</v>
      </c>
      <c r="B1953" t="str">
        <f>IF(ISERROR(VLOOKUP(F1953,STEP!A:A, 1, FALSE)), "N", "Y")</f>
        <v>Y</v>
      </c>
      <c r="C1953" t="str">
        <f>IF(ISERROR(VLOOKUP(E1953, BibleInEveryLanguageTexts!A:A, 1, FALSE)), "N", "Y")</f>
        <v>N</v>
      </c>
      <c r="D1953" t="str">
        <f t="shared" si="60"/>
        <v/>
      </c>
      <c r="E1953" t="s">
        <v>9196</v>
      </c>
      <c r="F1953" t="s">
        <v>9197</v>
      </c>
      <c r="G1953" t="s">
        <v>48</v>
      </c>
      <c r="H1953" t="s">
        <v>9198</v>
      </c>
      <c r="I1953" t="s">
        <v>2661</v>
      </c>
      <c r="J1953" t="str">
        <f>IF(0 = IFERROR(VLOOKUP(DBL_FullList!I1953, ContactsDbl!B:D, 2, FALSE), ""), "", IFERROR(VLOOKUP(DBL_FullList!I1953, ContactsDbl!B:D, 2, FALSE), ""))</f>
        <v>dbladmin_intl@sil.org</v>
      </c>
      <c r="K1953" t="str">
        <f>IF(0 = IFERROR(VLOOKUP(DBL_FullList!I1953,ContactsDbl!B:D, 3, FALSE), ""), "", IFERROR(VLOOKUP(DBL_FullList!I1953, ContactsDbl!B:D, 3, FALSE), ""))</f>
        <v>http://www.wycliffe.org</v>
      </c>
      <c r="L1953">
        <f t="shared" si="61"/>
        <v>2</v>
      </c>
    </row>
    <row r="1954" spans="1:12" x14ac:dyDescent="0.25">
      <c r="A1954" t="s">
        <v>9199</v>
      </c>
      <c r="B1954" t="str">
        <f>IF(ISERROR(VLOOKUP(F1954,STEP!A:A, 1, FALSE)), "N", "Y")</f>
        <v>N</v>
      </c>
      <c r="C1954" t="str">
        <f>IF(ISERROR(VLOOKUP(E1954, BibleInEveryLanguageTexts!A:A, 1, FALSE)), "N", "Y")</f>
        <v>N</v>
      </c>
      <c r="D1954" t="str">
        <f t="shared" si="60"/>
        <v>X</v>
      </c>
      <c r="E1954" t="s">
        <v>5818</v>
      </c>
      <c r="F1954" t="s">
        <v>3846</v>
      </c>
      <c r="G1954" t="s">
        <v>27</v>
      </c>
      <c r="H1954" t="s">
        <v>9200</v>
      </c>
      <c r="I1954" t="s">
        <v>2563</v>
      </c>
      <c r="J1954" t="str">
        <f>IF(0 = IFERROR(VLOOKUP(DBL_FullList!I1954, ContactsDbl!B:D, 2, FALSE), ""), "", IFERROR(VLOOKUP(DBL_FullList!I1954, ContactsDbl!B:D, 2, FALSE), ""))</f>
        <v/>
      </c>
      <c r="K1954" t="str">
        <f>IF(0 = IFERROR(VLOOKUP(DBL_FullList!I1954,ContactsDbl!B:D, 3, FALSE), ""), "", IFERROR(VLOOKUP(DBL_FullList!I1954, ContactsDbl!B:D, 3, FALSE), ""))</f>
        <v>http://www.scottishbiblesociety.org</v>
      </c>
      <c r="L1954">
        <f t="shared" si="61"/>
        <v>1</v>
      </c>
    </row>
    <row r="1955" spans="1:12" x14ac:dyDescent="0.25">
      <c r="A1955" t="s">
        <v>9201</v>
      </c>
      <c r="B1955" t="str">
        <f>IF(ISERROR(VLOOKUP(F1955,STEP!A:A, 1, FALSE)), "N", "Y")</f>
        <v>N</v>
      </c>
      <c r="C1955" t="str">
        <f>IF(ISERROR(VLOOKUP(E1955, BibleInEveryLanguageTexts!A:A, 1, FALSE)), "N", "Y")</f>
        <v>N</v>
      </c>
      <c r="D1955" t="str">
        <f t="shared" si="60"/>
        <v>X</v>
      </c>
      <c r="E1955" t="s">
        <v>6111</v>
      </c>
      <c r="F1955" t="s">
        <v>6112</v>
      </c>
      <c r="G1955" t="s">
        <v>2923</v>
      </c>
      <c r="H1955" t="s">
        <v>9202</v>
      </c>
      <c r="I1955" t="s">
        <v>2091</v>
      </c>
      <c r="J1955" t="str">
        <f>IF(0 = IFERROR(VLOOKUP(DBL_FullList!I1955, ContactsDbl!B:D, 2, FALSE), ""), "", IFERROR(VLOOKUP(DBL_FullList!I1955, ContactsDbl!B:D, 2, FALSE), ""))</f>
        <v>geldenhuys@biblesociety.co.za</v>
      </c>
      <c r="K1955" t="str">
        <f>IF(0 = IFERROR(VLOOKUP(DBL_FullList!I1955,ContactsDbl!B:D, 3, FALSE), ""), "", IFERROR(VLOOKUP(DBL_FullList!I1955, ContactsDbl!B:D, 3, FALSE), ""))</f>
        <v>http://www.biblesociety.co.za/</v>
      </c>
      <c r="L1955">
        <f t="shared" si="61"/>
        <v>2</v>
      </c>
    </row>
    <row r="1956" spans="1:12" x14ac:dyDescent="0.25">
      <c r="A1956" t="s">
        <v>9203</v>
      </c>
      <c r="B1956" t="str">
        <f>IF(ISERROR(VLOOKUP(F1956,STEP!A:A, 1, FALSE)), "N", "Y")</f>
        <v>N</v>
      </c>
      <c r="C1956" t="str">
        <f>IF(ISERROR(VLOOKUP(E1956, BibleInEveryLanguageTexts!A:A, 1, FALSE)), "N", "Y")</f>
        <v>N</v>
      </c>
      <c r="D1956" t="str">
        <f t="shared" si="60"/>
        <v>X</v>
      </c>
      <c r="E1956" t="s">
        <v>9204</v>
      </c>
      <c r="F1956" t="s">
        <v>9205</v>
      </c>
      <c r="G1956" t="s">
        <v>2923</v>
      </c>
      <c r="H1956" t="s">
        <v>9206</v>
      </c>
      <c r="I1956" t="s">
        <v>2091</v>
      </c>
      <c r="J1956" t="str">
        <f>IF(0 = IFERROR(VLOOKUP(DBL_FullList!I1956, ContactsDbl!B:D, 2, FALSE), ""), "", IFERROR(VLOOKUP(DBL_FullList!I1956, ContactsDbl!B:D, 2, FALSE), ""))</f>
        <v>geldenhuys@biblesociety.co.za</v>
      </c>
      <c r="K1956" t="str">
        <f>IF(0 = IFERROR(VLOOKUP(DBL_FullList!I1956,ContactsDbl!B:D, 3, FALSE), ""), "", IFERROR(VLOOKUP(DBL_FullList!I1956, ContactsDbl!B:D, 3, FALSE), ""))</f>
        <v>http://www.biblesociety.co.za/</v>
      </c>
      <c r="L1956">
        <f t="shared" si="61"/>
        <v>2</v>
      </c>
    </row>
    <row r="1957" spans="1:12" x14ac:dyDescent="0.25">
      <c r="A1957" t="s">
        <v>9207</v>
      </c>
      <c r="B1957" t="str">
        <f>IF(ISERROR(VLOOKUP(F1957,STEP!A:A, 1, FALSE)), "N", "Y")</f>
        <v>N</v>
      </c>
      <c r="C1957" t="str">
        <f>IF(ISERROR(VLOOKUP(E1957, BibleInEveryLanguageTexts!A:A, 1, FALSE)), "N", "Y")</f>
        <v>N</v>
      </c>
      <c r="D1957" t="str">
        <f t="shared" si="60"/>
        <v>X</v>
      </c>
      <c r="E1957" t="s">
        <v>4917</v>
      </c>
      <c r="F1957" t="s">
        <v>4918</v>
      </c>
      <c r="G1957" t="s">
        <v>2923</v>
      </c>
      <c r="H1957" t="s">
        <v>9208</v>
      </c>
      <c r="I1957" t="s">
        <v>2091</v>
      </c>
      <c r="J1957" t="str">
        <f>IF(0 = IFERROR(VLOOKUP(DBL_FullList!I1957, ContactsDbl!B:D, 2, FALSE), ""), "", IFERROR(VLOOKUP(DBL_FullList!I1957, ContactsDbl!B:D, 2, FALSE), ""))</f>
        <v>geldenhuys@biblesociety.co.za</v>
      </c>
      <c r="K1957" t="str">
        <f>IF(0 = IFERROR(VLOOKUP(DBL_FullList!I1957,ContactsDbl!B:D, 3, FALSE), ""), "", IFERROR(VLOOKUP(DBL_FullList!I1957, ContactsDbl!B:D, 3, FALSE), ""))</f>
        <v>http://www.biblesociety.co.za/</v>
      </c>
      <c r="L1957">
        <f t="shared" si="61"/>
        <v>2</v>
      </c>
    </row>
    <row r="1958" spans="1:12" x14ac:dyDescent="0.25">
      <c r="A1958" t="s">
        <v>9209</v>
      </c>
      <c r="B1958" t="str">
        <f>IF(ISERROR(VLOOKUP(F1958,STEP!A:A, 1, FALSE)), "N", "Y")</f>
        <v>N</v>
      </c>
      <c r="C1958" t="str">
        <f>IF(ISERROR(VLOOKUP(E1958, BibleInEveryLanguageTexts!A:A, 1, FALSE)), "N", "Y")</f>
        <v>N</v>
      </c>
      <c r="D1958" t="str">
        <f t="shared" si="60"/>
        <v>X</v>
      </c>
      <c r="E1958" t="s">
        <v>3405</v>
      </c>
      <c r="F1958" t="s">
        <v>3406</v>
      </c>
      <c r="G1958" t="s">
        <v>2923</v>
      </c>
      <c r="H1958" t="s">
        <v>9210</v>
      </c>
      <c r="I1958" t="s">
        <v>2091</v>
      </c>
      <c r="J1958" t="str">
        <f>IF(0 = IFERROR(VLOOKUP(DBL_FullList!I1958, ContactsDbl!B:D, 2, FALSE), ""), "", IFERROR(VLOOKUP(DBL_FullList!I1958, ContactsDbl!B:D, 2, FALSE), ""))</f>
        <v>geldenhuys@biblesociety.co.za</v>
      </c>
      <c r="K1958" t="str">
        <f>IF(0 = IFERROR(VLOOKUP(DBL_FullList!I1958,ContactsDbl!B:D, 3, FALSE), ""), "", IFERROR(VLOOKUP(DBL_FullList!I1958, ContactsDbl!B:D, 3, FALSE), ""))</f>
        <v>http://www.biblesociety.co.za/</v>
      </c>
      <c r="L1958">
        <f t="shared" si="61"/>
        <v>2</v>
      </c>
    </row>
    <row r="1959" spans="1:12" x14ac:dyDescent="0.25">
      <c r="A1959" t="s">
        <v>9211</v>
      </c>
      <c r="B1959" t="str">
        <f>IF(ISERROR(VLOOKUP(F1959,STEP!A:A, 1, FALSE)), "N", "Y")</f>
        <v>N</v>
      </c>
      <c r="C1959" t="str">
        <f>IF(ISERROR(VLOOKUP(E1959, BibleInEveryLanguageTexts!A:A, 1, FALSE)), "N", "Y")</f>
        <v>N</v>
      </c>
      <c r="D1959" t="str">
        <f t="shared" si="60"/>
        <v>X</v>
      </c>
      <c r="E1959" t="s">
        <v>9212</v>
      </c>
      <c r="F1959" t="s">
        <v>9213</v>
      </c>
      <c r="G1959" t="s">
        <v>2743</v>
      </c>
      <c r="H1959" t="s">
        <v>9214</v>
      </c>
      <c r="I1959" t="s">
        <v>183</v>
      </c>
      <c r="J1959" t="str">
        <f>IF(0 = IFERROR(VLOOKUP(DBL_FullList!I1959, ContactsDbl!B:D, 2, FALSE), ""), "", IFERROR(VLOOKUP(DBL_FullList!I1959, ContactsDbl!B:D, 2, FALSE), ""))</f>
        <v>dbl@biblesocieties.org</v>
      </c>
      <c r="K1959" t="str">
        <f>IF(0 = IFERROR(VLOOKUP(DBL_FullList!I1959,ContactsDbl!B:D, 3, FALSE), ""), "", IFERROR(VLOOKUP(DBL_FullList!I1959, ContactsDbl!B:D, 3, FALSE), ""))</f>
        <v>http://www.unitedbiblesocieties.org/</v>
      </c>
      <c r="L1959">
        <f t="shared" si="61"/>
        <v>2</v>
      </c>
    </row>
    <row r="1960" spans="1:12" x14ac:dyDescent="0.25">
      <c r="A1960" t="s">
        <v>9215</v>
      </c>
      <c r="B1960" t="str">
        <f>IF(ISERROR(VLOOKUP(F1960,STEP!A:A, 1, FALSE)), "N", "Y")</f>
        <v>N</v>
      </c>
      <c r="C1960" t="str">
        <f>IF(ISERROR(VLOOKUP(E1960, BibleInEveryLanguageTexts!A:A, 1, FALSE)), "N", "Y")</f>
        <v>Y</v>
      </c>
      <c r="D1960" t="str">
        <f t="shared" si="60"/>
        <v/>
      </c>
      <c r="E1960" t="s">
        <v>371</v>
      </c>
      <c r="F1960" t="s">
        <v>370</v>
      </c>
      <c r="G1960" t="s">
        <v>20</v>
      </c>
      <c r="H1960" t="s">
        <v>9216</v>
      </c>
      <c r="I1960" t="s">
        <v>24</v>
      </c>
      <c r="J1960" t="str">
        <f>IF(0 = IFERROR(VLOOKUP(DBL_FullList!I1960, ContactsDbl!B:D, 2, FALSE), ""), "", IFERROR(VLOOKUP(DBL_FullList!I1960, ContactsDbl!B:D, 2, FALSE), ""))</f>
        <v>Michael@eBible.org</v>
      </c>
      <c r="K1960" t="str">
        <f>IF(0 = IFERROR(VLOOKUP(DBL_FullList!I1960,ContactsDbl!B:D, 3, FALSE), ""), "", IFERROR(VLOOKUP(DBL_FullList!I1960, ContactsDbl!B:D, 3, FALSE), ""))</f>
        <v>http://eBible.org</v>
      </c>
      <c r="L1960">
        <f t="shared" si="61"/>
        <v>2</v>
      </c>
    </row>
    <row r="1961" spans="1:12" x14ac:dyDescent="0.25">
      <c r="A1961" t="s">
        <v>9217</v>
      </c>
      <c r="B1961" t="str">
        <f>IF(ISERROR(VLOOKUP(F1961,STEP!A:A, 1, FALSE)), "N", "Y")</f>
        <v>Y</v>
      </c>
      <c r="C1961" t="str">
        <f>IF(ISERROR(VLOOKUP(E1961, BibleInEveryLanguageTexts!A:A, 1, FALSE)), "N", "Y")</f>
        <v>N</v>
      </c>
      <c r="D1961" t="str">
        <f t="shared" si="60"/>
        <v/>
      </c>
      <c r="E1961" t="s">
        <v>4258</v>
      </c>
      <c r="F1961" t="s">
        <v>4259</v>
      </c>
      <c r="G1961" t="s">
        <v>27</v>
      </c>
      <c r="H1961" t="s">
        <v>9218</v>
      </c>
      <c r="I1961" t="s">
        <v>3104</v>
      </c>
      <c r="J1961" t="str">
        <f>IF(0 = IFERROR(VLOOKUP(DBL_FullList!I1961, ContactsDbl!B:D, 2, FALSE), ""), "", IFERROR(VLOOKUP(DBL_FullList!I1961, ContactsDbl!B:D, 2, FALSE), ""))</f>
        <v/>
      </c>
      <c r="K1961" t="str">
        <f>IF(0 = IFERROR(VLOOKUP(DBL_FullList!I1961,ContactsDbl!B:D, 3, FALSE), ""), "", IFERROR(VLOOKUP(DBL_FullList!I1961, ContactsDbl!B:D, 3, FALSE), ""))</f>
        <v/>
      </c>
      <c r="L1961">
        <f t="shared" si="61"/>
        <v>0</v>
      </c>
    </row>
    <row r="1962" spans="1:12" x14ac:dyDescent="0.25">
      <c r="A1962" t="s">
        <v>366</v>
      </c>
      <c r="B1962" t="str">
        <f>IF(ISERROR(VLOOKUP(F1962,STEP!A:A, 1, FALSE)), "N", "Y")</f>
        <v>N</v>
      </c>
      <c r="C1962" t="str">
        <f>IF(ISERROR(VLOOKUP(E1962, BibleInEveryLanguageTexts!A:A, 1, FALSE)), "N", "Y")</f>
        <v>Y</v>
      </c>
      <c r="D1962" t="str">
        <f t="shared" si="60"/>
        <v/>
      </c>
      <c r="E1962" t="s">
        <v>365</v>
      </c>
      <c r="F1962" t="s">
        <v>364</v>
      </c>
      <c r="G1962" t="s">
        <v>20</v>
      </c>
      <c r="H1962" t="s">
        <v>9219</v>
      </c>
      <c r="I1962" t="s">
        <v>24</v>
      </c>
      <c r="J1962" t="str">
        <f>IF(0 = IFERROR(VLOOKUP(DBL_FullList!I1962, ContactsDbl!B:D, 2, FALSE), ""), "", IFERROR(VLOOKUP(DBL_FullList!I1962, ContactsDbl!B:D, 2, FALSE), ""))</f>
        <v>Michael@eBible.org</v>
      </c>
      <c r="K1962" t="str">
        <f>IF(0 = IFERROR(VLOOKUP(DBL_FullList!I1962,ContactsDbl!B:D, 3, FALSE), ""), "", IFERROR(VLOOKUP(DBL_FullList!I1962, ContactsDbl!B:D, 3, FALSE), ""))</f>
        <v>http://eBible.org</v>
      </c>
      <c r="L1962">
        <f t="shared" si="61"/>
        <v>2</v>
      </c>
    </row>
    <row r="1963" spans="1:12" x14ac:dyDescent="0.25">
      <c r="A1963" t="s">
        <v>9220</v>
      </c>
      <c r="B1963" t="str">
        <f>IF(ISERROR(VLOOKUP(F1963,STEP!A:A, 1, FALSE)), "N", "Y")</f>
        <v>N</v>
      </c>
      <c r="C1963" t="str">
        <f>IF(ISERROR(VLOOKUP(E1963, BibleInEveryLanguageTexts!A:A, 1, FALSE)), "N", "Y")</f>
        <v>Y</v>
      </c>
      <c r="D1963" t="str">
        <f t="shared" si="60"/>
        <v/>
      </c>
      <c r="E1963" t="s">
        <v>320</v>
      </c>
      <c r="F1963" t="s">
        <v>319</v>
      </c>
      <c r="G1963" t="s">
        <v>20</v>
      </c>
      <c r="H1963" t="s">
        <v>9221</v>
      </c>
      <c r="I1963" t="s">
        <v>24</v>
      </c>
      <c r="J1963" t="str">
        <f>IF(0 = IFERROR(VLOOKUP(DBL_FullList!I1963, ContactsDbl!B:D, 2, FALSE), ""), "", IFERROR(VLOOKUP(DBL_FullList!I1963, ContactsDbl!B:D, 2, FALSE), ""))</f>
        <v>Michael@eBible.org</v>
      </c>
      <c r="K1963" t="str">
        <f>IF(0 = IFERROR(VLOOKUP(DBL_FullList!I1963,ContactsDbl!B:D, 3, FALSE), ""), "", IFERROR(VLOOKUP(DBL_FullList!I1963, ContactsDbl!B:D, 3, FALSE), ""))</f>
        <v>http://eBible.org</v>
      </c>
      <c r="L1963">
        <f t="shared" si="61"/>
        <v>2</v>
      </c>
    </row>
    <row r="1964" spans="1:12" x14ac:dyDescent="0.25">
      <c r="A1964" t="s">
        <v>165</v>
      </c>
      <c r="B1964" t="str">
        <f>IF(ISERROR(VLOOKUP(F1964,STEP!A:A, 1, FALSE)), "N", "Y")</f>
        <v>N</v>
      </c>
      <c r="C1964" t="str">
        <f>IF(ISERROR(VLOOKUP(E1964, BibleInEveryLanguageTexts!A:A, 1, FALSE)), "N", "Y")</f>
        <v>N</v>
      </c>
      <c r="D1964" t="str">
        <f t="shared" si="60"/>
        <v>X</v>
      </c>
      <c r="E1964" t="s">
        <v>164</v>
      </c>
      <c r="F1964" t="s">
        <v>163</v>
      </c>
      <c r="G1964" t="s">
        <v>20</v>
      </c>
      <c r="H1964" t="s">
        <v>9222</v>
      </c>
      <c r="I1964" t="s">
        <v>24</v>
      </c>
      <c r="J1964" t="str">
        <f>IF(0 = IFERROR(VLOOKUP(DBL_FullList!I1964, ContactsDbl!B:D, 2, FALSE), ""), "", IFERROR(VLOOKUP(DBL_FullList!I1964, ContactsDbl!B:D, 2, FALSE), ""))</f>
        <v>Michael@eBible.org</v>
      </c>
      <c r="K1964" t="str">
        <f>IF(0 = IFERROR(VLOOKUP(DBL_FullList!I1964,ContactsDbl!B:D, 3, FALSE), ""), "", IFERROR(VLOOKUP(DBL_FullList!I1964, ContactsDbl!B:D, 3, FALSE), ""))</f>
        <v>http://eBible.org</v>
      </c>
      <c r="L1964">
        <f t="shared" si="61"/>
        <v>2</v>
      </c>
    </row>
    <row r="1965" spans="1:12" x14ac:dyDescent="0.25">
      <c r="A1965" t="s">
        <v>9223</v>
      </c>
      <c r="B1965" t="str">
        <f>IF(ISERROR(VLOOKUP(F1965,STEP!A:A, 1, FALSE)), "N", "Y")</f>
        <v>N</v>
      </c>
      <c r="C1965" t="str">
        <f>IF(ISERROR(VLOOKUP(E1965, BibleInEveryLanguageTexts!A:A, 1, FALSE)), "N", "Y")</f>
        <v>N</v>
      </c>
      <c r="D1965" t="str">
        <f t="shared" si="60"/>
        <v>X</v>
      </c>
      <c r="E1965" t="s">
        <v>193</v>
      </c>
      <c r="F1965" t="s">
        <v>494</v>
      </c>
      <c r="G1965" t="s">
        <v>20</v>
      </c>
      <c r="H1965" t="s">
        <v>9224</v>
      </c>
      <c r="I1965" t="s">
        <v>24</v>
      </c>
      <c r="J1965" t="str">
        <f>IF(0 = IFERROR(VLOOKUP(DBL_FullList!I1965, ContactsDbl!B:D, 2, FALSE), ""), "", IFERROR(VLOOKUP(DBL_FullList!I1965, ContactsDbl!B:D, 2, FALSE), ""))</f>
        <v>Michael@eBible.org</v>
      </c>
      <c r="K1965" t="str">
        <f>IF(0 = IFERROR(VLOOKUP(DBL_FullList!I1965,ContactsDbl!B:D, 3, FALSE), ""), "", IFERROR(VLOOKUP(DBL_FullList!I1965, ContactsDbl!B:D, 3, FALSE), ""))</f>
        <v>http://eBible.org</v>
      </c>
      <c r="L1965">
        <f t="shared" si="61"/>
        <v>2</v>
      </c>
    </row>
    <row r="1966" spans="1:12" x14ac:dyDescent="0.25">
      <c r="A1966" t="s">
        <v>9225</v>
      </c>
      <c r="B1966" t="str">
        <f>IF(ISERROR(VLOOKUP(F1966,STEP!A:A, 1, FALSE)), "N", "Y")</f>
        <v>N</v>
      </c>
      <c r="C1966" t="str">
        <f>IF(ISERROR(VLOOKUP(E1966, BibleInEveryLanguageTexts!A:A, 1, FALSE)), "N", "Y")</f>
        <v>Y</v>
      </c>
      <c r="D1966" t="str">
        <f t="shared" si="60"/>
        <v/>
      </c>
      <c r="E1966" t="s">
        <v>21</v>
      </c>
      <c r="F1966" t="s">
        <v>19</v>
      </c>
      <c r="G1966" t="s">
        <v>20</v>
      </c>
      <c r="H1966" t="s">
        <v>9226</v>
      </c>
      <c r="I1966" t="s">
        <v>24</v>
      </c>
      <c r="J1966" t="str">
        <f>IF(0 = IFERROR(VLOOKUP(DBL_FullList!I1966, ContactsDbl!B:D, 2, FALSE), ""), "", IFERROR(VLOOKUP(DBL_FullList!I1966, ContactsDbl!B:D, 2, FALSE), ""))</f>
        <v>Michael@eBible.org</v>
      </c>
      <c r="K1966" t="str">
        <f>IF(0 = IFERROR(VLOOKUP(DBL_FullList!I1966,ContactsDbl!B:D, 3, FALSE), ""), "", IFERROR(VLOOKUP(DBL_FullList!I1966, ContactsDbl!B:D, 3, FALSE), ""))</f>
        <v>http://eBible.org</v>
      </c>
      <c r="L1966">
        <f t="shared" si="61"/>
        <v>2</v>
      </c>
    </row>
    <row r="1967" spans="1:12" x14ac:dyDescent="0.25">
      <c r="A1967" t="s">
        <v>9227</v>
      </c>
      <c r="B1967" t="str">
        <f>IF(ISERROR(VLOOKUP(F1967,STEP!A:A, 1, FALSE)), "N", "Y")</f>
        <v>N</v>
      </c>
      <c r="C1967" t="str">
        <f>IF(ISERROR(VLOOKUP(E1967, BibleInEveryLanguageTexts!A:A, 1, FALSE)), "N", "Y")</f>
        <v>Y</v>
      </c>
      <c r="D1967" t="str">
        <f t="shared" si="60"/>
        <v/>
      </c>
      <c r="E1967" t="s">
        <v>246</v>
      </c>
      <c r="F1967" t="s">
        <v>245</v>
      </c>
      <c r="G1967" t="s">
        <v>20</v>
      </c>
      <c r="H1967" t="s">
        <v>9228</v>
      </c>
      <c r="I1967" t="s">
        <v>24</v>
      </c>
      <c r="J1967" t="str">
        <f>IF(0 = IFERROR(VLOOKUP(DBL_FullList!I1967, ContactsDbl!B:D, 2, FALSE), ""), "", IFERROR(VLOOKUP(DBL_FullList!I1967, ContactsDbl!B:D, 2, FALSE), ""))</f>
        <v>Michael@eBible.org</v>
      </c>
      <c r="K1967" t="str">
        <f>IF(0 = IFERROR(VLOOKUP(DBL_FullList!I1967,ContactsDbl!B:D, 3, FALSE), ""), "", IFERROR(VLOOKUP(DBL_FullList!I1967, ContactsDbl!B:D, 3, FALSE), ""))</f>
        <v>http://eBible.org</v>
      </c>
      <c r="L1967">
        <f t="shared" si="61"/>
        <v>2</v>
      </c>
    </row>
    <row r="1968" spans="1:12" x14ac:dyDescent="0.25">
      <c r="A1968" t="s">
        <v>9229</v>
      </c>
      <c r="B1968" t="str">
        <f>IF(ISERROR(VLOOKUP(F1968,STEP!A:A, 1, FALSE)), "N", "Y")</f>
        <v>N</v>
      </c>
      <c r="C1968" t="str">
        <f>IF(ISERROR(VLOOKUP(E1968, BibleInEveryLanguageTexts!A:A, 1, FALSE)), "N", "Y")</f>
        <v>N</v>
      </c>
      <c r="D1968" t="str">
        <f t="shared" si="60"/>
        <v>X</v>
      </c>
      <c r="E1968" t="s">
        <v>9230</v>
      </c>
      <c r="F1968" t="s">
        <v>9231</v>
      </c>
      <c r="G1968" t="s">
        <v>110</v>
      </c>
      <c r="H1968" t="s">
        <v>9232</v>
      </c>
      <c r="I1968" t="s">
        <v>2661</v>
      </c>
      <c r="J1968" t="str">
        <f>IF(0 = IFERROR(VLOOKUP(DBL_FullList!I1968, ContactsDbl!B:D, 2, FALSE), ""), "", IFERROR(VLOOKUP(DBL_FullList!I1968, ContactsDbl!B:D, 2, FALSE), ""))</f>
        <v>dbladmin_intl@sil.org</v>
      </c>
      <c r="K1968" t="str">
        <f>IF(0 = IFERROR(VLOOKUP(DBL_FullList!I1968,ContactsDbl!B:D, 3, FALSE), ""), "", IFERROR(VLOOKUP(DBL_FullList!I1968, ContactsDbl!B:D, 3, FALSE), ""))</f>
        <v>http://www.wycliffe.org</v>
      </c>
      <c r="L1968">
        <f t="shared" si="61"/>
        <v>2</v>
      </c>
    </row>
    <row r="1969" spans="1:12" x14ac:dyDescent="0.25">
      <c r="A1969" t="s">
        <v>9233</v>
      </c>
      <c r="B1969" t="str">
        <f>IF(ISERROR(VLOOKUP(F1969,STEP!A:A, 1, FALSE)), "N", "Y")</f>
        <v>N</v>
      </c>
      <c r="C1969" t="str">
        <f>IF(ISERROR(VLOOKUP(E1969, BibleInEveryLanguageTexts!A:A, 1, FALSE)), "N", "Y")</f>
        <v>N</v>
      </c>
      <c r="D1969" t="str">
        <f t="shared" si="60"/>
        <v>X</v>
      </c>
      <c r="E1969" t="s">
        <v>6107</v>
      </c>
      <c r="F1969" t="s">
        <v>6108</v>
      </c>
      <c r="G1969" t="s">
        <v>2923</v>
      </c>
      <c r="H1969" t="s">
        <v>9234</v>
      </c>
      <c r="I1969" t="s">
        <v>2091</v>
      </c>
      <c r="J1969" t="str">
        <f>IF(0 = IFERROR(VLOOKUP(DBL_FullList!I1969, ContactsDbl!B:D, 2, FALSE), ""), "", IFERROR(VLOOKUP(DBL_FullList!I1969, ContactsDbl!B:D, 2, FALSE), ""))</f>
        <v>geldenhuys@biblesociety.co.za</v>
      </c>
      <c r="K1969" t="str">
        <f>IF(0 = IFERROR(VLOOKUP(DBL_FullList!I1969,ContactsDbl!B:D, 3, FALSE), ""), "", IFERROR(VLOOKUP(DBL_FullList!I1969, ContactsDbl!B:D, 3, FALSE), ""))</f>
        <v>http://www.biblesociety.co.za/</v>
      </c>
      <c r="L1969">
        <f t="shared" si="61"/>
        <v>2</v>
      </c>
    </row>
    <row r="1970" spans="1:12" x14ac:dyDescent="0.25">
      <c r="A1970" t="s">
        <v>9235</v>
      </c>
      <c r="B1970" t="str">
        <f>IF(ISERROR(VLOOKUP(F1970,STEP!A:A, 1, FALSE)), "N", "Y")</f>
        <v>N</v>
      </c>
      <c r="C1970" t="str">
        <f>IF(ISERROR(VLOOKUP(E1970, BibleInEveryLanguageTexts!A:A, 1, FALSE)), "N", "Y")</f>
        <v>N</v>
      </c>
      <c r="D1970" t="str">
        <f t="shared" si="60"/>
        <v>X</v>
      </c>
      <c r="E1970" t="s">
        <v>5433</v>
      </c>
      <c r="F1970" t="s">
        <v>5434</v>
      </c>
      <c r="G1970" t="s">
        <v>5239</v>
      </c>
      <c r="H1970" t="s">
        <v>9236</v>
      </c>
      <c r="I1970" t="s">
        <v>2276</v>
      </c>
      <c r="J1970" t="str">
        <f>IF(0 = IFERROR(VLOOKUP(DBL_FullList!I1970, ContactsDbl!B:D, 2, FALSE), ""), "", IFERROR(VLOOKUP(DBL_FullList!I1970, ContactsDbl!B:D, 2, FALSE), ""))</f>
        <v>dag@hermon.no</v>
      </c>
      <c r="K1970" t="str">
        <f>IF(0 = IFERROR(VLOOKUP(DBL_FullList!I1970,ContactsDbl!B:D, 3, FALSE), ""), "", IFERROR(VLOOKUP(DBL_FullList!I1970, ContactsDbl!B:D, 3, FALSE), ""))</f>
        <v>http://www.hermon.no/</v>
      </c>
      <c r="L1970">
        <f t="shared" si="61"/>
        <v>2</v>
      </c>
    </row>
    <row r="1971" spans="1:12" x14ac:dyDescent="0.25">
      <c r="A1971" t="s">
        <v>9237</v>
      </c>
      <c r="B1971" t="str">
        <f>IF(ISERROR(VLOOKUP(F1971,STEP!A:A, 1, FALSE)), "N", "Y")</f>
        <v>N</v>
      </c>
      <c r="C1971" t="str">
        <f>IF(ISERROR(VLOOKUP(E1971, BibleInEveryLanguageTexts!A:A, 1, FALSE)), "N", "Y")</f>
        <v>N</v>
      </c>
      <c r="D1971" t="str">
        <f t="shared" si="60"/>
        <v>X</v>
      </c>
      <c r="E1971" t="s">
        <v>9238</v>
      </c>
      <c r="F1971" t="s">
        <v>9239</v>
      </c>
      <c r="G1971" t="s">
        <v>2756</v>
      </c>
      <c r="H1971" t="s">
        <v>9240</v>
      </c>
      <c r="I1971" t="s">
        <v>2661</v>
      </c>
      <c r="J1971" t="str">
        <f>IF(0 = IFERROR(VLOOKUP(DBL_FullList!I1971, ContactsDbl!B:D, 2, FALSE), ""), "", IFERROR(VLOOKUP(DBL_FullList!I1971, ContactsDbl!B:D, 2, FALSE), ""))</f>
        <v>dbladmin_intl@sil.org</v>
      </c>
      <c r="K1971" t="str">
        <f>IF(0 = IFERROR(VLOOKUP(DBL_FullList!I1971,ContactsDbl!B:D, 3, FALSE), ""), "", IFERROR(VLOOKUP(DBL_FullList!I1971, ContactsDbl!B:D, 3, FALSE), ""))</f>
        <v>http://www.wycliffe.org</v>
      </c>
      <c r="L1971">
        <f t="shared" si="61"/>
        <v>2</v>
      </c>
    </row>
    <row r="1972" spans="1:12" x14ac:dyDescent="0.25">
      <c r="A1972" t="s">
        <v>9241</v>
      </c>
      <c r="B1972" t="str">
        <f>IF(ISERROR(VLOOKUP(F1972,STEP!A:A, 1, FALSE)), "N", "Y")</f>
        <v>N</v>
      </c>
      <c r="C1972" t="str">
        <f>IF(ISERROR(VLOOKUP(E1972, BibleInEveryLanguageTexts!A:A, 1, FALSE)), "N", "Y")</f>
        <v>N</v>
      </c>
      <c r="D1972" t="str">
        <f t="shared" si="60"/>
        <v>X</v>
      </c>
      <c r="E1972" t="s">
        <v>9242</v>
      </c>
      <c r="F1972" t="s">
        <v>9243</v>
      </c>
      <c r="G1972" t="s">
        <v>2743</v>
      </c>
      <c r="H1972" t="s">
        <v>9244</v>
      </c>
      <c r="I1972" t="s">
        <v>2465</v>
      </c>
      <c r="J1972" t="str">
        <f>IF(0 = IFERROR(VLOOKUP(DBL_FullList!I1972, ContactsDbl!B:D, 2, FALSE), ""), "", IFERROR(VLOOKUP(DBL_FullList!I1972, ContactsDbl!B:D, 2, FALSE), ""))</f>
        <v>heidi_rosendall@sil.org</v>
      </c>
      <c r="K1972" t="str">
        <f>IF(0 = IFERROR(VLOOKUP(DBL_FullList!I1972,ContactsDbl!B:D, 3, FALSE), ""), "", IFERROR(VLOOKUP(DBL_FullList!I1972, ContactsDbl!B:D, 3, FALSE), ""))</f>
        <v>http://wycliffe.net</v>
      </c>
      <c r="L1972">
        <f t="shared" si="61"/>
        <v>2</v>
      </c>
    </row>
    <row r="1973" spans="1:12" x14ac:dyDescent="0.25">
      <c r="A1973" t="s">
        <v>9245</v>
      </c>
      <c r="B1973" t="str">
        <f>IF(ISERROR(VLOOKUP(F1973,STEP!A:A, 1, FALSE)), "N", "Y")</f>
        <v>N</v>
      </c>
      <c r="C1973" t="str">
        <f>IF(ISERROR(VLOOKUP(E1973, BibleInEveryLanguageTexts!A:A, 1, FALSE)), "N", "Y")</f>
        <v>N</v>
      </c>
      <c r="D1973" t="str">
        <f t="shared" si="60"/>
        <v>X</v>
      </c>
      <c r="E1973" t="s">
        <v>9246</v>
      </c>
      <c r="F1973" t="s">
        <v>9247</v>
      </c>
      <c r="G1973" t="s">
        <v>2743</v>
      </c>
      <c r="H1973" t="s">
        <v>9248</v>
      </c>
      <c r="I1973" t="s">
        <v>2465</v>
      </c>
      <c r="J1973" t="str">
        <f>IF(0 = IFERROR(VLOOKUP(DBL_FullList!I1973, ContactsDbl!B:D, 2, FALSE), ""), "", IFERROR(VLOOKUP(DBL_FullList!I1973, ContactsDbl!B:D, 2, FALSE), ""))</f>
        <v>heidi_rosendall@sil.org</v>
      </c>
      <c r="K1973" t="str">
        <f>IF(0 = IFERROR(VLOOKUP(DBL_FullList!I1973,ContactsDbl!B:D, 3, FALSE), ""), "", IFERROR(VLOOKUP(DBL_FullList!I1973, ContactsDbl!B:D, 3, FALSE), ""))</f>
        <v>http://wycliffe.net</v>
      </c>
      <c r="L1973">
        <f t="shared" si="61"/>
        <v>2</v>
      </c>
    </row>
    <row r="1974" spans="1:12" x14ac:dyDescent="0.25">
      <c r="A1974" t="s">
        <v>9249</v>
      </c>
      <c r="B1974" t="str">
        <f>IF(ISERROR(VLOOKUP(F1974,STEP!A:A, 1, FALSE)), "N", "Y")</f>
        <v>N</v>
      </c>
      <c r="C1974" t="str">
        <f>IF(ISERROR(VLOOKUP(E1974, BibleInEveryLanguageTexts!A:A, 1, FALSE)), "N", "Y")</f>
        <v>N</v>
      </c>
      <c r="D1974" t="str">
        <f t="shared" si="60"/>
        <v>X</v>
      </c>
      <c r="E1974" t="s">
        <v>9250</v>
      </c>
      <c r="F1974" t="s">
        <v>9251</v>
      </c>
      <c r="G1974" t="s">
        <v>2743</v>
      </c>
      <c r="H1974" t="s">
        <v>9252</v>
      </c>
      <c r="I1974" t="s">
        <v>2465</v>
      </c>
      <c r="J1974" t="str">
        <f>IF(0 = IFERROR(VLOOKUP(DBL_FullList!I1974, ContactsDbl!B:D, 2, FALSE), ""), "", IFERROR(VLOOKUP(DBL_FullList!I1974, ContactsDbl!B:D, 2, FALSE), ""))</f>
        <v>heidi_rosendall@sil.org</v>
      </c>
      <c r="K1974" t="str">
        <f>IF(0 = IFERROR(VLOOKUP(DBL_FullList!I1974,ContactsDbl!B:D, 3, FALSE), ""), "", IFERROR(VLOOKUP(DBL_FullList!I1974, ContactsDbl!B:D, 3, FALSE), ""))</f>
        <v>http://wycliffe.net</v>
      </c>
      <c r="L1974">
        <f t="shared" si="61"/>
        <v>2</v>
      </c>
    </row>
    <row r="1975" spans="1:12" x14ac:dyDescent="0.25">
      <c r="A1975" t="s">
        <v>9253</v>
      </c>
      <c r="B1975" t="str">
        <f>IF(ISERROR(VLOOKUP(F1975,STEP!A:A, 1, FALSE)), "N", "Y")</f>
        <v>N</v>
      </c>
      <c r="C1975" t="str">
        <f>IF(ISERROR(VLOOKUP(E1975, BibleInEveryLanguageTexts!A:A, 1, FALSE)), "N", "Y")</f>
        <v>N</v>
      </c>
      <c r="D1975" t="str">
        <f t="shared" si="60"/>
        <v>X</v>
      </c>
      <c r="E1975" t="s">
        <v>9254</v>
      </c>
      <c r="F1975" t="s">
        <v>9255</v>
      </c>
      <c r="G1975" t="s">
        <v>2743</v>
      </c>
      <c r="H1975" t="s">
        <v>9256</v>
      </c>
      <c r="I1975" t="s">
        <v>2465</v>
      </c>
      <c r="J1975" t="str">
        <f>IF(0 = IFERROR(VLOOKUP(DBL_FullList!I1975, ContactsDbl!B:D, 2, FALSE), ""), "", IFERROR(VLOOKUP(DBL_FullList!I1975, ContactsDbl!B:D, 2, FALSE), ""))</f>
        <v>heidi_rosendall@sil.org</v>
      </c>
      <c r="K1975" t="str">
        <f>IF(0 = IFERROR(VLOOKUP(DBL_FullList!I1975,ContactsDbl!B:D, 3, FALSE), ""), "", IFERROR(VLOOKUP(DBL_FullList!I1975, ContactsDbl!B:D, 3, FALSE), ""))</f>
        <v>http://wycliffe.net</v>
      </c>
      <c r="L1975">
        <f t="shared" si="61"/>
        <v>2</v>
      </c>
    </row>
    <row r="1976" spans="1:12" x14ac:dyDescent="0.25">
      <c r="A1976" t="s">
        <v>9257</v>
      </c>
      <c r="B1976" t="str">
        <f>IF(ISERROR(VLOOKUP(F1976,STEP!A:A, 1, FALSE)), "N", "Y")</f>
        <v>N</v>
      </c>
      <c r="C1976" t="str">
        <f>IF(ISERROR(VLOOKUP(E1976, BibleInEveryLanguageTexts!A:A, 1, FALSE)), "N", "Y")</f>
        <v>N</v>
      </c>
      <c r="D1976" t="str">
        <f t="shared" si="60"/>
        <v>X</v>
      </c>
      <c r="E1976" t="s">
        <v>9258</v>
      </c>
      <c r="F1976" t="s">
        <v>9259</v>
      </c>
      <c r="G1976" t="s">
        <v>2743</v>
      </c>
      <c r="H1976" t="s">
        <v>9260</v>
      </c>
      <c r="I1976" t="s">
        <v>2465</v>
      </c>
      <c r="J1976" t="str">
        <f>IF(0 = IFERROR(VLOOKUP(DBL_FullList!I1976, ContactsDbl!B:D, 2, FALSE), ""), "", IFERROR(VLOOKUP(DBL_FullList!I1976, ContactsDbl!B:D, 2, FALSE), ""))</f>
        <v>heidi_rosendall@sil.org</v>
      </c>
      <c r="K1976" t="str">
        <f>IF(0 = IFERROR(VLOOKUP(DBL_FullList!I1976,ContactsDbl!B:D, 3, FALSE), ""), "", IFERROR(VLOOKUP(DBL_FullList!I1976, ContactsDbl!B:D, 3, FALSE), ""))</f>
        <v>http://wycliffe.net</v>
      </c>
      <c r="L1976">
        <f t="shared" si="61"/>
        <v>2</v>
      </c>
    </row>
    <row r="1977" spans="1:12" x14ac:dyDescent="0.25">
      <c r="A1977" t="s">
        <v>9261</v>
      </c>
      <c r="B1977" t="str">
        <f>IF(ISERROR(VLOOKUP(F1977,STEP!A:A, 1, FALSE)), "N", "Y")</f>
        <v>N</v>
      </c>
      <c r="C1977" t="str">
        <f>IF(ISERROR(VLOOKUP(E1977, BibleInEveryLanguageTexts!A:A, 1, FALSE)), "N", "Y")</f>
        <v>N</v>
      </c>
      <c r="D1977" t="str">
        <f t="shared" si="60"/>
        <v>X</v>
      </c>
      <c r="E1977" t="s">
        <v>3366</v>
      </c>
      <c r="F1977" t="s">
        <v>3367</v>
      </c>
      <c r="G1977" t="s">
        <v>2743</v>
      </c>
      <c r="H1977" t="s">
        <v>9262</v>
      </c>
      <c r="I1977" t="s">
        <v>2465</v>
      </c>
      <c r="J1977" t="str">
        <f>IF(0 = IFERROR(VLOOKUP(DBL_FullList!I1977, ContactsDbl!B:D, 2, FALSE), ""), "", IFERROR(VLOOKUP(DBL_FullList!I1977, ContactsDbl!B:D, 2, FALSE), ""))</f>
        <v>heidi_rosendall@sil.org</v>
      </c>
      <c r="K1977" t="str">
        <f>IF(0 = IFERROR(VLOOKUP(DBL_FullList!I1977,ContactsDbl!B:D, 3, FALSE), ""), "", IFERROR(VLOOKUP(DBL_FullList!I1977, ContactsDbl!B:D, 3, FALSE), ""))</f>
        <v>http://wycliffe.net</v>
      </c>
      <c r="L1977">
        <f t="shared" si="61"/>
        <v>2</v>
      </c>
    </row>
    <row r="1978" spans="1:12" x14ac:dyDescent="0.25">
      <c r="A1978" t="s">
        <v>9263</v>
      </c>
      <c r="B1978" t="str">
        <f>IF(ISERROR(VLOOKUP(F1978,STEP!A:A, 1, FALSE)), "N", "Y")</f>
        <v>N</v>
      </c>
      <c r="C1978" t="str">
        <f>IF(ISERROR(VLOOKUP(E1978, BibleInEveryLanguageTexts!A:A, 1, FALSE)), "N", "Y")</f>
        <v>N</v>
      </c>
      <c r="D1978" t="str">
        <f t="shared" si="60"/>
        <v>X</v>
      </c>
      <c r="E1978" t="s">
        <v>9264</v>
      </c>
      <c r="F1978" t="s">
        <v>9265</v>
      </c>
      <c r="G1978" t="s">
        <v>2743</v>
      </c>
      <c r="H1978" t="s">
        <v>9266</v>
      </c>
      <c r="I1978" t="s">
        <v>2465</v>
      </c>
      <c r="J1978" t="str">
        <f>IF(0 = IFERROR(VLOOKUP(DBL_FullList!I1978, ContactsDbl!B:D, 2, FALSE), ""), "", IFERROR(VLOOKUP(DBL_FullList!I1978, ContactsDbl!B:D, 2, FALSE), ""))</f>
        <v>heidi_rosendall@sil.org</v>
      </c>
      <c r="K1978" t="str">
        <f>IF(0 = IFERROR(VLOOKUP(DBL_FullList!I1978,ContactsDbl!B:D, 3, FALSE), ""), "", IFERROR(VLOOKUP(DBL_FullList!I1978, ContactsDbl!B:D, 3, FALSE), ""))</f>
        <v>http://wycliffe.net</v>
      </c>
      <c r="L1978">
        <f t="shared" si="61"/>
        <v>2</v>
      </c>
    </row>
    <row r="1979" spans="1:12" x14ac:dyDescent="0.25">
      <c r="A1979" t="s">
        <v>9267</v>
      </c>
      <c r="B1979" t="str">
        <f>IF(ISERROR(VLOOKUP(F1979,STEP!A:A, 1, FALSE)), "N", "Y")</f>
        <v>N</v>
      </c>
      <c r="C1979" t="str">
        <f>IF(ISERROR(VLOOKUP(E1979, BibleInEveryLanguageTexts!A:A, 1, FALSE)), "N", "Y")</f>
        <v>N</v>
      </c>
      <c r="D1979" t="str">
        <f t="shared" si="60"/>
        <v>X</v>
      </c>
      <c r="E1979" t="s">
        <v>9268</v>
      </c>
      <c r="F1979" t="s">
        <v>9269</v>
      </c>
      <c r="G1979" t="s">
        <v>2743</v>
      </c>
      <c r="H1979" t="s">
        <v>9270</v>
      </c>
      <c r="I1979" t="s">
        <v>2465</v>
      </c>
      <c r="J1979" t="str">
        <f>IF(0 = IFERROR(VLOOKUP(DBL_FullList!I1979, ContactsDbl!B:D, 2, FALSE), ""), "", IFERROR(VLOOKUP(DBL_FullList!I1979, ContactsDbl!B:D, 2, FALSE), ""))</f>
        <v>heidi_rosendall@sil.org</v>
      </c>
      <c r="K1979" t="str">
        <f>IF(0 = IFERROR(VLOOKUP(DBL_FullList!I1979,ContactsDbl!B:D, 3, FALSE), ""), "", IFERROR(VLOOKUP(DBL_FullList!I1979, ContactsDbl!B:D, 3, FALSE), ""))</f>
        <v>http://wycliffe.net</v>
      </c>
      <c r="L1979">
        <f t="shared" si="61"/>
        <v>2</v>
      </c>
    </row>
    <row r="1980" spans="1:12" x14ac:dyDescent="0.25">
      <c r="A1980" t="s">
        <v>9271</v>
      </c>
      <c r="B1980" t="str">
        <f>IF(ISERROR(VLOOKUP(F1980,STEP!A:A, 1, FALSE)), "N", "Y")</f>
        <v>N</v>
      </c>
      <c r="C1980" t="str">
        <f>IF(ISERROR(VLOOKUP(E1980, BibleInEveryLanguageTexts!A:A, 1, FALSE)), "N", "Y")</f>
        <v>N</v>
      </c>
      <c r="D1980" t="str">
        <f t="shared" si="60"/>
        <v>X</v>
      </c>
      <c r="E1980" t="s">
        <v>9272</v>
      </c>
      <c r="F1980" t="s">
        <v>9273</v>
      </c>
      <c r="G1980" t="s">
        <v>2743</v>
      </c>
      <c r="H1980" t="s">
        <v>9274</v>
      </c>
      <c r="I1980" t="s">
        <v>2465</v>
      </c>
      <c r="J1980" t="str">
        <f>IF(0 = IFERROR(VLOOKUP(DBL_FullList!I1980, ContactsDbl!B:D, 2, FALSE), ""), "", IFERROR(VLOOKUP(DBL_FullList!I1980, ContactsDbl!B:D, 2, FALSE), ""))</f>
        <v>heidi_rosendall@sil.org</v>
      </c>
      <c r="K1980" t="str">
        <f>IF(0 = IFERROR(VLOOKUP(DBL_FullList!I1980,ContactsDbl!B:D, 3, FALSE), ""), "", IFERROR(VLOOKUP(DBL_FullList!I1980, ContactsDbl!B:D, 3, FALSE), ""))</f>
        <v>http://wycliffe.net</v>
      </c>
      <c r="L1980">
        <f t="shared" si="61"/>
        <v>2</v>
      </c>
    </row>
    <row r="1981" spans="1:12" x14ac:dyDescent="0.25">
      <c r="A1981" t="s">
        <v>9275</v>
      </c>
      <c r="B1981" t="str">
        <f>IF(ISERROR(VLOOKUP(F1981,STEP!A:A, 1, FALSE)), "N", "Y")</f>
        <v>N</v>
      </c>
      <c r="C1981" t="str">
        <f>IF(ISERROR(VLOOKUP(E1981, BibleInEveryLanguageTexts!A:A, 1, FALSE)), "N", "Y")</f>
        <v>Y</v>
      </c>
      <c r="D1981" t="str">
        <f t="shared" si="60"/>
        <v/>
      </c>
      <c r="E1981" t="s">
        <v>36</v>
      </c>
      <c r="F1981" t="s">
        <v>34</v>
      </c>
      <c r="G1981" t="s">
        <v>35</v>
      </c>
      <c r="H1981" t="s">
        <v>9276</v>
      </c>
      <c r="I1981" t="s">
        <v>1997</v>
      </c>
      <c r="J1981" t="str">
        <f>IF(0 = IFERROR(VLOOKUP(DBL_FullList!I1981, ContactsDbl!B:D, 2, FALSE), ""), "", IFERROR(VLOOKUP(DBL_FullList!I1981, ContactsDbl!B:D, 2, FALSE), ""))</f>
        <v>Lee.Harris@biblica.com</v>
      </c>
      <c r="K1981" t="str">
        <f>IF(0 = IFERROR(VLOOKUP(DBL_FullList!I1981,ContactsDbl!B:D, 3, FALSE), ""), "", IFERROR(VLOOKUP(DBL_FullList!I1981, ContactsDbl!B:D, 3, FALSE), ""))</f>
        <v>http://www.Biblica.com</v>
      </c>
      <c r="L1981">
        <f t="shared" si="61"/>
        <v>2</v>
      </c>
    </row>
    <row r="1982" spans="1:12" x14ac:dyDescent="0.25">
      <c r="A1982" t="s">
        <v>9277</v>
      </c>
      <c r="B1982" t="str">
        <f>IF(ISERROR(VLOOKUP(F1982,STEP!A:A, 1, FALSE)), "N", "Y")</f>
        <v>N</v>
      </c>
      <c r="C1982" t="str">
        <f>IF(ISERROR(VLOOKUP(E1982, BibleInEveryLanguageTexts!A:A, 1, FALSE)), "N", "Y")</f>
        <v>N</v>
      </c>
      <c r="D1982" t="str">
        <f t="shared" si="60"/>
        <v>X</v>
      </c>
      <c r="E1982" t="s">
        <v>9278</v>
      </c>
      <c r="F1982" t="s">
        <v>9279</v>
      </c>
      <c r="G1982" t="s">
        <v>3074</v>
      </c>
      <c r="H1982" t="s">
        <v>9280</v>
      </c>
      <c r="I1982" t="s">
        <v>2640</v>
      </c>
      <c r="J1982" t="str">
        <f>IF(0 = IFERROR(VLOOKUP(DBL_FullList!I1982, ContactsDbl!B:D, 2, FALSE), ""), "", IFERROR(VLOOKUP(DBL_FullList!I1982, ContactsDbl!B:D, 2, FALSE), ""))</f>
        <v>admin-us@twftw.org</v>
      </c>
      <c r="K1982" t="str">
        <f>IF(0 = IFERROR(VLOOKUP(DBL_FullList!I1982,ContactsDbl!B:D, 3, FALSE), ""), "", IFERROR(VLOOKUP(DBL_FullList!I1982, ContactsDbl!B:D, 3, FALSE), ""))</f>
        <v>www.twftw.org</v>
      </c>
      <c r="L1982">
        <f t="shared" si="61"/>
        <v>2</v>
      </c>
    </row>
    <row r="1983" spans="1:12" x14ac:dyDescent="0.25">
      <c r="A1983" t="s">
        <v>549</v>
      </c>
      <c r="B1983" t="str">
        <f>IF(ISERROR(VLOOKUP(F1983,STEP!A:A, 1, FALSE)), "N", "Y")</f>
        <v>N</v>
      </c>
      <c r="C1983" t="str">
        <f>IF(ISERROR(VLOOKUP(E1983, BibleInEveryLanguageTexts!A:A, 1, FALSE)), "N", "Y")</f>
        <v>N</v>
      </c>
      <c r="D1983" t="str">
        <f t="shared" si="60"/>
        <v>X</v>
      </c>
      <c r="E1983" t="s">
        <v>548</v>
      </c>
      <c r="F1983" t="s">
        <v>546</v>
      </c>
      <c r="G1983" t="s">
        <v>547</v>
      </c>
      <c r="H1983" t="s">
        <v>545</v>
      </c>
      <c r="I1983" t="s">
        <v>545</v>
      </c>
      <c r="J1983" t="str">
        <f>IF(0 = IFERROR(VLOOKUP(DBL_FullList!I1983, ContactsDbl!B:D, 2, FALSE), ""), "", IFERROR(VLOOKUP(DBL_FullList!I1983, ContactsDbl!B:D, 2, FALSE), ""))</f>
        <v>dbladmin@karnbibeln.se</v>
      </c>
      <c r="K1983" t="str">
        <f>IF(0 = IFERROR(VLOOKUP(DBL_FullList!I1983,ContactsDbl!B:D, 3, FALSE), ""), "", IFERROR(VLOOKUP(DBL_FullList!I1983, ContactsDbl!B:D, 3, FALSE), ""))</f>
        <v>http://www.karnbibeln.se/</v>
      </c>
      <c r="L1983">
        <f t="shared" si="61"/>
        <v>2</v>
      </c>
    </row>
    <row r="1984" spans="1:12" x14ac:dyDescent="0.25">
      <c r="A1984" t="s">
        <v>9281</v>
      </c>
      <c r="B1984" t="str">
        <f>IF(ISERROR(VLOOKUP(F1984,STEP!A:A, 1, FALSE)), "N", "Y")</f>
        <v>N</v>
      </c>
      <c r="C1984" t="str">
        <f>IF(ISERROR(VLOOKUP(E1984, BibleInEveryLanguageTexts!A:A, 1, FALSE)), "N", "Y")</f>
        <v>N</v>
      </c>
      <c r="D1984" t="str">
        <f t="shared" si="60"/>
        <v>X</v>
      </c>
      <c r="E1984" t="s">
        <v>3775</v>
      </c>
      <c r="F1984" t="s">
        <v>3776</v>
      </c>
      <c r="G1984" t="s">
        <v>4607</v>
      </c>
      <c r="H1984" t="s">
        <v>9282</v>
      </c>
      <c r="I1984" t="s">
        <v>183</v>
      </c>
      <c r="J1984" t="str">
        <f>IF(0 = IFERROR(VLOOKUP(DBL_FullList!I1984, ContactsDbl!B:D, 2, FALSE), ""), "", IFERROR(VLOOKUP(DBL_FullList!I1984, ContactsDbl!B:D, 2, FALSE), ""))</f>
        <v>dbl@biblesocieties.org</v>
      </c>
      <c r="K1984" t="str">
        <f>IF(0 = IFERROR(VLOOKUP(DBL_FullList!I1984,ContactsDbl!B:D, 3, FALSE), ""), "", IFERROR(VLOOKUP(DBL_FullList!I1984, ContactsDbl!B:D, 3, FALSE), ""))</f>
        <v>http://www.unitedbiblesocieties.org/</v>
      </c>
      <c r="L1984">
        <f t="shared" si="61"/>
        <v>2</v>
      </c>
    </row>
    <row r="1985" spans="1:12" x14ac:dyDescent="0.25">
      <c r="A1985" t="s">
        <v>9283</v>
      </c>
      <c r="B1985" t="str">
        <f>IF(ISERROR(VLOOKUP(F1985,STEP!A:A, 1, FALSE)), "N", "Y")</f>
        <v>N</v>
      </c>
      <c r="C1985" t="str">
        <f>IF(ISERROR(VLOOKUP(E1985, BibleInEveryLanguageTexts!A:A, 1, FALSE)), "N", "Y")</f>
        <v>N</v>
      </c>
      <c r="D1985" t="str">
        <f t="shared" si="60"/>
        <v>X</v>
      </c>
      <c r="E1985" t="s">
        <v>199</v>
      </c>
      <c r="F1985" t="s">
        <v>197</v>
      </c>
      <c r="G1985" t="s">
        <v>198</v>
      </c>
      <c r="H1985" t="s">
        <v>9284</v>
      </c>
      <c r="I1985" t="s">
        <v>2591</v>
      </c>
      <c r="J1985" t="str">
        <f>IF(0 = IFERROR(VLOOKUP(DBL_FullList!I1985, ContactsDbl!B:D, 2, FALSE), ""), "", IFERROR(VLOOKUP(DBL_FullList!I1985, ContactsDbl!B:D, 2, FALSE), ""))</f>
        <v/>
      </c>
      <c r="K1985" t="str">
        <f>IF(0 = IFERROR(VLOOKUP(DBL_FullList!I1985,ContactsDbl!B:D, 3, FALSE), ""), "", IFERROR(VLOOKUP(DBL_FullList!I1985, ContactsDbl!B:D, 3, FALSE), ""))</f>
        <v>http://sociedadbiblica.org</v>
      </c>
      <c r="L1985">
        <f t="shared" si="61"/>
        <v>1</v>
      </c>
    </row>
    <row r="1986" spans="1:12" x14ac:dyDescent="0.25">
      <c r="A1986" t="s">
        <v>9285</v>
      </c>
      <c r="B1986" t="str">
        <f>IF(ISERROR(VLOOKUP(F1986,STEP!A:A, 1, FALSE)), "N", "Y")</f>
        <v>N</v>
      </c>
      <c r="C1986" t="str">
        <f>IF(ISERROR(VLOOKUP(E1986, BibleInEveryLanguageTexts!A:A, 1, FALSE)), "N", "Y")</f>
        <v>N</v>
      </c>
      <c r="D1986" t="str">
        <f t="shared" si="60"/>
        <v>X</v>
      </c>
      <c r="E1986" t="s">
        <v>199</v>
      </c>
      <c r="F1986" t="s">
        <v>197</v>
      </c>
      <c r="G1986" t="s">
        <v>198</v>
      </c>
      <c r="H1986" t="s">
        <v>9286</v>
      </c>
      <c r="I1986" t="s">
        <v>2591</v>
      </c>
      <c r="J1986" t="str">
        <f>IF(0 = IFERROR(VLOOKUP(DBL_FullList!I1986, ContactsDbl!B:D, 2, FALSE), ""), "", IFERROR(VLOOKUP(DBL_FullList!I1986, ContactsDbl!B:D, 2, FALSE), ""))</f>
        <v/>
      </c>
      <c r="K1986" t="str">
        <f>IF(0 = IFERROR(VLOOKUP(DBL_FullList!I1986,ContactsDbl!B:D, 3, FALSE), ""), "", IFERROR(VLOOKUP(DBL_FullList!I1986, ContactsDbl!B:D, 3, FALSE), ""))</f>
        <v>http://sociedadbiblica.org</v>
      </c>
      <c r="L1986">
        <f t="shared" si="61"/>
        <v>1</v>
      </c>
    </row>
    <row r="1987" spans="1:12" x14ac:dyDescent="0.25">
      <c r="A1987" t="s">
        <v>9287</v>
      </c>
      <c r="B1987" t="str">
        <f>IF(ISERROR(VLOOKUP(F1987,STEP!A:A, 1, FALSE)), "N", "Y")</f>
        <v>N</v>
      </c>
      <c r="C1987" t="str">
        <f>IF(ISERROR(VLOOKUP(E1987, BibleInEveryLanguageTexts!A:A, 1, FALSE)), "N", "Y")</f>
        <v>N</v>
      </c>
      <c r="D1987" t="str">
        <f t="shared" ref="D1987:D2048" si="62">IF(AND("N" = B1987, "N" = C1987), "X", "")</f>
        <v>X</v>
      </c>
      <c r="E1987" t="s">
        <v>9288</v>
      </c>
      <c r="F1987" t="s">
        <v>9289</v>
      </c>
      <c r="G1987" t="s">
        <v>2743</v>
      </c>
      <c r="H1987" t="s">
        <v>9290</v>
      </c>
      <c r="I1987" t="s">
        <v>2465</v>
      </c>
      <c r="J1987" t="str">
        <f>IF(0 = IFERROR(VLOOKUP(DBL_FullList!I1987, ContactsDbl!B:D, 2, FALSE), ""), "", IFERROR(VLOOKUP(DBL_FullList!I1987, ContactsDbl!B:D, 2, FALSE), ""))</f>
        <v>heidi_rosendall@sil.org</v>
      </c>
      <c r="K1987" t="str">
        <f>IF(0 = IFERROR(VLOOKUP(DBL_FullList!I1987,ContactsDbl!B:D, 3, FALSE), ""), "", IFERROR(VLOOKUP(DBL_FullList!I1987, ContactsDbl!B:D, 3, FALSE), ""))</f>
        <v>http://wycliffe.net</v>
      </c>
      <c r="L1987">
        <f t="shared" ref="L1987:L2048" si="63">IF("" &lt;&gt; J1987, 2, IF("" &lt;&gt; K1987, 1, 0))</f>
        <v>2</v>
      </c>
    </row>
    <row r="1988" spans="1:12" x14ac:dyDescent="0.25">
      <c r="A1988" t="s">
        <v>9291</v>
      </c>
      <c r="B1988" t="str">
        <f>IF(ISERROR(VLOOKUP(F1988,STEP!A:A, 1, FALSE)), "N", "Y")</f>
        <v>N</v>
      </c>
      <c r="C1988" t="str">
        <f>IF(ISERROR(VLOOKUP(E1988, BibleInEveryLanguageTexts!A:A, 1, FALSE)), "N", "Y")</f>
        <v>N</v>
      </c>
      <c r="D1988" t="str">
        <f t="shared" si="62"/>
        <v>X</v>
      </c>
      <c r="E1988" t="s">
        <v>3775</v>
      </c>
      <c r="F1988" t="s">
        <v>3776</v>
      </c>
      <c r="G1988" t="s">
        <v>3852</v>
      </c>
      <c r="H1988" t="s">
        <v>9292</v>
      </c>
      <c r="I1988" t="s">
        <v>2280</v>
      </c>
      <c r="J1988" t="str">
        <f>IF(0 = IFERROR(VLOOKUP(DBL_FullList!I1988, ContactsDbl!B:D, 2, FALSE), ""), "", IFERROR(VLOOKUP(DBL_FullList!I1988, ContactsDbl!B:D, 2, FALSE), ""))</f>
        <v>ignatius@hkbs.org.hk</v>
      </c>
      <c r="K1988" t="str">
        <f>IF(0 = IFERROR(VLOOKUP(DBL_FullList!I1988,ContactsDbl!B:D, 3, FALSE), ""), "", IFERROR(VLOOKUP(DBL_FullList!I1988, ContactsDbl!B:D, 3, FALSE), ""))</f>
        <v>www.hkbs.org.hk</v>
      </c>
      <c r="L1988">
        <f t="shared" si="63"/>
        <v>2</v>
      </c>
    </row>
    <row r="1989" spans="1:12" x14ac:dyDescent="0.25">
      <c r="A1989" t="s">
        <v>9293</v>
      </c>
      <c r="B1989" t="str">
        <f>IF(ISERROR(VLOOKUP(F1989,STEP!A:A, 1, FALSE)), "N", "Y")</f>
        <v>N</v>
      </c>
      <c r="C1989" t="str">
        <f>IF(ISERROR(VLOOKUP(E1989, BibleInEveryLanguageTexts!A:A, 1, FALSE)), "N", "Y")</f>
        <v>N</v>
      </c>
      <c r="D1989" t="str">
        <f t="shared" si="62"/>
        <v>X</v>
      </c>
      <c r="E1989" t="s">
        <v>6111</v>
      </c>
      <c r="F1989" t="s">
        <v>6112</v>
      </c>
      <c r="G1989" t="s">
        <v>2923</v>
      </c>
      <c r="H1989" t="s">
        <v>9294</v>
      </c>
      <c r="I1989" t="s">
        <v>2091</v>
      </c>
      <c r="J1989" t="str">
        <f>IF(0 = IFERROR(VLOOKUP(DBL_FullList!I1989, ContactsDbl!B:D, 2, FALSE), ""), "", IFERROR(VLOOKUP(DBL_FullList!I1989, ContactsDbl!B:D, 2, FALSE), ""))</f>
        <v>geldenhuys@biblesociety.co.za</v>
      </c>
      <c r="K1989" t="str">
        <f>IF(0 = IFERROR(VLOOKUP(DBL_FullList!I1989,ContactsDbl!B:D, 3, FALSE), ""), "", IFERROR(VLOOKUP(DBL_FullList!I1989, ContactsDbl!B:D, 3, FALSE), ""))</f>
        <v>http://www.biblesociety.co.za/</v>
      </c>
      <c r="L1989">
        <f t="shared" si="63"/>
        <v>2</v>
      </c>
    </row>
    <row r="1990" spans="1:12" x14ac:dyDescent="0.25">
      <c r="A1990" t="s">
        <v>9295</v>
      </c>
      <c r="B1990" t="str">
        <f>IF(ISERROR(VLOOKUP(F1990,STEP!A:A, 1, FALSE)), "N", "Y")</f>
        <v>N</v>
      </c>
      <c r="C1990" t="str">
        <f>IF(ISERROR(VLOOKUP(E1990, BibleInEveryLanguageTexts!A:A, 1, FALSE)), "N", "Y")</f>
        <v>N</v>
      </c>
      <c r="D1990" t="str">
        <f t="shared" si="62"/>
        <v>X</v>
      </c>
      <c r="E1990" t="s">
        <v>9296</v>
      </c>
      <c r="F1990" t="s">
        <v>9297</v>
      </c>
      <c r="G1990" t="s">
        <v>2756</v>
      </c>
      <c r="H1990" t="s">
        <v>9298</v>
      </c>
      <c r="I1990" t="s">
        <v>2126</v>
      </c>
      <c r="J1990" t="str">
        <f>IF(0 = IFERROR(VLOOKUP(DBL_FullList!I1990, ContactsDbl!B:D, 2, FALSE), ""), "", IFERROR(VLOOKUP(DBL_FullList!I1990, ContactsDbl!B:D, 2, FALSE), ""))</f>
        <v>gluke@biblesocieties.org</v>
      </c>
      <c r="K1990" t="str">
        <f>IF(0 = IFERROR(VLOOKUP(DBL_FullList!I1990,ContactsDbl!B:D, 3, FALSE), ""), "", IFERROR(VLOOKUP(DBL_FullList!I1990, ContactsDbl!B:D, 3, FALSE), ""))</f>
        <v>http://www.biblesociety-cameroon.org/</v>
      </c>
      <c r="L1990">
        <f t="shared" si="63"/>
        <v>2</v>
      </c>
    </row>
    <row r="1991" spans="1:12" x14ac:dyDescent="0.25">
      <c r="A1991" t="s">
        <v>9299</v>
      </c>
      <c r="B1991" t="str">
        <f>IF(ISERROR(VLOOKUP(F1991,STEP!A:A, 1, FALSE)), "N", "Y")</f>
        <v>N</v>
      </c>
      <c r="C1991" t="str">
        <f>IF(ISERROR(VLOOKUP(E1991, BibleInEveryLanguageTexts!A:A, 1, FALSE)), "N", "Y")</f>
        <v>N</v>
      </c>
      <c r="D1991" t="str">
        <f t="shared" si="62"/>
        <v>X</v>
      </c>
      <c r="E1991" t="s">
        <v>7263</v>
      </c>
      <c r="F1991" t="s">
        <v>7264</v>
      </c>
      <c r="G1991" t="s">
        <v>9300</v>
      </c>
      <c r="H1991" t="s">
        <v>9301</v>
      </c>
      <c r="I1991" t="s">
        <v>2102</v>
      </c>
      <c r="J1991" t="str">
        <f>IF(0 = IFERROR(VLOOKUP(DBL_FullList!I1991, ContactsDbl!B:D, 2, FALSE), ""), "", IFERROR(VLOOKUP(DBL_FullList!I1991, ContactsDbl!B:D, 2, FALSE), ""))</f>
        <v>mkatonivere@bible.org.fj</v>
      </c>
      <c r="K1991" t="str">
        <f>IF(0 = IFERROR(VLOOKUP(DBL_FullList!I1991,ContactsDbl!B:D, 3, FALSE), ""), "", IFERROR(VLOOKUP(DBL_FullList!I1991, ContactsDbl!B:D, 3, FALSE), ""))</f>
        <v>http://www.bible.org.fj/</v>
      </c>
      <c r="L1991">
        <f t="shared" si="63"/>
        <v>2</v>
      </c>
    </row>
    <row r="1992" spans="1:12" x14ac:dyDescent="0.25">
      <c r="A1992" t="s">
        <v>9302</v>
      </c>
      <c r="B1992" t="str">
        <f>IF(ISERROR(VLOOKUP(F1992,STEP!A:A, 1, FALSE)), "N", "Y")</f>
        <v>N</v>
      </c>
      <c r="C1992" t="str">
        <f>IF(ISERROR(VLOOKUP(E1992, BibleInEveryLanguageTexts!A:A, 1, FALSE)), "N", "Y")</f>
        <v>N</v>
      </c>
      <c r="D1992" t="str">
        <f t="shared" si="62"/>
        <v>X</v>
      </c>
      <c r="E1992" t="s">
        <v>4024</v>
      </c>
      <c r="F1992" t="s">
        <v>4025</v>
      </c>
      <c r="G1992" t="s">
        <v>4</v>
      </c>
      <c r="H1992" t="s">
        <v>9303</v>
      </c>
      <c r="I1992" t="s">
        <v>183</v>
      </c>
      <c r="J1992" t="str">
        <f>IF(0 = IFERROR(VLOOKUP(DBL_FullList!I1992, ContactsDbl!B:D, 2, FALSE), ""), "", IFERROR(VLOOKUP(DBL_FullList!I1992, ContactsDbl!B:D, 2, FALSE), ""))</f>
        <v>dbl@biblesocieties.org</v>
      </c>
      <c r="K1992" t="str">
        <f>IF(0 = IFERROR(VLOOKUP(DBL_FullList!I1992,ContactsDbl!B:D, 3, FALSE), ""), "", IFERROR(VLOOKUP(DBL_FullList!I1992, ContactsDbl!B:D, 3, FALSE), ""))</f>
        <v>http://www.unitedbiblesocieties.org/</v>
      </c>
      <c r="L1992">
        <f t="shared" si="63"/>
        <v>2</v>
      </c>
    </row>
    <row r="1993" spans="1:12" x14ac:dyDescent="0.25">
      <c r="A1993" t="s">
        <v>9304</v>
      </c>
      <c r="B1993" t="str">
        <f>IF(ISERROR(VLOOKUP(F1993,STEP!A:A, 1, FALSE)), "N", "Y")</f>
        <v>N</v>
      </c>
      <c r="C1993" t="str">
        <f>IF(ISERROR(VLOOKUP(E1993, BibleInEveryLanguageTexts!A:A, 1, FALSE)), "N", "Y")</f>
        <v>N</v>
      </c>
      <c r="D1993" t="str">
        <f t="shared" si="62"/>
        <v>X</v>
      </c>
      <c r="E1993" t="s">
        <v>4024</v>
      </c>
      <c r="F1993" t="s">
        <v>4025</v>
      </c>
      <c r="G1993" t="s">
        <v>4</v>
      </c>
      <c r="H1993" t="s">
        <v>9305</v>
      </c>
      <c r="I1993" t="s">
        <v>183</v>
      </c>
      <c r="J1993" t="str">
        <f>IF(0 = IFERROR(VLOOKUP(DBL_FullList!I1993, ContactsDbl!B:D, 2, FALSE), ""), "", IFERROR(VLOOKUP(DBL_FullList!I1993, ContactsDbl!B:D, 2, FALSE), ""))</f>
        <v>dbl@biblesocieties.org</v>
      </c>
      <c r="K1993" t="str">
        <f>IF(0 = IFERROR(VLOOKUP(DBL_FullList!I1993,ContactsDbl!B:D, 3, FALSE), ""), "", IFERROR(VLOOKUP(DBL_FullList!I1993, ContactsDbl!B:D, 3, FALSE), ""))</f>
        <v>http://www.unitedbiblesocieties.org/</v>
      </c>
      <c r="L1993">
        <f t="shared" si="63"/>
        <v>2</v>
      </c>
    </row>
    <row r="1994" spans="1:12" x14ac:dyDescent="0.25">
      <c r="A1994" t="s">
        <v>9306</v>
      </c>
      <c r="B1994" t="str">
        <f>IF(ISERROR(VLOOKUP(F1994,STEP!A:A, 1, FALSE)), "N", "Y")</f>
        <v>N</v>
      </c>
      <c r="C1994" t="str">
        <f>IF(ISERROR(VLOOKUP(E1994, BibleInEveryLanguageTexts!A:A, 1, FALSE)), "N", "Y")</f>
        <v>N</v>
      </c>
      <c r="D1994" t="str">
        <f t="shared" si="62"/>
        <v>X</v>
      </c>
      <c r="E1994" t="s">
        <v>3405</v>
      </c>
      <c r="F1994" t="s">
        <v>3406</v>
      </c>
      <c r="G1994" t="s">
        <v>2923</v>
      </c>
      <c r="H1994" t="s">
        <v>9307</v>
      </c>
      <c r="I1994" t="s">
        <v>2091</v>
      </c>
      <c r="J1994" t="str">
        <f>IF(0 = IFERROR(VLOOKUP(DBL_FullList!I1994, ContactsDbl!B:D, 2, FALSE), ""), "", IFERROR(VLOOKUP(DBL_FullList!I1994, ContactsDbl!B:D, 2, FALSE), ""))</f>
        <v>geldenhuys@biblesociety.co.za</v>
      </c>
      <c r="K1994" t="str">
        <f>IF(0 = IFERROR(VLOOKUP(DBL_FullList!I1994,ContactsDbl!B:D, 3, FALSE), ""), "", IFERROR(VLOOKUP(DBL_FullList!I1994, ContactsDbl!B:D, 3, FALSE), ""))</f>
        <v>http://www.biblesociety.co.za/</v>
      </c>
      <c r="L1994">
        <f t="shared" si="63"/>
        <v>2</v>
      </c>
    </row>
    <row r="1995" spans="1:12" x14ac:dyDescent="0.25">
      <c r="A1995" t="s">
        <v>9308</v>
      </c>
      <c r="B1995" t="str">
        <f>IF(ISERROR(VLOOKUP(F1995,STEP!A:A, 1, FALSE)), "N", "Y")</f>
        <v>N</v>
      </c>
      <c r="C1995" t="str">
        <f>IF(ISERROR(VLOOKUP(E1995, BibleInEveryLanguageTexts!A:A, 1, FALSE)), "N", "Y")</f>
        <v>N</v>
      </c>
      <c r="D1995" t="str">
        <f t="shared" si="62"/>
        <v>X</v>
      </c>
      <c r="E1995" t="s">
        <v>4024</v>
      </c>
      <c r="F1995" t="s">
        <v>4025</v>
      </c>
      <c r="G1995" t="s">
        <v>4</v>
      </c>
      <c r="H1995" t="s">
        <v>9309</v>
      </c>
      <c r="I1995" t="s">
        <v>183</v>
      </c>
      <c r="J1995" t="str">
        <f>IF(0 = IFERROR(VLOOKUP(DBL_FullList!I1995, ContactsDbl!B:D, 2, FALSE), ""), "", IFERROR(VLOOKUP(DBL_FullList!I1995, ContactsDbl!B:D, 2, FALSE), ""))</f>
        <v>dbl@biblesocieties.org</v>
      </c>
      <c r="K1995" t="str">
        <f>IF(0 = IFERROR(VLOOKUP(DBL_FullList!I1995,ContactsDbl!B:D, 3, FALSE), ""), "", IFERROR(VLOOKUP(DBL_FullList!I1995, ContactsDbl!B:D, 3, FALSE), ""))</f>
        <v>http://www.unitedbiblesocieties.org/</v>
      </c>
      <c r="L1995">
        <f t="shared" si="63"/>
        <v>2</v>
      </c>
    </row>
    <row r="1996" spans="1:12" x14ac:dyDescent="0.25">
      <c r="A1996" t="s">
        <v>9310</v>
      </c>
      <c r="B1996" t="str">
        <f>IF(ISERROR(VLOOKUP(F1996,STEP!A:A, 1, FALSE)), "N", "Y")</f>
        <v>N</v>
      </c>
      <c r="C1996" t="str">
        <f>IF(ISERROR(VLOOKUP(E1996, BibleInEveryLanguageTexts!A:A, 1, FALSE)), "N", "Y")</f>
        <v>N</v>
      </c>
      <c r="D1996" t="str">
        <f t="shared" si="62"/>
        <v>X</v>
      </c>
      <c r="E1996" t="s">
        <v>3775</v>
      </c>
      <c r="F1996" t="s">
        <v>3776</v>
      </c>
      <c r="G1996" t="s">
        <v>4</v>
      </c>
      <c r="H1996" t="s">
        <v>9311</v>
      </c>
      <c r="I1996" t="s">
        <v>183</v>
      </c>
      <c r="J1996" t="str">
        <f>IF(0 = IFERROR(VLOOKUP(DBL_FullList!I1996, ContactsDbl!B:D, 2, FALSE), ""), "", IFERROR(VLOOKUP(DBL_FullList!I1996, ContactsDbl!B:D, 2, FALSE), ""))</f>
        <v>dbl@biblesocieties.org</v>
      </c>
      <c r="K1996" t="str">
        <f>IF(0 = IFERROR(VLOOKUP(DBL_FullList!I1996,ContactsDbl!B:D, 3, FALSE), ""), "", IFERROR(VLOOKUP(DBL_FullList!I1996, ContactsDbl!B:D, 3, FALSE), ""))</f>
        <v>http://www.unitedbiblesocieties.org/</v>
      </c>
      <c r="L1996">
        <f t="shared" si="63"/>
        <v>2</v>
      </c>
    </row>
    <row r="1997" spans="1:12" x14ac:dyDescent="0.25">
      <c r="A1997" t="s">
        <v>9312</v>
      </c>
      <c r="B1997" t="str">
        <f>IF(ISERROR(VLOOKUP(F1997,STEP!A:A, 1, FALSE)), "N", "Y")</f>
        <v>N</v>
      </c>
      <c r="C1997" t="str">
        <f>IF(ISERROR(VLOOKUP(E1997, BibleInEveryLanguageTexts!A:A, 1, FALSE)), "N", "Y")</f>
        <v>N</v>
      </c>
      <c r="D1997" t="str">
        <f t="shared" si="62"/>
        <v>X</v>
      </c>
      <c r="E1997" t="s">
        <v>3775</v>
      </c>
      <c r="F1997" t="s">
        <v>3776</v>
      </c>
      <c r="G1997" t="s">
        <v>4</v>
      </c>
      <c r="H1997" t="s">
        <v>9313</v>
      </c>
      <c r="I1997" t="s">
        <v>183</v>
      </c>
      <c r="J1997" t="str">
        <f>IF(0 = IFERROR(VLOOKUP(DBL_FullList!I1997, ContactsDbl!B:D, 2, FALSE), ""), "", IFERROR(VLOOKUP(DBL_FullList!I1997, ContactsDbl!B:D, 2, FALSE), ""))</f>
        <v>dbl@biblesocieties.org</v>
      </c>
      <c r="K1997" t="str">
        <f>IF(0 = IFERROR(VLOOKUP(DBL_FullList!I1997,ContactsDbl!B:D, 3, FALSE), ""), "", IFERROR(VLOOKUP(DBL_FullList!I1997, ContactsDbl!B:D, 3, FALSE), ""))</f>
        <v>http://www.unitedbiblesocieties.org/</v>
      </c>
      <c r="L1997">
        <f t="shared" si="63"/>
        <v>2</v>
      </c>
    </row>
    <row r="1998" spans="1:12" x14ac:dyDescent="0.25">
      <c r="A1998" s="1" t="s">
        <v>9314</v>
      </c>
      <c r="B1998" t="str">
        <f>IF(ISERROR(VLOOKUP(F1998,STEP!A:A, 1, FALSE)), "N", "Y")</f>
        <v>N</v>
      </c>
      <c r="C1998" t="str">
        <f>IF(ISERROR(VLOOKUP(E1998, BibleInEveryLanguageTexts!A:A, 1, FALSE)), "N", "Y")</f>
        <v>N</v>
      </c>
      <c r="D1998" t="str">
        <f t="shared" si="62"/>
        <v>X</v>
      </c>
      <c r="E1998" t="s">
        <v>4024</v>
      </c>
      <c r="F1998" t="s">
        <v>4025</v>
      </c>
      <c r="G1998" t="s">
        <v>4</v>
      </c>
      <c r="H1998" t="s">
        <v>9315</v>
      </c>
      <c r="I1998" t="s">
        <v>183</v>
      </c>
      <c r="J1998" t="str">
        <f>IF(0 = IFERROR(VLOOKUP(DBL_FullList!I1998, ContactsDbl!B:D, 2, FALSE), ""), "", IFERROR(VLOOKUP(DBL_FullList!I1998, ContactsDbl!B:D, 2, FALSE), ""))</f>
        <v>dbl@biblesocieties.org</v>
      </c>
      <c r="K1998" t="str">
        <f>IF(0 = IFERROR(VLOOKUP(DBL_FullList!I1998,ContactsDbl!B:D, 3, FALSE), ""), "", IFERROR(VLOOKUP(DBL_FullList!I1998, ContactsDbl!B:D, 3, FALSE), ""))</f>
        <v>http://www.unitedbiblesocieties.org/</v>
      </c>
      <c r="L1998">
        <f t="shared" si="63"/>
        <v>2</v>
      </c>
    </row>
    <row r="1999" spans="1:12" x14ac:dyDescent="0.25">
      <c r="A1999" t="s">
        <v>9316</v>
      </c>
      <c r="B1999" t="str">
        <f>IF(ISERROR(VLOOKUP(F1999,STEP!A:A, 1, FALSE)), "N", "Y")</f>
        <v>N</v>
      </c>
      <c r="C1999" t="str">
        <f>IF(ISERROR(VLOOKUP(E1999, BibleInEveryLanguageTexts!A:A, 1, FALSE)), "N", "Y")</f>
        <v>N</v>
      </c>
      <c r="D1999" t="str">
        <f t="shared" si="62"/>
        <v>X</v>
      </c>
      <c r="E1999" t="s">
        <v>3775</v>
      </c>
      <c r="F1999" t="s">
        <v>3776</v>
      </c>
      <c r="G1999" t="s">
        <v>4</v>
      </c>
      <c r="H1999" t="s">
        <v>9317</v>
      </c>
      <c r="I1999" t="s">
        <v>183</v>
      </c>
      <c r="J1999" t="str">
        <f>IF(0 = IFERROR(VLOOKUP(DBL_FullList!I1999, ContactsDbl!B:D, 2, FALSE), ""), "", IFERROR(VLOOKUP(DBL_FullList!I1999, ContactsDbl!B:D, 2, FALSE), ""))</f>
        <v>dbl@biblesocieties.org</v>
      </c>
      <c r="K1999" t="str">
        <f>IF(0 = IFERROR(VLOOKUP(DBL_FullList!I1999,ContactsDbl!B:D, 3, FALSE), ""), "", IFERROR(VLOOKUP(DBL_FullList!I1999, ContactsDbl!B:D, 3, FALSE), ""))</f>
        <v>http://www.unitedbiblesocieties.org/</v>
      </c>
      <c r="L1999">
        <f t="shared" si="63"/>
        <v>2</v>
      </c>
    </row>
    <row r="2000" spans="1:12" x14ac:dyDescent="0.25">
      <c r="A2000" t="s">
        <v>9318</v>
      </c>
      <c r="B2000" t="str">
        <f>IF(ISERROR(VLOOKUP(F2000,STEP!A:A, 1, FALSE)), "N", "Y")</f>
        <v>N</v>
      </c>
      <c r="C2000" t="str">
        <f>IF(ISERROR(VLOOKUP(E2000, BibleInEveryLanguageTexts!A:A, 1, FALSE)), "N", "Y")</f>
        <v>N</v>
      </c>
      <c r="D2000" t="str">
        <f t="shared" si="62"/>
        <v>X</v>
      </c>
      <c r="E2000" t="s">
        <v>3775</v>
      </c>
      <c r="F2000" t="s">
        <v>3776</v>
      </c>
      <c r="G2000" t="s">
        <v>4</v>
      </c>
      <c r="H2000" t="s">
        <v>9319</v>
      </c>
      <c r="I2000" t="s">
        <v>183</v>
      </c>
      <c r="J2000" t="str">
        <f>IF(0 = IFERROR(VLOOKUP(DBL_FullList!I2000, ContactsDbl!B:D, 2, FALSE), ""), "", IFERROR(VLOOKUP(DBL_FullList!I2000, ContactsDbl!B:D, 2, FALSE), ""))</f>
        <v>dbl@biblesocieties.org</v>
      </c>
      <c r="K2000" t="str">
        <f>IF(0 = IFERROR(VLOOKUP(DBL_FullList!I2000,ContactsDbl!B:D, 3, FALSE), ""), "", IFERROR(VLOOKUP(DBL_FullList!I2000, ContactsDbl!B:D, 3, FALSE), ""))</f>
        <v>http://www.unitedbiblesocieties.org/</v>
      </c>
      <c r="L2000">
        <f t="shared" si="63"/>
        <v>2</v>
      </c>
    </row>
    <row r="2001" spans="1:12" x14ac:dyDescent="0.25">
      <c r="A2001" t="s">
        <v>9320</v>
      </c>
      <c r="B2001" t="str">
        <f>IF(ISERROR(VLOOKUP(F2001,STEP!A:A, 1, FALSE)), "N", "Y")</f>
        <v>N</v>
      </c>
      <c r="C2001" t="str">
        <f>IF(ISERROR(VLOOKUP(E2001, BibleInEveryLanguageTexts!A:A, 1, FALSE)), "N", "Y")</f>
        <v>N</v>
      </c>
      <c r="D2001" t="str">
        <f t="shared" si="62"/>
        <v>X</v>
      </c>
      <c r="E2001" t="s">
        <v>3775</v>
      </c>
      <c r="F2001" t="s">
        <v>3776</v>
      </c>
      <c r="G2001" t="s">
        <v>4</v>
      </c>
      <c r="H2001" t="s">
        <v>9321</v>
      </c>
      <c r="I2001" t="s">
        <v>183</v>
      </c>
      <c r="J2001" t="str">
        <f>IF(0 = IFERROR(VLOOKUP(DBL_FullList!I2001, ContactsDbl!B:D, 2, FALSE), ""), "", IFERROR(VLOOKUP(DBL_FullList!I2001, ContactsDbl!B:D, 2, FALSE), ""))</f>
        <v>dbl@biblesocieties.org</v>
      </c>
      <c r="K2001" t="str">
        <f>IF(0 = IFERROR(VLOOKUP(DBL_FullList!I2001,ContactsDbl!B:D, 3, FALSE), ""), "", IFERROR(VLOOKUP(DBL_FullList!I2001, ContactsDbl!B:D, 3, FALSE), ""))</f>
        <v>http://www.unitedbiblesocieties.org/</v>
      </c>
      <c r="L2001">
        <f t="shared" si="63"/>
        <v>2</v>
      </c>
    </row>
    <row r="2002" spans="1:12" x14ac:dyDescent="0.25">
      <c r="A2002" t="s">
        <v>9322</v>
      </c>
      <c r="B2002" t="str">
        <f>IF(ISERROR(VLOOKUP(F2002,STEP!A:A, 1, FALSE)), "N", "Y")</f>
        <v>N</v>
      </c>
      <c r="C2002" t="str">
        <f>IF(ISERROR(VLOOKUP(E2002, BibleInEveryLanguageTexts!A:A, 1, FALSE)), "N", "Y")</f>
        <v>N</v>
      </c>
      <c r="D2002" t="str">
        <f t="shared" si="62"/>
        <v>X</v>
      </c>
      <c r="E2002" t="s">
        <v>4024</v>
      </c>
      <c r="F2002" t="s">
        <v>4025</v>
      </c>
      <c r="G2002" t="s">
        <v>4</v>
      </c>
      <c r="H2002" t="s">
        <v>9323</v>
      </c>
      <c r="I2002" t="s">
        <v>183</v>
      </c>
      <c r="J2002" t="str">
        <f>IF(0 = IFERROR(VLOOKUP(DBL_FullList!I2002, ContactsDbl!B:D, 2, FALSE), ""), "", IFERROR(VLOOKUP(DBL_FullList!I2002, ContactsDbl!B:D, 2, FALSE), ""))</f>
        <v>dbl@biblesocieties.org</v>
      </c>
      <c r="K2002" t="str">
        <f>IF(0 = IFERROR(VLOOKUP(DBL_FullList!I2002,ContactsDbl!B:D, 3, FALSE), ""), "", IFERROR(VLOOKUP(DBL_FullList!I2002, ContactsDbl!B:D, 3, FALSE), ""))</f>
        <v>http://www.unitedbiblesocieties.org/</v>
      </c>
      <c r="L2002">
        <f t="shared" si="63"/>
        <v>2</v>
      </c>
    </row>
    <row r="2003" spans="1:12" x14ac:dyDescent="0.25">
      <c r="A2003" t="s">
        <v>9324</v>
      </c>
      <c r="B2003" t="str">
        <f>IF(ISERROR(VLOOKUP(F2003,STEP!A:A, 1, FALSE)), "N", "Y")</f>
        <v>N</v>
      </c>
      <c r="C2003" t="str">
        <f>IF(ISERROR(VLOOKUP(E2003, BibleInEveryLanguageTexts!A:A, 1, FALSE)), "N", "Y")</f>
        <v>N</v>
      </c>
      <c r="D2003" t="str">
        <f t="shared" si="62"/>
        <v>X</v>
      </c>
      <c r="E2003" t="s">
        <v>4024</v>
      </c>
      <c r="F2003" t="s">
        <v>4025</v>
      </c>
      <c r="G2003" t="s">
        <v>4</v>
      </c>
      <c r="H2003" t="s">
        <v>9325</v>
      </c>
      <c r="I2003" t="s">
        <v>183</v>
      </c>
      <c r="J2003" t="str">
        <f>IF(0 = IFERROR(VLOOKUP(DBL_FullList!I2003, ContactsDbl!B:D, 2, FALSE), ""), "", IFERROR(VLOOKUP(DBL_FullList!I2003, ContactsDbl!B:D, 2, FALSE), ""))</f>
        <v>dbl@biblesocieties.org</v>
      </c>
      <c r="K2003" t="str">
        <f>IF(0 = IFERROR(VLOOKUP(DBL_FullList!I2003,ContactsDbl!B:D, 3, FALSE), ""), "", IFERROR(VLOOKUP(DBL_FullList!I2003, ContactsDbl!B:D, 3, FALSE), ""))</f>
        <v>http://www.unitedbiblesocieties.org/</v>
      </c>
      <c r="L2003">
        <f t="shared" si="63"/>
        <v>2</v>
      </c>
    </row>
    <row r="2004" spans="1:12" x14ac:dyDescent="0.25">
      <c r="A2004" t="s">
        <v>9326</v>
      </c>
      <c r="B2004" t="str">
        <f>IF(ISERROR(VLOOKUP(F2004,STEP!A:A, 1, FALSE)), "N", "Y")</f>
        <v>N</v>
      </c>
      <c r="C2004" t="str">
        <f>IF(ISERROR(VLOOKUP(E2004, BibleInEveryLanguageTexts!A:A, 1, FALSE)), "N", "Y")</f>
        <v>N</v>
      </c>
      <c r="D2004" t="str">
        <f t="shared" si="62"/>
        <v>X</v>
      </c>
      <c r="E2004" t="s">
        <v>4024</v>
      </c>
      <c r="F2004" t="s">
        <v>4025</v>
      </c>
      <c r="G2004" t="s">
        <v>4</v>
      </c>
      <c r="H2004" t="s">
        <v>9327</v>
      </c>
      <c r="I2004" t="s">
        <v>183</v>
      </c>
      <c r="J2004" t="str">
        <f>IF(0 = IFERROR(VLOOKUP(DBL_FullList!I2004, ContactsDbl!B:D, 2, FALSE), ""), "", IFERROR(VLOOKUP(DBL_FullList!I2004, ContactsDbl!B:D, 2, FALSE), ""))</f>
        <v>dbl@biblesocieties.org</v>
      </c>
      <c r="K2004" t="str">
        <f>IF(0 = IFERROR(VLOOKUP(DBL_FullList!I2004,ContactsDbl!B:D, 3, FALSE), ""), "", IFERROR(VLOOKUP(DBL_FullList!I2004, ContactsDbl!B:D, 3, FALSE), ""))</f>
        <v>http://www.unitedbiblesocieties.org/</v>
      </c>
      <c r="L2004">
        <f t="shared" si="63"/>
        <v>2</v>
      </c>
    </row>
    <row r="2005" spans="1:12" x14ac:dyDescent="0.25">
      <c r="A2005" t="s">
        <v>9328</v>
      </c>
      <c r="B2005" t="str">
        <f>IF(ISERROR(VLOOKUP(F2005,STEP!A:A, 1, FALSE)), "N", "Y")</f>
        <v>N</v>
      </c>
      <c r="C2005" t="str">
        <f>IF(ISERROR(VLOOKUP(E2005, BibleInEveryLanguageTexts!A:A, 1, FALSE)), "N", "Y")</f>
        <v>N</v>
      </c>
      <c r="D2005" t="str">
        <f t="shared" si="62"/>
        <v>X</v>
      </c>
      <c r="E2005" t="s">
        <v>4024</v>
      </c>
      <c r="F2005" t="s">
        <v>4025</v>
      </c>
      <c r="G2005" t="s">
        <v>4</v>
      </c>
      <c r="H2005" t="s">
        <v>9329</v>
      </c>
      <c r="I2005" t="s">
        <v>183</v>
      </c>
      <c r="J2005" t="str">
        <f>IF(0 = IFERROR(VLOOKUP(DBL_FullList!I2005, ContactsDbl!B:D, 2, FALSE), ""), "", IFERROR(VLOOKUP(DBL_FullList!I2005, ContactsDbl!B:D, 2, FALSE), ""))</f>
        <v>dbl@biblesocieties.org</v>
      </c>
      <c r="K2005" t="str">
        <f>IF(0 = IFERROR(VLOOKUP(DBL_FullList!I2005,ContactsDbl!B:D, 3, FALSE), ""), "", IFERROR(VLOOKUP(DBL_FullList!I2005, ContactsDbl!B:D, 3, FALSE), ""))</f>
        <v>http://www.unitedbiblesocieties.org/</v>
      </c>
      <c r="L2005">
        <f t="shared" si="63"/>
        <v>2</v>
      </c>
    </row>
    <row r="2006" spans="1:12" x14ac:dyDescent="0.25">
      <c r="A2006" t="s">
        <v>9330</v>
      </c>
      <c r="B2006" t="str">
        <f>IF(ISERROR(VLOOKUP(F2006,STEP!A:A, 1, FALSE)), "N", "Y")</f>
        <v>N</v>
      </c>
      <c r="C2006" t="str">
        <f>IF(ISERROR(VLOOKUP(E2006, BibleInEveryLanguageTexts!A:A, 1, FALSE)), "N", "Y")</f>
        <v>N</v>
      </c>
      <c r="D2006" t="str">
        <f t="shared" si="62"/>
        <v>X</v>
      </c>
      <c r="E2006" t="s">
        <v>4024</v>
      </c>
      <c r="F2006" t="s">
        <v>4025</v>
      </c>
      <c r="G2006" t="s">
        <v>4</v>
      </c>
      <c r="H2006" t="s">
        <v>9331</v>
      </c>
      <c r="I2006" t="s">
        <v>183</v>
      </c>
      <c r="J2006" t="str">
        <f>IF(0 = IFERROR(VLOOKUP(DBL_FullList!I2006, ContactsDbl!B:D, 2, FALSE), ""), "", IFERROR(VLOOKUP(DBL_FullList!I2006, ContactsDbl!B:D, 2, FALSE), ""))</f>
        <v>dbl@biblesocieties.org</v>
      </c>
      <c r="K2006" t="str">
        <f>IF(0 = IFERROR(VLOOKUP(DBL_FullList!I2006,ContactsDbl!B:D, 3, FALSE), ""), "", IFERROR(VLOOKUP(DBL_FullList!I2006, ContactsDbl!B:D, 3, FALSE), ""))</f>
        <v>http://www.unitedbiblesocieties.org/</v>
      </c>
      <c r="L2006">
        <f t="shared" si="63"/>
        <v>2</v>
      </c>
    </row>
    <row r="2007" spans="1:12" x14ac:dyDescent="0.25">
      <c r="A2007" t="s">
        <v>9332</v>
      </c>
      <c r="B2007" t="str">
        <f>IF(ISERROR(VLOOKUP(F2007,STEP!A:A, 1, FALSE)), "N", "Y")</f>
        <v>N</v>
      </c>
      <c r="C2007" t="str">
        <f>IF(ISERROR(VLOOKUP(E2007, BibleInEveryLanguageTexts!A:A, 1, FALSE)), "N", "Y")</f>
        <v>N</v>
      </c>
      <c r="D2007" t="str">
        <f t="shared" si="62"/>
        <v>X</v>
      </c>
      <c r="E2007" t="s">
        <v>4024</v>
      </c>
      <c r="F2007" t="s">
        <v>4025</v>
      </c>
      <c r="G2007" t="s">
        <v>4</v>
      </c>
      <c r="H2007" t="s">
        <v>9333</v>
      </c>
      <c r="I2007" t="s">
        <v>183</v>
      </c>
      <c r="J2007" t="str">
        <f>IF(0 = IFERROR(VLOOKUP(DBL_FullList!I2007, ContactsDbl!B:D, 2, FALSE), ""), "", IFERROR(VLOOKUP(DBL_FullList!I2007, ContactsDbl!B:D, 2, FALSE), ""))</f>
        <v>dbl@biblesocieties.org</v>
      </c>
      <c r="K2007" t="str">
        <f>IF(0 = IFERROR(VLOOKUP(DBL_FullList!I2007,ContactsDbl!B:D, 3, FALSE), ""), "", IFERROR(VLOOKUP(DBL_FullList!I2007, ContactsDbl!B:D, 3, FALSE), ""))</f>
        <v>http://www.unitedbiblesocieties.org/</v>
      </c>
      <c r="L2007">
        <f t="shared" si="63"/>
        <v>2</v>
      </c>
    </row>
    <row r="2008" spans="1:12" x14ac:dyDescent="0.25">
      <c r="A2008" t="s">
        <v>9334</v>
      </c>
      <c r="B2008" t="str">
        <f>IF(ISERROR(VLOOKUP(F2008,STEP!A:A, 1, FALSE)), "N", "Y")</f>
        <v>N</v>
      </c>
      <c r="C2008" t="str">
        <f>IF(ISERROR(VLOOKUP(E2008, BibleInEveryLanguageTexts!A:A, 1, FALSE)), "N", "Y")</f>
        <v>N</v>
      </c>
      <c r="D2008" t="str">
        <f t="shared" si="62"/>
        <v>X</v>
      </c>
      <c r="E2008" t="s">
        <v>3775</v>
      </c>
      <c r="F2008" t="s">
        <v>3776</v>
      </c>
      <c r="G2008" t="s">
        <v>4</v>
      </c>
      <c r="H2008" t="s">
        <v>9335</v>
      </c>
      <c r="I2008" t="s">
        <v>183</v>
      </c>
      <c r="J2008" t="str">
        <f>IF(0 = IFERROR(VLOOKUP(DBL_FullList!I2008, ContactsDbl!B:D, 2, FALSE), ""), "", IFERROR(VLOOKUP(DBL_FullList!I2008, ContactsDbl!B:D, 2, FALSE), ""))</f>
        <v>dbl@biblesocieties.org</v>
      </c>
      <c r="K2008" t="str">
        <f>IF(0 = IFERROR(VLOOKUP(DBL_FullList!I2008,ContactsDbl!B:D, 3, FALSE), ""), "", IFERROR(VLOOKUP(DBL_FullList!I2008, ContactsDbl!B:D, 3, FALSE), ""))</f>
        <v>http://www.unitedbiblesocieties.org/</v>
      </c>
      <c r="L2008">
        <f t="shared" si="63"/>
        <v>2</v>
      </c>
    </row>
    <row r="2009" spans="1:12" x14ac:dyDescent="0.25">
      <c r="A2009" t="s">
        <v>9336</v>
      </c>
      <c r="B2009" t="str">
        <f>IF(ISERROR(VLOOKUP(F2009,STEP!A:A, 1, FALSE)), "N", "Y")</f>
        <v>N</v>
      </c>
      <c r="C2009" t="str">
        <f>IF(ISERROR(VLOOKUP(E2009, BibleInEveryLanguageTexts!A:A, 1, FALSE)), "N", "Y")</f>
        <v>N</v>
      </c>
      <c r="D2009" t="str">
        <f t="shared" si="62"/>
        <v>X</v>
      </c>
      <c r="E2009" t="s">
        <v>4024</v>
      </c>
      <c r="F2009" t="s">
        <v>4025</v>
      </c>
      <c r="G2009" t="s">
        <v>4</v>
      </c>
      <c r="H2009" t="s">
        <v>9337</v>
      </c>
      <c r="I2009" t="s">
        <v>183</v>
      </c>
      <c r="J2009" t="str">
        <f>IF(0 = IFERROR(VLOOKUP(DBL_FullList!I2009, ContactsDbl!B:D, 2, FALSE), ""), "", IFERROR(VLOOKUP(DBL_FullList!I2009, ContactsDbl!B:D, 2, FALSE), ""))</f>
        <v>dbl@biblesocieties.org</v>
      </c>
      <c r="K2009" t="str">
        <f>IF(0 = IFERROR(VLOOKUP(DBL_FullList!I2009,ContactsDbl!B:D, 3, FALSE), ""), "", IFERROR(VLOOKUP(DBL_FullList!I2009, ContactsDbl!B:D, 3, FALSE), ""))</f>
        <v>http://www.unitedbiblesocieties.org/</v>
      </c>
      <c r="L2009">
        <f t="shared" si="63"/>
        <v>2</v>
      </c>
    </row>
    <row r="2010" spans="1:12" x14ac:dyDescent="0.25">
      <c r="A2010" t="s">
        <v>9338</v>
      </c>
      <c r="B2010" t="str">
        <f>IF(ISERROR(VLOOKUP(F2010,STEP!A:A, 1, FALSE)), "N", "Y")</f>
        <v>N</v>
      </c>
      <c r="C2010" t="str">
        <f>IF(ISERROR(VLOOKUP(E2010, BibleInEveryLanguageTexts!A:A, 1, FALSE)), "N", "Y")</f>
        <v>N</v>
      </c>
      <c r="D2010" t="str">
        <f t="shared" si="62"/>
        <v>X</v>
      </c>
      <c r="E2010" t="s">
        <v>4024</v>
      </c>
      <c r="F2010" t="s">
        <v>4025</v>
      </c>
      <c r="G2010" t="s">
        <v>4</v>
      </c>
      <c r="H2010" t="s">
        <v>9339</v>
      </c>
      <c r="I2010" t="s">
        <v>183</v>
      </c>
      <c r="J2010" t="str">
        <f>IF(0 = IFERROR(VLOOKUP(DBL_FullList!I2010, ContactsDbl!B:D, 2, FALSE), ""), "", IFERROR(VLOOKUP(DBL_FullList!I2010, ContactsDbl!B:D, 2, FALSE), ""))</f>
        <v>dbl@biblesocieties.org</v>
      </c>
      <c r="K2010" t="str">
        <f>IF(0 = IFERROR(VLOOKUP(DBL_FullList!I2010,ContactsDbl!B:D, 3, FALSE), ""), "", IFERROR(VLOOKUP(DBL_FullList!I2010, ContactsDbl!B:D, 3, FALSE), ""))</f>
        <v>http://www.unitedbiblesocieties.org/</v>
      </c>
      <c r="L2010">
        <f t="shared" si="63"/>
        <v>2</v>
      </c>
    </row>
    <row r="2011" spans="1:12" x14ac:dyDescent="0.25">
      <c r="A2011" t="s">
        <v>9340</v>
      </c>
      <c r="B2011" t="str">
        <f>IF(ISERROR(VLOOKUP(F2011,STEP!A:A, 1, FALSE)), "N", "Y")</f>
        <v>N</v>
      </c>
      <c r="C2011" t="str">
        <f>IF(ISERROR(VLOOKUP(E2011, BibleInEveryLanguageTexts!A:A, 1, FALSE)), "N", "Y")</f>
        <v>N</v>
      </c>
      <c r="D2011" t="str">
        <f t="shared" si="62"/>
        <v>X</v>
      </c>
      <c r="E2011" t="s">
        <v>4024</v>
      </c>
      <c r="F2011" t="s">
        <v>4025</v>
      </c>
      <c r="G2011" t="s">
        <v>4</v>
      </c>
      <c r="H2011" t="s">
        <v>9341</v>
      </c>
      <c r="I2011" t="s">
        <v>183</v>
      </c>
      <c r="J2011" t="str">
        <f>IF(0 = IFERROR(VLOOKUP(DBL_FullList!I2011, ContactsDbl!B:D, 2, FALSE), ""), "", IFERROR(VLOOKUP(DBL_FullList!I2011, ContactsDbl!B:D, 2, FALSE), ""))</f>
        <v>dbl@biblesocieties.org</v>
      </c>
      <c r="K2011" t="str">
        <f>IF(0 = IFERROR(VLOOKUP(DBL_FullList!I2011,ContactsDbl!B:D, 3, FALSE), ""), "", IFERROR(VLOOKUP(DBL_FullList!I2011, ContactsDbl!B:D, 3, FALSE), ""))</f>
        <v>http://www.unitedbiblesocieties.org/</v>
      </c>
      <c r="L2011">
        <f t="shared" si="63"/>
        <v>2</v>
      </c>
    </row>
    <row r="2012" spans="1:12" x14ac:dyDescent="0.25">
      <c r="A2012" t="s">
        <v>9342</v>
      </c>
      <c r="B2012" t="str">
        <f>IF(ISERROR(VLOOKUP(F2012,STEP!A:A, 1, FALSE)), "N", "Y")</f>
        <v>N</v>
      </c>
      <c r="C2012" t="str">
        <f>IF(ISERROR(VLOOKUP(E2012, BibleInEveryLanguageTexts!A:A, 1, FALSE)), "N", "Y")</f>
        <v>N</v>
      </c>
      <c r="D2012" t="str">
        <f t="shared" si="62"/>
        <v>X</v>
      </c>
      <c r="E2012" t="s">
        <v>3775</v>
      </c>
      <c r="F2012" t="s">
        <v>3776</v>
      </c>
      <c r="G2012" t="s">
        <v>4</v>
      </c>
      <c r="H2012" t="s">
        <v>9343</v>
      </c>
      <c r="I2012" t="s">
        <v>183</v>
      </c>
      <c r="J2012" t="str">
        <f>IF(0 = IFERROR(VLOOKUP(DBL_FullList!I2012, ContactsDbl!B:D, 2, FALSE), ""), "", IFERROR(VLOOKUP(DBL_FullList!I2012, ContactsDbl!B:D, 2, FALSE), ""))</f>
        <v>dbl@biblesocieties.org</v>
      </c>
      <c r="K2012" t="str">
        <f>IF(0 = IFERROR(VLOOKUP(DBL_FullList!I2012,ContactsDbl!B:D, 3, FALSE), ""), "", IFERROR(VLOOKUP(DBL_FullList!I2012, ContactsDbl!B:D, 3, FALSE), ""))</f>
        <v>http://www.unitedbiblesocieties.org/</v>
      </c>
      <c r="L2012">
        <f t="shared" si="63"/>
        <v>2</v>
      </c>
    </row>
    <row r="2013" spans="1:12" x14ac:dyDescent="0.25">
      <c r="A2013" t="s">
        <v>9344</v>
      </c>
      <c r="B2013" t="str">
        <f>IF(ISERROR(VLOOKUP(F2013,STEP!A:A, 1, FALSE)), "N", "Y")</f>
        <v>N</v>
      </c>
      <c r="C2013" t="str">
        <f>IF(ISERROR(VLOOKUP(E2013, BibleInEveryLanguageTexts!A:A, 1, FALSE)), "N", "Y")</f>
        <v>N</v>
      </c>
      <c r="D2013" t="str">
        <f t="shared" si="62"/>
        <v>X</v>
      </c>
      <c r="E2013" t="s">
        <v>3775</v>
      </c>
      <c r="F2013" t="s">
        <v>3776</v>
      </c>
      <c r="G2013" t="s">
        <v>4</v>
      </c>
      <c r="H2013" t="s">
        <v>9345</v>
      </c>
      <c r="I2013" t="s">
        <v>183</v>
      </c>
      <c r="J2013" t="str">
        <f>IF(0 = IFERROR(VLOOKUP(DBL_FullList!I2013, ContactsDbl!B:D, 2, FALSE), ""), "", IFERROR(VLOOKUP(DBL_FullList!I2013, ContactsDbl!B:D, 2, FALSE), ""))</f>
        <v>dbl@biblesocieties.org</v>
      </c>
      <c r="K2013" t="str">
        <f>IF(0 = IFERROR(VLOOKUP(DBL_FullList!I2013,ContactsDbl!B:D, 3, FALSE), ""), "", IFERROR(VLOOKUP(DBL_FullList!I2013, ContactsDbl!B:D, 3, FALSE), ""))</f>
        <v>http://www.unitedbiblesocieties.org/</v>
      </c>
      <c r="L2013">
        <f t="shared" si="63"/>
        <v>2</v>
      </c>
    </row>
    <row r="2014" spans="1:12" x14ac:dyDescent="0.25">
      <c r="A2014" t="s">
        <v>9346</v>
      </c>
      <c r="B2014" t="str">
        <f>IF(ISERROR(VLOOKUP(F2014,STEP!A:A, 1, FALSE)), "N", "Y")</f>
        <v>N</v>
      </c>
      <c r="C2014" t="str">
        <f>IF(ISERROR(VLOOKUP(E2014, BibleInEveryLanguageTexts!A:A, 1, FALSE)), "N", "Y")</f>
        <v>N</v>
      </c>
      <c r="D2014" t="str">
        <f t="shared" si="62"/>
        <v>X</v>
      </c>
      <c r="E2014" t="s">
        <v>4024</v>
      </c>
      <c r="F2014" t="s">
        <v>4025</v>
      </c>
      <c r="G2014" t="s">
        <v>4</v>
      </c>
      <c r="H2014" t="s">
        <v>9347</v>
      </c>
      <c r="I2014" t="s">
        <v>183</v>
      </c>
      <c r="J2014" t="str">
        <f>IF(0 = IFERROR(VLOOKUP(DBL_FullList!I2014, ContactsDbl!B:D, 2, FALSE), ""), "", IFERROR(VLOOKUP(DBL_FullList!I2014, ContactsDbl!B:D, 2, FALSE), ""))</f>
        <v>dbl@biblesocieties.org</v>
      </c>
      <c r="K2014" t="str">
        <f>IF(0 = IFERROR(VLOOKUP(DBL_FullList!I2014,ContactsDbl!B:D, 3, FALSE), ""), "", IFERROR(VLOOKUP(DBL_FullList!I2014, ContactsDbl!B:D, 3, FALSE), ""))</f>
        <v>http://www.unitedbiblesocieties.org/</v>
      </c>
      <c r="L2014">
        <f t="shared" si="63"/>
        <v>2</v>
      </c>
    </row>
    <row r="2015" spans="1:12" x14ac:dyDescent="0.25">
      <c r="A2015" t="s">
        <v>9348</v>
      </c>
      <c r="B2015" t="str">
        <f>IF(ISERROR(VLOOKUP(F2015,STEP!A:A, 1, FALSE)), "N", "Y")</f>
        <v>N</v>
      </c>
      <c r="C2015" t="str">
        <f>IF(ISERROR(VLOOKUP(E2015, BibleInEveryLanguageTexts!A:A, 1, FALSE)), "N", "Y")</f>
        <v>N</v>
      </c>
      <c r="D2015" t="str">
        <f t="shared" si="62"/>
        <v>X</v>
      </c>
      <c r="E2015" t="s">
        <v>9349</v>
      </c>
      <c r="F2015" t="s">
        <v>9350</v>
      </c>
      <c r="G2015" t="s">
        <v>3090</v>
      </c>
      <c r="H2015" t="s">
        <v>9351</v>
      </c>
      <c r="I2015" t="s">
        <v>2222</v>
      </c>
      <c r="J2015" t="str">
        <f>IF(0 = IFERROR(VLOOKUP(DBL_FullList!I2015, ContactsDbl!B:D, 2, FALSE), ""), "", IFERROR(VLOOKUP(DBL_FullList!I2015, ContactsDbl!B:D, 2, FALSE), ""))</f>
        <v>info@piplia.fi</v>
      </c>
      <c r="K2015" t="str">
        <f>IF(0 = IFERROR(VLOOKUP(DBL_FullList!I2015,ContactsDbl!B:D, 3, FALSE), ""), "", IFERROR(VLOOKUP(DBL_FullList!I2015, ContactsDbl!B:D, 3, FALSE), ""))</f>
        <v>http://www.bible.fi/</v>
      </c>
      <c r="L2015">
        <f t="shared" si="63"/>
        <v>2</v>
      </c>
    </row>
    <row r="2016" spans="1:12" x14ac:dyDescent="0.25">
      <c r="A2016" t="s">
        <v>9352</v>
      </c>
      <c r="B2016" t="str">
        <f>IF(ISERROR(VLOOKUP(F2016,STEP!A:A, 1, FALSE)), "N", "Y")</f>
        <v>N</v>
      </c>
      <c r="C2016" t="str">
        <f>IF(ISERROR(VLOOKUP(E2016, BibleInEveryLanguageTexts!A:A, 1, FALSE)), "N", "Y")</f>
        <v>N</v>
      </c>
      <c r="D2016" t="str">
        <f t="shared" si="62"/>
        <v>X</v>
      </c>
      <c r="E2016" t="s">
        <v>9349</v>
      </c>
      <c r="F2016" t="s">
        <v>9350</v>
      </c>
      <c r="G2016" t="s">
        <v>3090</v>
      </c>
      <c r="H2016" t="s">
        <v>9353</v>
      </c>
      <c r="I2016" t="s">
        <v>2222</v>
      </c>
      <c r="J2016" t="str">
        <f>IF(0 = IFERROR(VLOOKUP(DBL_FullList!I2016, ContactsDbl!B:D, 2, FALSE), ""), "", IFERROR(VLOOKUP(DBL_FullList!I2016, ContactsDbl!B:D, 2, FALSE), ""))</f>
        <v>info@piplia.fi</v>
      </c>
      <c r="K2016" t="str">
        <f>IF(0 = IFERROR(VLOOKUP(DBL_FullList!I2016,ContactsDbl!B:D, 3, FALSE), ""), "", IFERROR(VLOOKUP(DBL_FullList!I2016, ContactsDbl!B:D, 3, FALSE), ""))</f>
        <v>http://www.bible.fi/</v>
      </c>
      <c r="L2016">
        <f t="shared" si="63"/>
        <v>2</v>
      </c>
    </row>
    <row r="2017" spans="1:12" x14ac:dyDescent="0.25">
      <c r="A2017" t="s">
        <v>9354</v>
      </c>
      <c r="B2017" t="str">
        <f>IF(ISERROR(VLOOKUP(F2017,STEP!A:A, 1, FALSE)), "N", "Y")</f>
        <v>N</v>
      </c>
      <c r="C2017" t="str">
        <f>IF(ISERROR(VLOOKUP(E2017, BibleInEveryLanguageTexts!A:A, 1, FALSE)), "N", "Y")</f>
        <v>N</v>
      </c>
      <c r="D2017" t="str">
        <f t="shared" si="62"/>
        <v>X</v>
      </c>
      <c r="E2017" t="s">
        <v>9349</v>
      </c>
      <c r="F2017" t="s">
        <v>9350</v>
      </c>
      <c r="G2017" t="s">
        <v>3090</v>
      </c>
      <c r="H2017" t="s">
        <v>9355</v>
      </c>
      <c r="I2017" t="s">
        <v>2222</v>
      </c>
      <c r="J2017" t="str">
        <f>IF(0 = IFERROR(VLOOKUP(DBL_FullList!I2017, ContactsDbl!B:D, 2, FALSE), ""), "", IFERROR(VLOOKUP(DBL_FullList!I2017, ContactsDbl!B:D, 2, FALSE), ""))</f>
        <v>info@piplia.fi</v>
      </c>
      <c r="K2017" t="str">
        <f>IF(0 = IFERROR(VLOOKUP(DBL_FullList!I2017,ContactsDbl!B:D, 3, FALSE), ""), "", IFERROR(VLOOKUP(DBL_FullList!I2017, ContactsDbl!B:D, 3, FALSE), ""))</f>
        <v>http://www.bible.fi/</v>
      </c>
      <c r="L2017">
        <f t="shared" si="63"/>
        <v>2</v>
      </c>
    </row>
    <row r="2018" spans="1:12" x14ac:dyDescent="0.25">
      <c r="A2018" s="1" t="s">
        <v>9356</v>
      </c>
      <c r="B2018" t="str">
        <f>IF(ISERROR(VLOOKUP(F2018,STEP!A:A, 1, FALSE)), "N", "Y")</f>
        <v>N</v>
      </c>
      <c r="C2018" t="str">
        <f>IF(ISERROR(VLOOKUP(E2018, BibleInEveryLanguageTexts!A:A, 1, FALSE)), "N", "Y")</f>
        <v>N</v>
      </c>
      <c r="D2018" t="str">
        <f t="shared" si="62"/>
        <v>X</v>
      </c>
      <c r="E2018" t="s">
        <v>9357</v>
      </c>
      <c r="F2018" t="s">
        <v>9358</v>
      </c>
      <c r="G2018" t="s">
        <v>20</v>
      </c>
      <c r="H2018" t="s">
        <v>9359</v>
      </c>
      <c r="I2018" t="s">
        <v>2329</v>
      </c>
      <c r="J2018" t="str">
        <f>IF(0 = IFERROR(VLOOKUP(DBL_FullList!I2018, ContactsDbl!B:D, 2, FALSE), ""), "", IFERROR(VLOOKUP(DBL_FullList!I2018, ContactsDbl!B:D, 2, FALSE), ""))</f>
        <v/>
      </c>
      <c r="K2018" t="str">
        <f>IF(0 = IFERROR(VLOOKUP(DBL_FullList!I2018,ContactsDbl!B:D, 3, FALSE), ""), "", IFERROR(VLOOKUP(DBL_FullList!I2018, ContactsDbl!B:D, 3, FALSE), ""))</f>
        <v>http://www.bsind.org/</v>
      </c>
      <c r="L2018">
        <f t="shared" si="63"/>
        <v>1</v>
      </c>
    </row>
    <row r="2019" spans="1:12" x14ac:dyDescent="0.25">
      <c r="A2019" t="s">
        <v>9360</v>
      </c>
      <c r="B2019" t="str">
        <f>IF(ISERROR(VLOOKUP(F2019,STEP!A:A, 1, FALSE)), "N", "Y")</f>
        <v>N</v>
      </c>
      <c r="C2019" t="str">
        <f>IF(ISERROR(VLOOKUP(E2019, BibleInEveryLanguageTexts!A:A, 1, FALSE)), "N", "Y")</f>
        <v>N</v>
      </c>
      <c r="D2019" t="str">
        <f t="shared" si="62"/>
        <v>X</v>
      </c>
      <c r="E2019" t="s">
        <v>4024</v>
      </c>
      <c r="F2019" t="s">
        <v>4025</v>
      </c>
      <c r="G2019" t="s">
        <v>4</v>
      </c>
      <c r="H2019" t="s">
        <v>9309</v>
      </c>
      <c r="I2019" t="s">
        <v>183</v>
      </c>
      <c r="J2019" t="str">
        <f>IF(0 = IFERROR(VLOOKUP(DBL_FullList!I2019, ContactsDbl!B:D, 2, FALSE), ""), "", IFERROR(VLOOKUP(DBL_FullList!I2019, ContactsDbl!B:D, 2, FALSE), ""))</f>
        <v>dbl@biblesocieties.org</v>
      </c>
      <c r="K2019" t="str">
        <f>IF(0 = IFERROR(VLOOKUP(DBL_FullList!I2019,ContactsDbl!B:D, 3, FALSE), ""), "", IFERROR(VLOOKUP(DBL_FullList!I2019, ContactsDbl!B:D, 3, FALSE), ""))</f>
        <v>http://www.unitedbiblesocieties.org/</v>
      </c>
      <c r="L2019">
        <f t="shared" si="63"/>
        <v>2</v>
      </c>
    </row>
    <row r="2020" spans="1:12" x14ac:dyDescent="0.25">
      <c r="A2020" t="s">
        <v>9361</v>
      </c>
      <c r="B2020" t="str">
        <f>IF(ISERROR(VLOOKUP(F2020,STEP!A:A, 1, FALSE)), "N", "Y")</f>
        <v>N</v>
      </c>
      <c r="C2020" t="str">
        <f>IF(ISERROR(VLOOKUP(E2020, BibleInEveryLanguageTexts!A:A, 1, FALSE)), "N", "Y")</f>
        <v>N</v>
      </c>
      <c r="D2020" t="str">
        <f t="shared" si="62"/>
        <v>X</v>
      </c>
      <c r="E2020" t="s">
        <v>6330</v>
      </c>
      <c r="F2020" t="s">
        <v>6331</v>
      </c>
      <c r="G2020" t="s">
        <v>171</v>
      </c>
      <c r="H2020" t="s">
        <v>9362</v>
      </c>
      <c r="I2020" t="s">
        <v>168</v>
      </c>
      <c r="J2020" t="str">
        <f>IF(0 = IFERROR(VLOOKUP(DBL_FullList!I2020, ContactsDbl!B:D, 2, FALSE), ""), "", IFERROR(VLOOKUP(DBL_FullList!I2020, ContactsDbl!B:D, 2, FALSE), ""))</f>
        <v>admin@biblesociety-ethiopia.org</v>
      </c>
      <c r="K2020" t="str">
        <f>IF(0 = IFERROR(VLOOKUP(DBL_FullList!I2020,ContactsDbl!B:D, 3, FALSE), ""), "", IFERROR(VLOOKUP(DBL_FullList!I2020, ContactsDbl!B:D, 3, FALSE), ""))</f>
        <v>http://biblesociety-ethiopia.org</v>
      </c>
      <c r="L2020">
        <f t="shared" si="63"/>
        <v>2</v>
      </c>
    </row>
    <row r="2021" spans="1:12" x14ac:dyDescent="0.25">
      <c r="A2021" t="s">
        <v>9363</v>
      </c>
      <c r="B2021" t="str">
        <f>IF(ISERROR(VLOOKUP(F2021,STEP!A:A, 1, FALSE)), "N", "Y")</f>
        <v>N</v>
      </c>
      <c r="C2021" t="str">
        <f>IF(ISERROR(VLOOKUP(E2021, BibleInEveryLanguageTexts!A:A, 1, FALSE)), "N", "Y")</f>
        <v>N</v>
      </c>
      <c r="D2021" t="str">
        <f t="shared" si="62"/>
        <v>X</v>
      </c>
      <c r="E2021" t="s">
        <v>9364</v>
      </c>
      <c r="F2021" t="s">
        <v>9365</v>
      </c>
      <c r="G2021" t="s">
        <v>171</v>
      </c>
      <c r="H2021" t="s">
        <v>9366</v>
      </c>
      <c r="I2021" t="s">
        <v>168</v>
      </c>
      <c r="J2021" t="str">
        <f>IF(0 = IFERROR(VLOOKUP(DBL_FullList!I2021, ContactsDbl!B:D, 2, FALSE), ""), "", IFERROR(VLOOKUP(DBL_FullList!I2021, ContactsDbl!B:D, 2, FALSE), ""))</f>
        <v>admin@biblesociety-ethiopia.org</v>
      </c>
      <c r="K2021" t="str">
        <f>IF(0 = IFERROR(VLOOKUP(DBL_FullList!I2021,ContactsDbl!B:D, 3, FALSE), ""), "", IFERROR(VLOOKUP(DBL_FullList!I2021, ContactsDbl!B:D, 3, FALSE), ""))</f>
        <v>http://biblesociety-ethiopia.org</v>
      </c>
      <c r="L2021">
        <f t="shared" si="63"/>
        <v>2</v>
      </c>
    </row>
    <row r="2022" spans="1:12" x14ac:dyDescent="0.25">
      <c r="A2022" t="s">
        <v>9367</v>
      </c>
      <c r="B2022" t="str">
        <f>IF(ISERROR(VLOOKUP(F2022,STEP!A:A, 1, FALSE)), "N", "Y")</f>
        <v>N</v>
      </c>
      <c r="C2022" t="str">
        <f>IF(ISERROR(VLOOKUP(E2022, BibleInEveryLanguageTexts!A:A, 1, FALSE)), "N", "Y")</f>
        <v>N</v>
      </c>
      <c r="D2022" t="str">
        <f t="shared" si="62"/>
        <v>X</v>
      </c>
      <c r="E2022" t="s">
        <v>5757</v>
      </c>
      <c r="F2022" t="s">
        <v>5758</v>
      </c>
      <c r="G2022" t="s">
        <v>5759</v>
      </c>
      <c r="H2022" t="s">
        <v>9368</v>
      </c>
      <c r="I2022" t="s">
        <v>2102</v>
      </c>
      <c r="J2022" t="str">
        <f>IF(0 = IFERROR(VLOOKUP(DBL_FullList!I2022, ContactsDbl!B:D, 2, FALSE), ""), "", IFERROR(VLOOKUP(DBL_FullList!I2022, ContactsDbl!B:D, 2, FALSE), ""))</f>
        <v>mkatonivere@bible.org.fj</v>
      </c>
      <c r="K2022" t="str">
        <f>IF(0 = IFERROR(VLOOKUP(DBL_FullList!I2022,ContactsDbl!B:D, 3, FALSE), ""), "", IFERROR(VLOOKUP(DBL_FullList!I2022, ContactsDbl!B:D, 3, FALSE), ""))</f>
        <v>http://www.bible.org.fj/</v>
      </c>
      <c r="L2022">
        <f t="shared" si="63"/>
        <v>2</v>
      </c>
    </row>
    <row r="2023" spans="1:12" x14ac:dyDescent="0.25">
      <c r="A2023" t="s">
        <v>9369</v>
      </c>
      <c r="B2023" t="str">
        <f>IF(ISERROR(VLOOKUP(F2023,STEP!A:A, 1, FALSE)), "N", "Y")</f>
        <v>N</v>
      </c>
      <c r="C2023" t="str">
        <f>IF(ISERROR(VLOOKUP(E2023, BibleInEveryLanguageTexts!A:A, 1, FALSE)), "N", "Y")</f>
        <v>N</v>
      </c>
      <c r="D2023" t="str">
        <f t="shared" si="62"/>
        <v>X</v>
      </c>
      <c r="E2023" t="s">
        <v>3578</v>
      </c>
      <c r="F2023" t="s">
        <v>3579</v>
      </c>
      <c r="G2023" t="s">
        <v>2833</v>
      </c>
      <c r="H2023" t="s">
        <v>9370</v>
      </c>
      <c r="I2023" t="s">
        <v>2647</v>
      </c>
      <c r="J2023" t="str">
        <f>IF(0 = IFERROR(VLOOKUP(DBL_FullList!I2023, ContactsDbl!B:D, 2, FALSE), ""), "", IFERROR(VLOOKUP(DBL_FullList!I2023, ContactsDbl!B:D, 2, FALSE), ""))</f>
        <v>info@biblesociety-uganda.org</v>
      </c>
      <c r="K2023" t="str">
        <f>IF(0 = IFERROR(VLOOKUP(DBL_FullList!I2023,ContactsDbl!B:D, 3, FALSE), ""), "", IFERROR(VLOOKUP(DBL_FullList!I2023, ContactsDbl!B:D, 3, FALSE), ""))</f>
        <v>http://www.biblesociety-uganda.org/</v>
      </c>
      <c r="L2023">
        <f t="shared" si="63"/>
        <v>2</v>
      </c>
    </row>
    <row r="2024" spans="1:12" x14ac:dyDescent="0.25">
      <c r="A2024" t="s">
        <v>9371</v>
      </c>
      <c r="B2024" t="str">
        <f>IF(ISERROR(VLOOKUP(F2024,STEP!A:A, 1, FALSE)), "N", "Y")</f>
        <v>N</v>
      </c>
      <c r="C2024" t="str">
        <f>IF(ISERROR(VLOOKUP(E2024, BibleInEveryLanguageTexts!A:A, 1, FALSE)), "N", "Y")</f>
        <v>Y</v>
      </c>
      <c r="D2024" t="str">
        <f t="shared" si="62"/>
        <v/>
      </c>
      <c r="E2024" t="s">
        <v>21</v>
      </c>
      <c r="F2024" t="s">
        <v>19</v>
      </c>
      <c r="G2024" t="s">
        <v>20</v>
      </c>
      <c r="H2024" t="s">
        <v>9372</v>
      </c>
      <c r="I2024" t="s">
        <v>2329</v>
      </c>
      <c r="J2024" t="str">
        <f>IF(0 = IFERROR(VLOOKUP(DBL_FullList!I2024, ContactsDbl!B:D, 2, FALSE), ""), "", IFERROR(VLOOKUP(DBL_FullList!I2024, ContactsDbl!B:D, 2, FALSE), ""))</f>
        <v/>
      </c>
      <c r="K2024" t="str">
        <f>IF(0 = IFERROR(VLOOKUP(DBL_FullList!I2024,ContactsDbl!B:D, 3, FALSE), ""), "", IFERROR(VLOOKUP(DBL_FullList!I2024, ContactsDbl!B:D, 3, FALSE), ""))</f>
        <v>http://www.bsind.org/</v>
      </c>
      <c r="L2024">
        <f t="shared" si="63"/>
        <v>1</v>
      </c>
    </row>
    <row r="2025" spans="1:12" x14ac:dyDescent="0.25">
      <c r="A2025" t="s">
        <v>9373</v>
      </c>
      <c r="B2025" t="str">
        <f>IF(ISERROR(VLOOKUP(F2025,STEP!A:A, 1, FALSE)), "N", "Y")</f>
        <v>N</v>
      </c>
      <c r="C2025" t="str">
        <f>IF(ISERROR(VLOOKUP(E2025, BibleInEveryLanguageTexts!A:A, 1, FALSE)), "N", "Y")</f>
        <v>N</v>
      </c>
      <c r="D2025" t="str">
        <f t="shared" si="62"/>
        <v>X</v>
      </c>
      <c r="E2025" t="s">
        <v>4024</v>
      </c>
      <c r="F2025" t="s">
        <v>4025</v>
      </c>
      <c r="G2025" t="s">
        <v>4</v>
      </c>
      <c r="H2025" t="s">
        <v>9374</v>
      </c>
      <c r="I2025" t="s">
        <v>183</v>
      </c>
      <c r="J2025" t="str">
        <f>IF(0 = IFERROR(VLOOKUP(DBL_FullList!I2025, ContactsDbl!B:D, 2, FALSE), ""), "", IFERROR(VLOOKUP(DBL_FullList!I2025, ContactsDbl!B:D, 2, FALSE), ""))</f>
        <v>dbl@biblesocieties.org</v>
      </c>
      <c r="K2025" t="str">
        <f>IF(0 = IFERROR(VLOOKUP(DBL_FullList!I2025,ContactsDbl!B:D, 3, FALSE), ""), "", IFERROR(VLOOKUP(DBL_FullList!I2025, ContactsDbl!B:D, 3, FALSE), ""))</f>
        <v>http://www.unitedbiblesocieties.org/</v>
      </c>
      <c r="L2025">
        <f t="shared" si="63"/>
        <v>2</v>
      </c>
    </row>
    <row r="2026" spans="1:12" x14ac:dyDescent="0.25">
      <c r="A2026" t="s">
        <v>9375</v>
      </c>
      <c r="B2026" t="str">
        <f>IF(ISERROR(VLOOKUP(F2026,STEP!A:A, 1, FALSE)), "N", "Y")</f>
        <v>N</v>
      </c>
      <c r="C2026" t="str">
        <f>IF(ISERROR(VLOOKUP(E2026, BibleInEveryLanguageTexts!A:A, 1, FALSE)), "N", "Y")</f>
        <v>N</v>
      </c>
      <c r="D2026" t="str">
        <f t="shared" si="62"/>
        <v>X</v>
      </c>
      <c r="E2026" t="s">
        <v>4024</v>
      </c>
      <c r="F2026" t="s">
        <v>4025</v>
      </c>
      <c r="G2026" t="s">
        <v>4</v>
      </c>
      <c r="H2026" t="s">
        <v>9376</v>
      </c>
      <c r="I2026" t="s">
        <v>183</v>
      </c>
      <c r="J2026" t="str">
        <f>IF(0 = IFERROR(VLOOKUP(DBL_FullList!I2026, ContactsDbl!B:D, 2, FALSE), ""), "", IFERROR(VLOOKUP(DBL_FullList!I2026, ContactsDbl!B:D, 2, FALSE), ""))</f>
        <v>dbl@biblesocieties.org</v>
      </c>
      <c r="K2026" t="str">
        <f>IF(0 = IFERROR(VLOOKUP(DBL_FullList!I2026,ContactsDbl!B:D, 3, FALSE), ""), "", IFERROR(VLOOKUP(DBL_FullList!I2026, ContactsDbl!B:D, 3, FALSE), ""))</f>
        <v>http://www.unitedbiblesocieties.org/</v>
      </c>
      <c r="L2026">
        <f t="shared" si="63"/>
        <v>2</v>
      </c>
    </row>
    <row r="2027" spans="1:12" x14ac:dyDescent="0.25">
      <c r="A2027" t="s">
        <v>9377</v>
      </c>
      <c r="B2027" t="str">
        <f>IF(ISERROR(VLOOKUP(F2027,STEP!A:A, 1, FALSE)), "N", "Y")</f>
        <v>N</v>
      </c>
      <c r="C2027" t="str">
        <f>IF(ISERROR(VLOOKUP(E2027, BibleInEveryLanguageTexts!A:A, 1, FALSE)), "N", "Y")</f>
        <v>N</v>
      </c>
      <c r="D2027" t="str">
        <f t="shared" si="62"/>
        <v>X</v>
      </c>
      <c r="E2027" t="s">
        <v>3775</v>
      </c>
      <c r="F2027" t="s">
        <v>3776</v>
      </c>
      <c r="G2027" t="s">
        <v>4</v>
      </c>
      <c r="H2027" t="s">
        <v>9378</v>
      </c>
      <c r="I2027" t="s">
        <v>183</v>
      </c>
      <c r="J2027" t="str">
        <f>IF(0 = IFERROR(VLOOKUP(DBL_FullList!I2027, ContactsDbl!B:D, 2, FALSE), ""), "", IFERROR(VLOOKUP(DBL_FullList!I2027, ContactsDbl!B:D, 2, FALSE), ""))</f>
        <v>dbl@biblesocieties.org</v>
      </c>
      <c r="K2027" t="str">
        <f>IF(0 = IFERROR(VLOOKUP(DBL_FullList!I2027,ContactsDbl!B:D, 3, FALSE), ""), "", IFERROR(VLOOKUP(DBL_FullList!I2027, ContactsDbl!B:D, 3, FALSE), ""))</f>
        <v>http://www.unitedbiblesocieties.org/</v>
      </c>
      <c r="L2027">
        <f t="shared" si="63"/>
        <v>2</v>
      </c>
    </row>
    <row r="2028" spans="1:12" x14ac:dyDescent="0.25">
      <c r="A2028" t="s">
        <v>9379</v>
      </c>
      <c r="B2028" t="str">
        <f>IF(ISERROR(VLOOKUP(F2028,STEP!A:A, 1, FALSE)), "N", "Y")</f>
        <v>N</v>
      </c>
      <c r="C2028" t="str">
        <f>IF(ISERROR(VLOOKUP(E2028, BibleInEveryLanguageTexts!A:A, 1, FALSE)), "N", "Y")</f>
        <v>N</v>
      </c>
      <c r="D2028" t="str">
        <f t="shared" si="62"/>
        <v>X</v>
      </c>
      <c r="E2028" t="s">
        <v>3775</v>
      </c>
      <c r="F2028" t="s">
        <v>3776</v>
      </c>
      <c r="G2028" t="s">
        <v>4</v>
      </c>
      <c r="H2028" t="s">
        <v>6356</v>
      </c>
      <c r="I2028" t="s">
        <v>183</v>
      </c>
      <c r="J2028" t="str">
        <f>IF(0 = IFERROR(VLOOKUP(DBL_FullList!I2028, ContactsDbl!B:D, 2, FALSE), ""), "", IFERROR(VLOOKUP(DBL_FullList!I2028, ContactsDbl!B:D, 2, FALSE), ""))</f>
        <v>dbl@biblesocieties.org</v>
      </c>
      <c r="K2028" t="str">
        <f>IF(0 = IFERROR(VLOOKUP(DBL_FullList!I2028,ContactsDbl!B:D, 3, FALSE), ""), "", IFERROR(VLOOKUP(DBL_FullList!I2028, ContactsDbl!B:D, 3, FALSE), ""))</f>
        <v>http://www.unitedbiblesocieties.org/</v>
      </c>
      <c r="L2028">
        <f t="shared" si="63"/>
        <v>2</v>
      </c>
    </row>
    <row r="2029" spans="1:12" x14ac:dyDescent="0.25">
      <c r="A2029" t="s">
        <v>9380</v>
      </c>
      <c r="B2029" t="str">
        <f>IF(ISERROR(VLOOKUP(F2029,STEP!A:A, 1, FALSE)), "N", "Y")</f>
        <v>N</v>
      </c>
      <c r="C2029" t="str">
        <f>IF(ISERROR(VLOOKUP(E2029, BibleInEveryLanguageTexts!A:A, 1, FALSE)), "N", "Y")</f>
        <v>N</v>
      </c>
      <c r="D2029" t="str">
        <f t="shared" si="62"/>
        <v>X</v>
      </c>
      <c r="E2029" t="s">
        <v>517</v>
      </c>
      <c r="F2029" t="s">
        <v>515</v>
      </c>
      <c r="G2029" t="s">
        <v>516</v>
      </c>
      <c r="H2029" t="s">
        <v>9381</v>
      </c>
      <c r="I2029" t="s">
        <v>2519</v>
      </c>
      <c r="J2029" t="str">
        <f>IF(0 = IFERROR(VLOOKUP(DBL_FullList!I2029, ContactsDbl!B:D, 2, FALSE), ""), "", IFERROR(VLOOKUP(DBL_FullList!I2029, ContactsDbl!B:D, 2, FALSE), ""))</f>
        <v>gjjkarsten@jongbloed.com</v>
      </c>
      <c r="K2029" t="str">
        <f>IF(0 = IFERROR(VLOOKUP(DBL_FullList!I2029,ContactsDbl!B:D, 3, FALSE), ""), "", IFERROR(VLOOKUP(DBL_FullList!I2029, ContactsDbl!B:D, 3, FALSE), ""))</f>
        <v>http://www.royaljongbloed.com/</v>
      </c>
      <c r="L2029">
        <f t="shared" si="63"/>
        <v>2</v>
      </c>
    </row>
    <row r="2030" spans="1:12" x14ac:dyDescent="0.25">
      <c r="A2030" t="s">
        <v>9382</v>
      </c>
      <c r="B2030" t="str">
        <f>IF(ISERROR(VLOOKUP(F2030,STEP!A:A, 1, FALSE)), "N", "Y")</f>
        <v>N</v>
      </c>
      <c r="C2030" t="str">
        <f>IF(ISERROR(VLOOKUP(E2030, BibleInEveryLanguageTexts!A:A, 1, FALSE)), "N", "Y")</f>
        <v>N</v>
      </c>
      <c r="D2030" t="str">
        <f t="shared" si="62"/>
        <v>X</v>
      </c>
      <c r="E2030" t="s">
        <v>5731</v>
      </c>
      <c r="F2030" t="s">
        <v>5732</v>
      </c>
      <c r="G2030" t="s">
        <v>2815</v>
      </c>
      <c r="H2030" t="s">
        <v>9383</v>
      </c>
      <c r="I2030" t="s">
        <v>2362</v>
      </c>
      <c r="J2030" t="str">
        <f>IF(0 = IFERROR(VLOOKUP(DBL_FullList!I2030, ContactsDbl!B:D, 2, FALSE), ""), "", IFERROR(VLOOKUP(DBL_FullList!I2030, ContactsDbl!B:D, 2, FALSE), ""))</f>
        <v>muriuki@biblesociety-kenya.org</v>
      </c>
      <c r="K2030" t="str">
        <f>IF(0 = IFERROR(VLOOKUP(DBL_FullList!I2030,ContactsDbl!B:D, 3, FALSE), ""), "", IFERROR(VLOOKUP(DBL_FullList!I2030, ContactsDbl!B:D, 3, FALSE), ""))</f>
        <v>http://www.biblesociety-kenya.org/</v>
      </c>
      <c r="L2030">
        <f t="shared" si="63"/>
        <v>2</v>
      </c>
    </row>
    <row r="2031" spans="1:12" x14ac:dyDescent="0.25">
      <c r="A2031" t="s">
        <v>9384</v>
      </c>
      <c r="B2031" t="str">
        <f>IF(ISERROR(VLOOKUP(F2031,STEP!A:A, 1, FALSE)), "N", "Y")</f>
        <v>N</v>
      </c>
      <c r="C2031" t="str">
        <f>IF(ISERROR(VLOOKUP(E2031, BibleInEveryLanguageTexts!A:A, 1, FALSE)), "N", "Y")</f>
        <v>N</v>
      </c>
      <c r="D2031" t="str">
        <f t="shared" si="62"/>
        <v>X</v>
      </c>
      <c r="E2031" t="s">
        <v>199</v>
      </c>
      <c r="F2031" t="s">
        <v>197</v>
      </c>
      <c r="G2031" t="s">
        <v>121</v>
      </c>
      <c r="H2031" t="s">
        <v>9385</v>
      </c>
      <c r="I2031" t="s">
        <v>183</v>
      </c>
      <c r="J2031" t="str">
        <f>IF(0 = IFERROR(VLOOKUP(DBL_FullList!I2031, ContactsDbl!B:D, 2, FALSE), ""), "", IFERROR(VLOOKUP(DBL_FullList!I2031, ContactsDbl!B:D, 2, FALSE), ""))</f>
        <v>dbl@biblesocieties.org</v>
      </c>
      <c r="K2031" t="str">
        <f>IF(0 = IFERROR(VLOOKUP(DBL_FullList!I2031,ContactsDbl!B:D, 3, FALSE), ""), "", IFERROR(VLOOKUP(DBL_FullList!I2031, ContactsDbl!B:D, 3, FALSE), ""))</f>
        <v>http://www.unitedbiblesocieties.org/</v>
      </c>
      <c r="L2031">
        <f t="shared" si="63"/>
        <v>2</v>
      </c>
    </row>
    <row r="2032" spans="1:12" x14ac:dyDescent="0.25">
      <c r="A2032" t="s">
        <v>9386</v>
      </c>
      <c r="B2032" t="str">
        <f>IF(ISERROR(VLOOKUP(F2032,STEP!A:A, 1, FALSE)), "N", "Y")</f>
        <v>N</v>
      </c>
      <c r="C2032" t="str">
        <f>IF(ISERROR(VLOOKUP(E2032, BibleInEveryLanguageTexts!A:A, 1, FALSE)), "N", "Y")</f>
        <v>N</v>
      </c>
      <c r="D2032" t="str">
        <f t="shared" si="62"/>
        <v>X</v>
      </c>
      <c r="E2032" t="s">
        <v>199</v>
      </c>
      <c r="F2032" t="s">
        <v>197</v>
      </c>
      <c r="G2032" t="s">
        <v>2942</v>
      </c>
      <c r="H2032" t="s">
        <v>9387</v>
      </c>
      <c r="I2032" t="s">
        <v>183</v>
      </c>
      <c r="J2032" t="str">
        <f>IF(0 = IFERROR(VLOOKUP(DBL_FullList!I2032, ContactsDbl!B:D, 2, FALSE), ""), "", IFERROR(VLOOKUP(DBL_FullList!I2032, ContactsDbl!B:D, 2, FALSE), ""))</f>
        <v>dbl@biblesocieties.org</v>
      </c>
      <c r="K2032" t="str">
        <f>IF(0 = IFERROR(VLOOKUP(DBL_FullList!I2032,ContactsDbl!B:D, 3, FALSE), ""), "", IFERROR(VLOOKUP(DBL_FullList!I2032, ContactsDbl!B:D, 3, FALSE), ""))</f>
        <v>http://www.unitedbiblesocieties.org/</v>
      </c>
      <c r="L2032">
        <f t="shared" si="63"/>
        <v>2</v>
      </c>
    </row>
    <row r="2033" spans="1:12" x14ac:dyDescent="0.25">
      <c r="A2033" t="s">
        <v>9388</v>
      </c>
      <c r="B2033" t="str">
        <f>IF(ISERROR(VLOOKUP(F2033,STEP!A:A, 1, FALSE)), "N", "Y")</f>
        <v>N</v>
      </c>
      <c r="C2033" t="str">
        <f>IF(ISERROR(VLOOKUP(E2033, BibleInEveryLanguageTexts!A:A, 1, FALSE)), "N", "Y")</f>
        <v>N</v>
      </c>
      <c r="D2033" t="str">
        <f t="shared" si="62"/>
        <v>X</v>
      </c>
      <c r="E2033" t="s">
        <v>9389</v>
      </c>
      <c r="F2033" t="s">
        <v>9390</v>
      </c>
      <c r="G2033" t="s">
        <v>4607</v>
      </c>
      <c r="H2033" t="s">
        <v>9391</v>
      </c>
      <c r="I2033" t="s">
        <v>2110</v>
      </c>
      <c r="J2033" t="str">
        <f>IF(0 = IFERROR(VLOOKUP(DBL_FullList!I2033, ContactsDbl!B:D, 2, FALSE), ""), "", IFERROR(VLOOKUP(DBL_FullList!I2033, ContactsDbl!B:D, 2, FALSE), ""))</f>
        <v>joychen@bstwn.org</v>
      </c>
      <c r="K2033" t="str">
        <f>IF(0 = IFERROR(VLOOKUP(DBL_FullList!I2033,ContactsDbl!B:D, 3, FALSE), ""), "", IFERROR(VLOOKUP(DBL_FullList!I2033, ContactsDbl!B:D, 3, FALSE), ""))</f>
        <v>www.bstwn.org</v>
      </c>
      <c r="L2033">
        <f t="shared" si="63"/>
        <v>2</v>
      </c>
    </row>
    <row r="2034" spans="1:12" x14ac:dyDescent="0.25">
      <c r="A2034" t="s">
        <v>9392</v>
      </c>
      <c r="B2034" t="str">
        <f>IF(ISERROR(VLOOKUP(F2034,STEP!A:A, 1, FALSE)), "N", "Y")</f>
        <v>N</v>
      </c>
      <c r="C2034" t="str">
        <f>IF(ISERROR(VLOOKUP(E2034, BibleInEveryLanguageTexts!A:A, 1, FALSE)), "N", "Y")</f>
        <v>N</v>
      </c>
      <c r="D2034" t="str">
        <f t="shared" si="62"/>
        <v>X</v>
      </c>
      <c r="E2034" t="s">
        <v>9393</v>
      </c>
      <c r="F2034" t="s">
        <v>9394</v>
      </c>
      <c r="G2034" t="s">
        <v>2815</v>
      </c>
      <c r="H2034" t="s">
        <v>9395</v>
      </c>
      <c r="I2034" t="s">
        <v>2362</v>
      </c>
      <c r="J2034" t="str">
        <f>IF(0 = IFERROR(VLOOKUP(DBL_FullList!I2034, ContactsDbl!B:D, 2, FALSE), ""), "", IFERROR(VLOOKUP(DBL_FullList!I2034, ContactsDbl!B:D, 2, FALSE), ""))</f>
        <v>muriuki@biblesociety-kenya.org</v>
      </c>
      <c r="K2034" t="str">
        <f>IF(0 = IFERROR(VLOOKUP(DBL_FullList!I2034,ContactsDbl!B:D, 3, FALSE), ""), "", IFERROR(VLOOKUP(DBL_FullList!I2034, ContactsDbl!B:D, 3, FALSE), ""))</f>
        <v>http://www.biblesociety-kenya.org/</v>
      </c>
      <c r="L2034">
        <f t="shared" si="63"/>
        <v>2</v>
      </c>
    </row>
    <row r="2035" spans="1:12" x14ac:dyDescent="0.25">
      <c r="A2035" t="s">
        <v>9396</v>
      </c>
      <c r="B2035" t="str">
        <f>IF(ISERROR(VLOOKUP(F2035,STEP!A:A, 1, FALSE)), "N", "Y")</f>
        <v>N</v>
      </c>
      <c r="C2035" t="str">
        <f>IF(ISERROR(VLOOKUP(E2035, BibleInEveryLanguageTexts!A:A, 1, FALSE)), "N", "Y")</f>
        <v>N</v>
      </c>
      <c r="D2035" t="str">
        <f t="shared" si="62"/>
        <v>X</v>
      </c>
      <c r="E2035" t="s">
        <v>219</v>
      </c>
      <c r="F2035" t="s">
        <v>217</v>
      </c>
      <c r="G2035" t="s">
        <v>218</v>
      </c>
      <c r="H2035" t="s">
        <v>9397</v>
      </c>
      <c r="I2035" t="s">
        <v>2241</v>
      </c>
      <c r="J2035" t="str">
        <f>IF(0 = IFERROR(VLOOKUP(DBL_FullList!I2035, ContactsDbl!B:D, 2, FALSE), ""), "", IFERROR(VLOOKUP(DBL_FullList!I2035, ContactsDbl!B:D, 2, FALSE), ""))</f>
        <v>dbl@dbg.de</v>
      </c>
      <c r="K2035" t="str">
        <f>IF(0 = IFERROR(VLOOKUP(DBL_FullList!I2035,ContactsDbl!B:D, 3, FALSE), ""), "", IFERROR(VLOOKUP(DBL_FullList!I2035, ContactsDbl!B:D, 3, FALSE), ""))</f>
        <v>http://www.die-bibel.de</v>
      </c>
      <c r="L2035">
        <f t="shared" si="63"/>
        <v>2</v>
      </c>
    </row>
    <row r="2036" spans="1:12" x14ac:dyDescent="0.25">
      <c r="A2036" t="s">
        <v>9398</v>
      </c>
      <c r="B2036" t="str">
        <f>IF(ISERROR(VLOOKUP(F2036,STEP!A:A, 1, FALSE)), "N", "Y")</f>
        <v>N</v>
      </c>
      <c r="C2036" t="str">
        <f>IF(ISERROR(VLOOKUP(E2036, BibleInEveryLanguageTexts!A:A, 1, FALSE)), "N", "Y")</f>
        <v>N</v>
      </c>
      <c r="D2036" t="str">
        <f t="shared" si="62"/>
        <v>X</v>
      </c>
      <c r="E2036" t="s">
        <v>517</v>
      </c>
      <c r="F2036" t="s">
        <v>515</v>
      </c>
      <c r="G2036" t="s">
        <v>516</v>
      </c>
      <c r="H2036" t="s">
        <v>9399</v>
      </c>
      <c r="I2036" t="s">
        <v>2476</v>
      </c>
      <c r="J2036" t="str">
        <f>IF(0 = IFERROR(VLOOKUP(DBL_FullList!I2036, ContactsDbl!B:D, 2, FALSE), ""), "", IFERROR(VLOOKUP(DBL_FullList!I2036, ContactsDbl!B:D, 2, FALSE), ""))</f>
        <v>info@bijbelgenootschap.nl</v>
      </c>
      <c r="K2036" t="str">
        <f>IF(0 = IFERROR(VLOOKUP(DBL_FullList!I2036,ContactsDbl!B:D, 3, FALSE), ""), "", IFERROR(VLOOKUP(DBL_FullList!I2036, ContactsDbl!B:D, 3, FALSE), ""))</f>
        <v>https://www.bijbelgenootschap.nl/</v>
      </c>
      <c r="L2036">
        <f t="shared" si="63"/>
        <v>2</v>
      </c>
    </row>
    <row r="2037" spans="1:12" x14ac:dyDescent="0.25">
      <c r="A2037" t="s">
        <v>9400</v>
      </c>
      <c r="B2037" t="str">
        <f>IF(ISERROR(VLOOKUP(F2037,STEP!A:A, 1, FALSE)), "N", "Y")</f>
        <v>N</v>
      </c>
      <c r="C2037" t="str">
        <f>IF(ISERROR(VLOOKUP(E2037, BibleInEveryLanguageTexts!A:A, 1, FALSE)), "N", "Y")</f>
        <v>N</v>
      </c>
      <c r="D2037" t="str">
        <f t="shared" si="62"/>
        <v>X</v>
      </c>
      <c r="E2037" t="s">
        <v>9401</v>
      </c>
      <c r="F2037" t="s">
        <v>9402</v>
      </c>
      <c r="G2037" t="s">
        <v>110</v>
      </c>
      <c r="H2037" t="s">
        <v>9401</v>
      </c>
      <c r="I2037" t="s">
        <v>2661</v>
      </c>
      <c r="J2037" t="str">
        <f>IF(0 = IFERROR(VLOOKUP(DBL_FullList!I2037, ContactsDbl!B:D, 2, FALSE), ""), "", IFERROR(VLOOKUP(DBL_FullList!I2037, ContactsDbl!B:D, 2, FALSE), ""))</f>
        <v>dbladmin_intl@sil.org</v>
      </c>
      <c r="K2037" t="str">
        <f>IF(0 = IFERROR(VLOOKUP(DBL_FullList!I2037,ContactsDbl!B:D, 3, FALSE), ""), "", IFERROR(VLOOKUP(DBL_FullList!I2037, ContactsDbl!B:D, 3, FALSE), ""))</f>
        <v>http://www.wycliffe.org</v>
      </c>
      <c r="L2037">
        <f t="shared" si="63"/>
        <v>2</v>
      </c>
    </row>
    <row r="2038" spans="1:12" x14ac:dyDescent="0.25">
      <c r="A2038" t="s">
        <v>9403</v>
      </c>
      <c r="B2038" t="str">
        <f>IF(ISERROR(VLOOKUP(F2038,STEP!A:A, 1, FALSE)), "N", "Y")</f>
        <v>N</v>
      </c>
      <c r="C2038" t="str">
        <f>IF(ISERROR(VLOOKUP(E2038, BibleInEveryLanguageTexts!A:A, 1, FALSE)), "N", "Y")</f>
        <v>N</v>
      </c>
      <c r="D2038" t="str">
        <f t="shared" si="62"/>
        <v>X</v>
      </c>
      <c r="E2038" t="s">
        <v>9404</v>
      </c>
      <c r="F2038" t="s">
        <v>9405</v>
      </c>
      <c r="G2038" t="s">
        <v>9406</v>
      </c>
      <c r="H2038" t="s">
        <v>9407</v>
      </c>
      <c r="I2038" t="s">
        <v>3104</v>
      </c>
      <c r="J2038" t="str">
        <f>IF(0 = IFERROR(VLOOKUP(DBL_FullList!I2038, ContactsDbl!B:D, 2, FALSE), ""), "", IFERROR(VLOOKUP(DBL_FullList!I2038, ContactsDbl!B:D, 2, FALSE), ""))</f>
        <v/>
      </c>
      <c r="K2038" t="str">
        <f>IF(0 = IFERROR(VLOOKUP(DBL_FullList!I2038,ContactsDbl!B:D, 3, FALSE), ""), "", IFERROR(VLOOKUP(DBL_FullList!I2038, ContactsDbl!B:D, 3, FALSE), ""))</f>
        <v/>
      </c>
      <c r="L2038">
        <f t="shared" si="63"/>
        <v>0</v>
      </c>
    </row>
    <row r="2039" spans="1:12" x14ac:dyDescent="0.25">
      <c r="A2039" t="s">
        <v>9408</v>
      </c>
      <c r="B2039" t="str">
        <f>IF(ISERROR(VLOOKUP(F2039,STEP!A:A, 1, FALSE)), "N", "Y")</f>
        <v>N</v>
      </c>
      <c r="C2039" t="str">
        <f>IF(ISERROR(VLOOKUP(E2039, BibleInEveryLanguageTexts!A:A, 1, FALSE)), "N", "Y")</f>
        <v>N</v>
      </c>
      <c r="D2039" t="str">
        <f t="shared" si="62"/>
        <v>X</v>
      </c>
      <c r="E2039" t="s">
        <v>3775</v>
      </c>
      <c r="F2039" t="s">
        <v>3776</v>
      </c>
      <c r="G2039" t="s">
        <v>4</v>
      </c>
      <c r="H2039" t="s">
        <v>9409</v>
      </c>
      <c r="I2039" t="s">
        <v>183</v>
      </c>
      <c r="J2039" t="str">
        <f>IF(0 = IFERROR(VLOOKUP(DBL_FullList!I2039, ContactsDbl!B:D, 2, FALSE), ""), "", IFERROR(VLOOKUP(DBL_FullList!I2039, ContactsDbl!B:D, 2, FALSE), ""))</f>
        <v>dbl@biblesocieties.org</v>
      </c>
      <c r="K2039" t="str">
        <f>IF(0 = IFERROR(VLOOKUP(DBL_FullList!I2039,ContactsDbl!B:D, 3, FALSE), ""), "", IFERROR(VLOOKUP(DBL_FullList!I2039, ContactsDbl!B:D, 3, FALSE), ""))</f>
        <v>http://www.unitedbiblesocieties.org/</v>
      </c>
      <c r="L2039">
        <f t="shared" si="63"/>
        <v>2</v>
      </c>
    </row>
    <row r="2040" spans="1:12" x14ac:dyDescent="0.25">
      <c r="A2040" t="s">
        <v>9410</v>
      </c>
      <c r="B2040" t="str">
        <f>IF(ISERROR(VLOOKUP(F2040,STEP!A:A, 1, FALSE)), "N", "Y")</f>
        <v>N</v>
      </c>
      <c r="C2040" t="str">
        <f>IF(ISERROR(VLOOKUP(E2040, BibleInEveryLanguageTexts!A:A, 1, FALSE)), "N", "Y")</f>
        <v>N</v>
      </c>
      <c r="D2040" t="str">
        <f t="shared" si="62"/>
        <v>X</v>
      </c>
      <c r="E2040" t="s">
        <v>3775</v>
      </c>
      <c r="F2040" t="s">
        <v>3776</v>
      </c>
      <c r="G2040" t="s">
        <v>4</v>
      </c>
      <c r="H2040" t="s">
        <v>9411</v>
      </c>
      <c r="I2040" t="s">
        <v>183</v>
      </c>
      <c r="J2040" t="str">
        <f>IF(0 = IFERROR(VLOOKUP(DBL_FullList!I2040, ContactsDbl!B:D, 2, FALSE), ""), "", IFERROR(VLOOKUP(DBL_FullList!I2040, ContactsDbl!B:D, 2, FALSE), ""))</f>
        <v>dbl@biblesocieties.org</v>
      </c>
      <c r="K2040" t="str">
        <f>IF(0 = IFERROR(VLOOKUP(DBL_FullList!I2040,ContactsDbl!B:D, 3, FALSE), ""), "", IFERROR(VLOOKUP(DBL_FullList!I2040, ContactsDbl!B:D, 3, FALSE), ""))</f>
        <v>http://www.unitedbiblesocieties.org/</v>
      </c>
      <c r="L2040">
        <f t="shared" si="63"/>
        <v>2</v>
      </c>
    </row>
    <row r="2041" spans="1:12" x14ac:dyDescent="0.25">
      <c r="A2041" t="s">
        <v>9412</v>
      </c>
      <c r="B2041" t="str">
        <f>IF(ISERROR(VLOOKUP(F2041,STEP!A:A, 1, FALSE)), "N", "Y")</f>
        <v>N</v>
      </c>
      <c r="C2041" t="str">
        <f>IF(ISERROR(VLOOKUP(E2041, BibleInEveryLanguageTexts!A:A, 1, FALSE)), "N", "Y")</f>
        <v>N</v>
      </c>
      <c r="D2041" t="str">
        <f t="shared" si="62"/>
        <v>X</v>
      </c>
      <c r="E2041" t="s">
        <v>3775</v>
      </c>
      <c r="F2041" t="s">
        <v>3776</v>
      </c>
      <c r="G2041" t="s">
        <v>4</v>
      </c>
      <c r="H2041" t="s">
        <v>9411</v>
      </c>
      <c r="I2041" t="s">
        <v>183</v>
      </c>
      <c r="J2041" t="str">
        <f>IF(0 = IFERROR(VLOOKUP(DBL_FullList!I2041, ContactsDbl!B:D, 2, FALSE), ""), "", IFERROR(VLOOKUP(DBL_FullList!I2041, ContactsDbl!B:D, 2, FALSE), ""))</f>
        <v>dbl@biblesocieties.org</v>
      </c>
      <c r="K2041" t="str">
        <f>IF(0 = IFERROR(VLOOKUP(DBL_FullList!I2041,ContactsDbl!B:D, 3, FALSE), ""), "", IFERROR(VLOOKUP(DBL_FullList!I2041, ContactsDbl!B:D, 3, FALSE), ""))</f>
        <v>http://www.unitedbiblesocieties.org/</v>
      </c>
      <c r="L2041">
        <f t="shared" si="63"/>
        <v>2</v>
      </c>
    </row>
    <row r="2042" spans="1:12" x14ac:dyDescent="0.25">
      <c r="A2042" t="s">
        <v>9413</v>
      </c>
      <c r="B2042" t="str">
        <f>IF(ISERROR(VLOOKUP(F2042,STEP!A:A, 1, FALSE)), "N", "Y")</f>
        <v>N</v>
      </c>
      <c r="C2042" t="str">
        <f>IF(ISERROR(VLOOKUP(E2042, BibleInEveryLanguageTexts!A:A, 1, FALSE)), "N", "Y")</f>
        <v>N</v>
      </c>
      <c r="D2042" t="str">
        <f t="shared" si="62"/>
        <v>X</v>
      </c>
      <c r="E2042" t="s">
        <v>9414</v>
      </c>
      <c r="F2042" t="s">
        <v>9415</v>
      </c>
      <c r="G2042" t="s">
        <v>2815</v>
      </c>
      <c r="H2042" t="s">
        <v>9416</v>
      </c>
      <c r="I2042" t="s">
        <v>2661</v>
      </c>
      <c r="J2042" t="str">
        <f>IF(0 = IFERROR(VLOOKUP(DBL_FullList!I2042, ContactsDbl!B:D, 2, FALSE), ""), "", IFERROR(VLOOKUP(DBL_FullList!I2042, ContactsDbl!B:D, 2, FALSE), ""))</f>
        <v>dbladmin_intl@sil.org</v>
      </c>
      <c r="K2042" t="str">
        <f>IF(0 = IFERROR(VLOOKUP(DBL_FullList!I2042,ContactsDbl!B:D, 3, FALSE), ""), "", IFERROR(VLOOKUP(DBL_FullList!I2042, ContactsDbl!B:D, 3, FALSE), ""))</f>
        <v>http://www.wycliffe.org</v>
      </c>
      <c r="L2042">
        <f t="shared" si="63"/>
        <v>2</v>
      </c>
    </row>
    <row r="2043" spans="1:12" x14ac:dyDescent="0.25">
      <c r="A2043" t="s">
        <v>9417</v>
      </c>
      <c r="B2043" t="str">
        <f>IF(ISERROR(VLOOKUP(F2043,STEP!A:A, 1, FALSE)), "N", "Y")</f>
        <v>N</v>
      </c>
      <c r="C2043" t="str">
        <f>IF(ISERROR(VLOOKUP(E2043, BibleInEveryLanguageTexts!A:A, 1, FALSE)), "N", "Y")</f>
        <v>N</v>
      </c>
      <c r="D2043" t="str">
        <f t="shared" si="62"/>
        <v>X</v>
      </c>
      <c r="E2043" t="s">
        <v>9418</v>
      </c>
      <c r="F2043" t="s">
        <v>9419</v>
      </c>
      <c r="G2043" t="s">
        <v>8979</v>
      </c>
      <c r="H2043" t="s">
        <v>9420</v>
      </c>
      <c r="I2043" t="s">
        <v>2661</v>
      </c>
      <c r="J2043" t="str">
        <f>IF(0 = IFERROR(VLOOKUP(DBL_FullList!I2043, ContactsDbl!B:D, 2, FALSE), ""), "", IFERROR(VLOOKUP(DBL_FullList!I2043, ContactsDbl!B:D, 2, FALSE), ""))</f>
        <v>dbladmin_intl@sil.org</v>
      </c>
      <c r="K2043" t="str">
        <f>IF(0 = IFERROR(VLOOKUP(DBL_FullList!I2043,ContactsDbl!B:D, 3, FALSE), ""), "", IFERROR(VLOOKUP(DBL_FullList!I2043, ContactsDbl!B:D, 3, FALSE), ""))</f>
        <v>http://www.wycliffe.org</v>
      </c>
      <c r="L2043">
        <f t="shared" si="63"/>
        <v>2</v>
      </c>
    </row>
    <row r="2044" spans="1:12" x14ac:dyDescent="0.25">
      <c r="A2044" t="s">
        <v>9421</v>
      </c>
      <c r="B2044" t="str">
        <f>IF(ISERROR(VLOOKUP(F2044,STEP!A:A, 1, FALSE)), "N", "Y")</f>
        <v>N</v>
      </c>
      <c r="C2044" t="str">
        <f>IF(ISERROR(VLOOKUP(E2044, BibleInEveryLanguageTexts!A:A, 1, FALSE)), "N", "Y")</f>
        <v>N</v>
      </c>
      <c r="D2044" t="str">
        <f t="shared" si="62"/>
        <v>X</v>
      </c>
      <c r="E2044" t="s">
        <v>9418</v>
      </c>
      <c r="F2044" t="s">
        <v>9419</v>
      </c>
      <c r="G2044" t="s">
        <v>8979</v>
      </c>
      <c r="H2044" t="s">
        <v>9420</v>
      </c>
      <c r="I2044" t="s">
        <v>2661</v>
      </c>
      <c r="J2044" t="str">
        <f>IF(0 = IFERROR(VLOOKUP(DBL_FullList!I2044, ContactsDbl!B:D, 2, FALSE), ""), "", IFERROR(VLOOKUP(DBL_FullList!I2044, ContactsDbl!B:D, 2, FALSE), ""))</f>
        <v>dbladmin_intl@sil.org</v>
      </c>
      <c r="K2044" t="str">
        <f>IF(0 = IFERROR(VLOOKUP(DBL_FullList!I2044,ContactsDbl!B:D, 3, FALSE), ""), "", IFERROR(VLOOKUP(DBL_FullList!I2044, ContactsDbl!B:D, 3, FALSE), ""))</f>
        <v>http://www.wycliffe.org</v>
      </c>
      <c r="L2044">
        <f t="shared" si="63"/>
        <v>2</v>
      </c>
    </row>
    <row r="2045" spans="1:12" x14ac:dyDescent="0.25">
      <c r="A2045" t="s">
        <v>9422</v>
      </c>
      <c r="B2045" t="str">
        <f>IF(ISERROR(VLOOKUP(F2045,STEP!A:A, 1, FALSE)), "N", "Y")</f>
        <v>N</v>
      </c>
      <c r="C2045" t="str">
        <f>IF(ISERROR(VLOOKUP(E2045, BibleInEveryLanguageTexts!A:A, 1, FALSE)), "N", "Y")</f>
        <v>N</v>
      </c>
      <c r="D2045" t="str">
        <f t="shared" si="62"/>
        <v>X</v>
      </c>
      <c r="E2045" t="s">
        <v>9423</v>
      </c>
      <c r="F2045" t="s">
        <v>9424</v>
      </c>
      <c r="G2045" t="s">
        <v>48</v>
      </c>
      <c r="H2045" t="s">
        <v>9425</v>
      </c>
      <c r="I2045" t="s">
        <v>2661</v>
      </c>
      <c r="J2045" t="str">
        <f>IF(0 = IFERROR(VLOOKUP(DBL_FullList!I2045, ContactsDbl!B:D, 2, FALSE), ""), "", IFERROR(VLOOKUP(DBL_FullList!I2045, ContactsDbl!B:D, 2, FALSE), ""))</f>
        <v>dbladmin_intl@sil.org</v>
      </c>
      <c r="K2045" t="str">
        <f>IF(0 = IFERROR(VLOOKUP(DBL_FullList!I2045,ContactsDbl!B:D, 3, FALSE), ""), "", IFERROR(VLOOKUP(DBL_FullList!I2045, ContactsDbl!B:D, 3, FALSE), ""))</f>
        <v>http://www.wycliffe.org</v>
      </c>
      <c r="L2045">
        <f t="shared" si="63"/>
        <v>2</v>
      </c>
    </row>
    <row r="2046" spans="1:12" x14ac:dyDescent="0.25">
      <c r="A2046" t="s">
        <v>9426</v>
      </c>
      <c r="B2046" t="str">
        <f>IF(ISERROR(VLOOKUP(F2046,STEP!A:A, 1, FALSE)), "N", "Y")</f>
        <v>N</v>
      </c>
      <c r="C2046" t="str">
        <f>IF(ISERROR(VLOOKUP(E2046, BibleInEveryLanguageTexts!A:A, 1, FALSE)), "N", "Y")</f>
        <v>N</v>
      </c>
      <c r="D2046" t="str">
        <f t="shared" si="62"/>
        <v>X</v>
      </c>
      <c r="E2046" t="s">
        <v>9427</v>
      </c>
      <c r="F2046" t="s">
        <v>9428</v>
      </c>
      <c r="G2046" t="s">
        <v>171</v>
      </c>
      <c r="H2046" t="s">
        <v>9429</v>
      </c>
      <c r="I2046" t="s">
        <v>2661</v>
      </c>
      <c r="J2046" t="str">
        <f>IF(0 = IFERROR(VLOOKUP(DBL_FullList!I2046, ContactsDbl!B:D, 2, FALSE), ""), "", IFERROR(VLOOKUP(DBL_FullList!I2046, ContactsDbl!B:D, 2, FALSE), ""))</f>
        <v>dbladmin_intl@sil.org</v>
      </c>
      <c r="K2046" t="str">
        <f>IF(0 = IFERROR(VLOOKUP(DBL_FullList!I2046,ContactsDbl!B:D, 3, FALSE), ""), "", IFERROR(VLOOKUP(DBL_FullList!I2046, ContactsDbl!B:D, 3, FALSE), ""))</f>
        <v>http://www.wycliffe.org</v>
      </c>
      <c r="L2046">
        <f t="shared" si="63"/>
        <v>2</v>
      </c>
    </row>
    <row r="2047" spans="1:12" x14ac:dyDescent="0.25">
      <c r="A2047" t="s">
        <v>9430</v>
      </c>
      <c r="B2047" t="str">
        <f>IF(ISERROR(VLOOKUP(F2047,STEP!A:A, 1, FALSE)), "N", "Y")</f>
        <v>N</v>
      </c>
      <c r="C2047" t="str">
        <f>IF(ISERROR(VLOOKUP(E2047, BibleInEveryLanguageTexts!A:A, 1, FALSE)), "N", "Y")</f>
        <v>N</v>
      </c>
      <c r="D2047" t="str">
        <f t="shared" si="62"/>
        <v>X</v>
      </c>
      <c r="E2047" t="s">
        <v>3775</v>
      </c>
      <c r="F2047" t="s">
        <v>3776</v>
      </c>
      <c r="G2047" t="s">
        <v>4</v>
      </c>
      <c r="H2047" t="s">
        <v>9431</v>
      </c>
      <c r="I2047" t="s">
        <v>183</v>
      </c>
      <c r="J2047" t="str">
        <f>IF(0 = IFERROR(VLOOKUP(DBL_FullList!I2047, ContactsDbl!B:D, 2, FALSE), ""), "", IFERROR(VLOOKUP(DBL_FullList!I2047, ContactsDbl!B:D, 2, FALSE), ""))</f>
        <v>dbl@biblesocieties.org</v>
      </c>
      <c r="K2047" t="str">
        <f>IF(0 = IFERROR(VLOOKUP(DBL_FullList!I2047,ContactsDbl!B:D, 3, FALSE), ""), "", IFERROR(VLOOKUP(DBL_FullList!I2047, ContactsDbl!B:D, 3, FALSE), ""))</f>
        <v>http://www.unitedbiblesocieties.org/</v>
      </c>
      <c r="L2047">
        <f t="shared" si="63"/>
        <v>2</v>
      </c>
    </row>
    <row r="2048" spans="1:12" x14ac:dyDescent="0.25">
      <c r="A2048" t="s">
        <v>9432</v>
      </c>
      <c r="B2048" t="str">
        <f>IF(ISERROR(VLOOKUP(F2048,STEP!A:A, 1, FALSE)), "N", "Y")</f>
        <v>N</v>
      </c>
      <c r="C2048" t="str">
        <f>IF(ISERROR(VLOOKUP(E2048, BibleInEveryLanguageTexts!A:A, 1, FALSE)), "N", "Y")</f>
        <v>N</v>
      </c>
      <c r="D2048" t="str">
        <f t="shared" si="62"/>
        <v>X</v>
      </c>
      <c r="E2048" t="s">
        <v>3775</v>
      </c>
      <c r="F2048" t="s">
        <v>3776</v>
      </c>
      <c r="G2048" t="s">
        <v>4</v>
      </c>
      <c r="H2048" t="s">
        <v>9433</v>
      </c>
      <c r="I2048" t="s">
        <v>183</v>
      </c>
      <c r="J2048" t="str">
        <f>IF(0 = IFERROR(VLOOKUP(DBL_FullList!I2048, ContactsDbl!B:D, 2, FALSE), ""), "", IFERROR(VLOOKUP(DBL_FullList!I2048, ContactsDbl!B:D, 2, FALSE), ""))</f>
        <v>dbl@biblesocieties.org</v>
      </c>
      <c r="K2048" t="str">
        <f>IF(0 = IFERROR(VLOOKUP(DBL_FullList!I2048,ContactsDbl!B:D, 3, FALSE), ""), "", IFERROR(VLOOKUP(DBL_FullList!I2048, ContactsDbl!B:D, 3, FALSE), ""))</f>
        <v>http://www.unitedbiblesocieties.org/</v>
      </c>
      <c r="L2048">
        <f t="shared" si="63"/>
        <v>2</v>
      </c>
    </row>
  </sheetData>
  <autoFilter ref="A1:M2048" xr:uid="{00000000-0009-0000-0000-000002000000}"/>
  <hyperlinks>
    <hyperlink ref="J2" r:id="rId1" xr:uid="{EC7C9BAD-0E6B-4B7F-BC15-FCB8167C8BB7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3073" r:id="rId5" name="Btn_Request">
          <controlPr defaultSize="0" autoLine="0" r:id="rId6">
            <anchor moveWithCells="1">
              <from>
                <xdr:col>12</xdr:col>
                <xdr:colOff>19050</xdr:colOff>
                <xdr:row>0</xdr:row>
                <xdr:rowOff>19050</xdr:rowOff>
              </from>
              <to>
                <xdr:col>12</xdr:col>
                <xdr:colOff>1009650</xdr:colOff>
                <xdr:row>0</xdr:row>
                <xdr:rowOff>342900</xdr:rowOff>
              </to>
            </anchor>
          </controlPr>
        </control>
      </mc:Choice>
      <mc:Fallback>
        <control shapeId="3073" r:id="rId5" name="Btn_Reques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7D805-3024-4669-BD28-4777142439B9}">
  <sheetPr codeName="Sheet6"/>
  <dimension ref="A1:B41"/>
  <sheetViews>
    <sheetView workbookViewId="0">
      <pane ySplit="1" topLeftCell="A2" activePane="bottomLeft" state="frozen"/>
      <selection pane="bottomLeft" activeCell="B1" sqref="B1:B1048576"/>
    </sheetView>
  </sheetViews>
  <sheetFormatPr defaultRowHeight="15" x14ac:dyDescent="0.25"/>
  <cols>
    <col min="1" max="1" width="21.85546875" bestFit="1" customWidth="1"/>
    <col min="2" max="2" width="48.7109375" bestFit="1" customWidth="1"/>
  </cols>
  <sheetData>
    <row r="1" spans="1:2" x14ac:dyDescent="0.25">
      <c r="A1" s="36" t="s">
        <v>1640</v>
      </c>
      <c r="B1" s="36" t="s">
        <v>2679</v>
      </c>
    </row>
    <row r="2" spans="1:2" x14ac:dyDescent="0.25">
      <c r="A2" s="37" t="s">
        <v>458</v>
      </c>
      <c r="B2" t="s">
        <v>2680</v>
      </c>
    </row>
    <row r="3" spans="1:2" x14ac:dyDescent="0.25">
      <c r="A3" s="37" t="s">
        <v>2681</v>
      </c>
      <c r="B3" t="s">
        <v>2680</v>
      </c>
    </row>
    <row r="4" spans="1:2" x14ac:dyDescent="0.25">
      <c r="A4" s="37" t="s">
        <v>1661</v>
      </c>
      <c r="B4" t="s">
        <v>2680</v>
      </c>
    </row>
    <row r="5" spans="1:2" x14ac:dyDescent="0.25">
      <c r="A5" s="37" t="s">
        <v>2682</v>
      </c>
      <c r="B5" t="s">
        <v>2680</v>
      </c>
    </row>
    <row r="6" spans="1:2" x14ac:dyDescent="0.25">
      <c r="A6" s="37" t="s">
        <v>2683</v>
      </c>
      <c r="B6" t="s">
        <v>2680</v>
      </c>
    </row>
    <row r="7" spans="1:2" x14ac:dyDescent="0.25">
      <c r="A7" s="37" t="s">
        <v>1846</v>
      </c>
      <c r="B7" t="s">
        <v>2680</v>
      </c>
    </row>
    <row r="8" spans="1:2" x14ac:dyDescent="0.25">
      <c r="A8" s="37" t="s">
        <v>155</v>
      </c>
      <c r="B8" t="s">
        <v>2680</v>
      </c>
    </row>
    <row r="9" spans="1:2" x14ac:dyDescent="0.25">
      <c r="A9" s="37" t="s">
        <v>2684</v>
      </c>
      <c r="B9" t="s">
        <v>2680</v>
      </c>
    </row>
    <row r="10" spans="1:2" x14ac:dyDescent="0.25">
      <c r="A10" s="37" t="s">
        <v>291</v>
      </c>
      <c r="B10" t="s">
        <v>2680</v>
      </c>
    </row>
    <row r="11" spans="1:2" x14ac:dyDescent="0.25">
      <c r="A11" s="37" t="s">
        <v>2685</v>
      </c>
      <c r="B11" t="s">
        <v>2680</v>
      </c>
    </row>
    <row r="12" spans="1:2" x14ac:dyDescent="0.25">
      <c r="A12" s="37" t="s">
        <v>2686</v>
      </c>
      <c r="B12" t="s">
        <v>2680</v>
      </c>
    </row>
    <row r="13" spans="1:2" x14ac:dyDescent="0.25">
      <c r="A13" s="37" t="s">
        <v>2687</v>
      </c>
      <c r="B13" t="s">
        <v>2680</v>
      </c>
    </row>
    <row r="14" spans="1:2" x14ac:dyDescent="0.25">
      <c r="A14" s="37" t="s">
        <v>111</v>
      </c>
      <c r="B14" t="s">
        <v>2680</v>
      </c>
    </row>
    <row r="15" spans="1:2" x14ac:dyDescent="0.25">
      <c r="A15" s="37" t="s">
        <v>2688</v>
      </c>
      <c r="B15" t="s">
        <v>2680</v>
      </c>
    </row>
    <row r="16" spans="1:2" x14ac:dyDescent="0.25">
      <c r="A16" s="37" t="s">
        <v>371</v>
      </c>
      <c r="B16" t="s">
        <v>2680</v>
      </c>
    </row>
    <row r="17" spans="1:2" x14ac:dyDescent="0.25">
      <c r="A17" s="37" t="s">
        <v>2689</v>
      </c>
      <c r="B17" t="s">
        <v>2680</v>
      </c>
    </row>
    <row r="18" spans="1:2" x14ac:dyDescent="0.25">
      <c r="A18" s="37" t="s">
        <v>2690</v>
      </c>
      <c r="B18" t="s">
        <v>2680</v>
      </c>
    </row>
    <row r="19" spans="1:2" x14ac:dyDescent="0.25">
      <c r="A19" s="37" t="s">
        <v>2691</v>
      </c>
      <c r="B19" t="s">
        <v>2680</v>
      </c>
    </row>
    <row r="20" spans="1:2" x14ac:dyDescent="0.25">
      <c r="A20" s="37" t="s">
        <v>365</v>
      </c>
      <c r="B20" t="s">
        <v>2680</v>
      </c>
    </row>
    <row r="21" spans="1:2" x14ac:dyDescent="0.25">
      <c r="A21" s="37" t="s">
        <v>320</v>
      </c>
      <c r="B21" t="s">
        <v>2680</v>
      </c>
    </row>
    <row r="22" spans="1:2" x14ac:dyDescent="0.25">
      <c r="A22" s="37" t="s">
        <v>2692</v>
      </c>
      <c r="B22" t="s">
        <v>2680</v>
      </c>
    </row>
    <row r="23" spans="1:2" x14ac:dyDescent="0.25">
      <c r="A23" s="37" t="s">
        <v>2693</v>
      </c>
      <c r="B23" t="s">
        <v>2680</v>
      </c>
    </row>
    <row r="24" spans="1:2" x14ac:dyDescent="0.25">
      <c r="A24" s="37" t="s">
        <v>2694</v>
      </c>
      <c r="B24" t="s">
        <v>2680</v>
      </c>
    </row>
    <row r="25" spans="1:2" x14ac:dyDescent="0.25">
      <c r="A25" s="37" t="s">
        <v>2695</v>
      </c>
      <c r="B25" t="s">
        <v>2680</v>
      </c>
    </row>
    <row r="26" spans="1:2" x14ac:dyDescent="0.25">
      <c r="A26" s="37" t="s">
        <v>36</v>
      </c>
      <c r="B26" t="s">
        <v>2680</v>
      </c>
    </row>
    <row r="27" spans="1:2" x14ac:dyDescent="0.25">
      <c r="A27" s="37" t="s">
        <v>1481</v>
      </c>
      <c r="B27" t="s">
        <v>2680</v>
      </c>
    </row>
    <row r="28" spans="1:2" x14ac:dyDescent="0.25">
      <c r="A28" s="37" t="s">
        <v>1515</v>
      </c>
      <c r="B28" t="s">
        <v>2680</v>
      </c>
    </row>
    <row r="29" spans="1:2" x14ac:dyDescent="0.25">
      <c r="A29" s="37" t="s">
        <v>21</v>
      </c>
      <c r="B29" t="s">
        <v>2680</v>
      </c>
    </row>
    <row r="30" spans="1:2" x14ac:dyDescent="0.25">
      <c r="A30" s="37" t="s">
        <v>246</v>
      </c>
      <c r="B30" t="s">
        <v>2680</v>
      </c>
    </row>
    <row r="31" spans="1:2" x14ac:dyDescent="0.25">
      <c r="A31" s="37" t="s">
        <v>2696</v>
      </c>
      <c r="B31" t="s">
        <v>2680</v>
      </c>
    </row>
    <row r="32" spans="1:2" x14ac:dyDescent="0.25">
      <c r="A32" s="37" t="s">
        <v>78</v>
      </c>
      <c r="B32" t="s">
        <v>2680</v>
      </c>
    </row>
    <row r="34" spans="1:2" x14ac:dyDescent="0.25">
      <c r="A34" s="37" t="s">
        <v>2697</v>
      </c>
      <c r="B34" t="s">
        <v>2698</v>
      </c>
    </row>
    <row r="35" spans="1:2" x14ac:dyDescent="0.25">
      <c r="A35" s="37" t="s">
        <v>2699</v>
      </c>
      <c r="B35" t="s">
        <v>2698</v>
      </c>
    </row>
    <row r="36" spans="1:2" x14ac:dyDescent="0.25">
      <c r="A36" s="37" t="s">
        <v>12</v>
      </c>
      <c r="B36" t="s">
        <v>2698</v>
      </c>
    </row>
    <row r="37" spans="1:2" x14ac:dyDescent="0.25">
      <c r="A37" s="37" t="s">
        <v>2700</v>
      </c>
      <c r="B37" t="s">
        <v>2698</v>
      </c>
    </row>
    <row r="38" spans="1:2" x14ac:dyDescent="0.25">
      <c r="A38" s="37" t="s">
        <v>2701</v>
      </c>
      <c r="B38" t="s">
        <v>2698</v>
      </c>
    </row>
    <row r="39" spans="1:2" x14ac:dyDescent="0.25">
      <c r="A39" s="37" t="s">
        <v>2702</v>
      </c>
      <c r="B39" t="s">
        <v>2698</v>
      </c>
    </row>
    <row r="40" spans="1:2" x14ac:dyDescent="0.25">
      <c r="A40" s="37" t="s">
        <v>2703</v>
      </c>
      <c r="B40" t="s">
        <v>2698</v>
      </c>
    </row>
    <row r="41" spans="1:2" x14ac:dyDescent="0.25">
      <c r="A41" s="37" t="s">
        <v>2704</v>
      </c>
      <c r="B41" t="s">
        <v>2698</v>
      </c>
    </row>
  </sheetData>
  <autoFilter ref="A1:B1" xr:uid="{00000000-0009-0000-0000-000003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74208-9012-490F-9A57-FE9F30594EFA}">
  <sheetPr codeName="Sheet5"/>
  <dimension ref="A1:D206"/>
  <sheetViews>
    <sheetView workbookViewId="0">
      <pane ySplit="1" topLeftCell="A2" activePane="bottomLeft" state="frozen"/>
      <selection pane="bottomLeft" sqref="A1:XFD1048576"/>
    </sheetView>
  </sheetViews>
  <sheetFormatPr defaultRowHeight="15" x14ac:dyDescent="0.25"/>
  <cols>
    <col min="1" max="1" width="23.7109375" bestFit="1" customWidth="1"/>
    <col min="2" max="2" width="62.5703125" bestFit="1" customWidth="1"/>
    <col min="3" max="3" width="34.140625" bestFit="1" customWidth="1"/>
    <col min="4" max="4" width="63.7109375" bestFit="1" customWidth="1"/>
  </cols>
  <sheetData>
    <row r="1" spans="1:4" x14ac:dyDescent="0.25">
      <c r="A1" s="36" t="s">
        <v>1959</v>
      </c>
      <c r="B1" s="36" t="s">
        <v>1960</v>
      </c>
      <c r="C1" s="36" t="s">
        <v>1961</v>
      </c>
      <c r="D1" s="36" t="s">
        <v>1962</v>
      </c>
    </row>
    <row r="2" spans="1:4" x14ac:dyDescent="0.25">
      <c r="A2" t="s">
        <v>1963</v>
      </c>
      <c r="B2" t="s">
        <v>1964</v>
      </c>
      <c r="D2" s="32" t="s">
        <v>1965</v>
      </c>
    </row>
    <row r="3" spans="1:4" x14ac:dyDescent="0.25">
      <c r="A3" t="s">
        <v>1966</v>
      </c>
      <c r="B3" t="s">
        <v>1967</v>
      </c>
      <c r="D3" s="32" t="s">
        <v>1968</v>
      </c>
    </row>
    <row r="4" spans="1:4" x14ac:dyDescent="0.25">
      <c r="A4" t="s">
        <v>1818</v>
      </c>
      <c r="B4" t="s">
        <v>1969</v>
      </c>
      <c r="C4" s="32" t="s">
        <v>1970</v>
      </c>
      <c r="D4" s="32" t="s">
        <v>1971</v>
      </c>
    </row>
    <row r="5" spans="1:4" x14ac:dyDescent="0.25">
      <c r="A5" t="s">
        <v>1972</v>
      </c>
      <c r="B5" t="s">
        <v>1973</v>
      </c>
    </row>
    <row r="6" spans="1:4" x14ac:dyDescent="0.25">
      <c r="A6" t="s">
        <v>1974</v>
      </c>
      <c r="B6" t="s">
        <v>1975</v>
      </c>
      <c r="D6" s="32" t="s">
        <v>1976</v>
      </c>
    </row>
    <row r="7" spans="1:4" x14ac:dyDescent="0.25">
      <c r="A7" t="s">
        <v>1977</v>
      </c>
      <c r="B7" t="s">
        <v>1978</v>
      </c>
      <c r="C7" s="32" t="s">
        <v>1979</v>
      </c>
      <c r="D7" s="32" t="s">
        <v>1980</v>
      </c>
    </row>
    <row r="8" spans="1:4" x14ac:dyDescent="0.25">
      <c r="A8" t="s">
        <v>1981</v>
      </c>
      <c r="B8" t="s">
        <v>1982</v>
      </c>
      <c r="C8" s="32" t="s">
        <v>1983</v>
      </c>
      <c r="D8" s="32" t="s">
        <v>1984</v>
      </c>
    </row>
    <row r="9" spans="1:4" x14ac:dyDescent="0.25">
      <c r="A9" t="s">
        <v>1985</v>
      </c>
      <c r="B9" t="s">
        <v>1986</v>
      </c>
      <c r="C9" s="32" t="s">
        <v>1987</v>
      </c>
      <c r="D9" s="32" t="s">
        <v>1988</v>
      </c>
    </row>
    <row r="10" spans="1:4" x14ac:dyDescent="0.25">
      <c r="A10" t="s">
        <v>1989</v>
      </c>
      <c r="B10" t="s">
        <v>1990</v>
      </c>
      <c r="C10" s="32" t="s">
        <v>1991</v>
      </c>
      <c r="D10" s="32" t="s">
        <v>1992</v>
      </c>
    </row>
    <row r="11" spans="1:4" x14ac:dyDescent="0.25">
      <c r="A11" t="s">
        <v>1993</v>
      </c>
      <c r="B11" t="s">
        <v>1993</v>
      </c>
      <c r="C11" s="32" t="s">
        <v>1994</v>
      </c>
      <c r="D11" s="32" t="s">
        <v>1995</v>
      </c>
    </row>
    <row r="12" spans="1:4" x14ac:dyDescent="0.25">
      <c r="A12" t="s">
        <v>1996</v>
      </c>
      <c r="B12" t="s">
        <v>1997</v>
      </c>
      <c r="C12" s="32" t="s">
        <v>1998</v>
      </c>
      <c r="D12" s="32" t="s">
        <v>1999</v>
      </c>
    </row>
    <row r="13" spans="1:4" x14ac:dyDescent="0.25">
      <c r="A13" t="s">
        <v>2000</v>
      </c>
      <c r="B13" t="s">
        <v>2001</v>
      </c>
      <c r="C13" s="32" t="s">
        <v>2002</v>
      </c>
      <c r="D13" s="32" t="s">
        <v>2003</v>
      </c>
    </row>
    <row r="14" spans="1:4" x14ac:dyDescent="0.25">
      <c r="A14" t="s">
        <v>2004</v>
      </c>
      <c r="B14" t="s">
        <v>2005</v>
      </c>
      <c r="C14" s="32" t="s">
        <v>2006</v>
      </c>
      <c r="D14" s="32" t="s">
        <v>2007</v>
      </c>
    </row>
    <row r="15" spans="1:4" x14ac:dyDescent="0.25">
      <c r="A15" t="s">
        <v>2008</v>
      </c>
      <c r="B15" t="s">
        <v>2009</v>
      </c>
      <c r="C15" s="32" t="s">
        <v>2010</v>
      </c>
      <c r="D15" s="32" t="s">
        <v>2011</v>
      </c>
    </row>
    <row r="16" spans="1:4" x14ac:dyDescent="0.25">
      <c r="A16" t="s">
        <v>2012</v>
      </c>
      <c r="B16" t="s">
        <v>2013</v>
      </c>
      <c r="C16" s="32" t="s">
        <v>2014</v>
      </c>
      <c r="D16" s="32" t="s">
        <v>2015</v>
      </c>
    </row>
    <row r="17" spans="1:4" x14ac:dyDescent="0.25">
      <c r="A17" t="s">
        <v>2016</v>
      </c>
      <c r="B17" t="s">
        <v>2017</v>
      </c>
      <c r="C17" s="32" t="s">
        <v>2018</v>
      </c>
      <c r="D17" s="32" t="s">
        <v>2019</v>
      </c>
    </row>
    <row r="18" spans="1:4" x14ac:dyDescent="0.25">
      <c r="A18" t="s">
        <v>2020</v>
      </c>
      <c r="B18" t="s">
        <v>2021</v>
      </c>
      <c r="C18" s="32" t="s">
        <v>2022</v>
      </c>
      <c r="D18" s="32" t="s">
        <v>2023</v>
      </c>
    </row>
    <row r="19" spans="1:4" x14ac:dyDescent="0.25">
      <c r="A19" t="s">
        <v>2024</v>
      </c>
      <c r="B19" t="s">
        <v>2025</v>
      </c>
      <c r="C19" s="32" t="s">
        <v>2026</v>
      </c>
      <c r="D19" s="32" t="s">
        <v>2027</v>
      </c>
    </row>
    <row r="20" spans="1:4" x14ac:dyDescent="0.25">
      <c r="A20" t="s">
        <v>2028</v>
      </c>
      <c r="B20" t="s">
        <v>2029</v>
      </c>
      <c r="C20" s="32" t="s">
        <v>2030</v>
      </c>
    </row>
    <row r="21" spans="1:4" x14ac:dyDescent="0.25">
      <c r="A21" t="s">
        <v>2031</v>
      </c>
      <c r="B21" t="s">
        <v>2032</v>
      </c>
      <c r="C21" s="32" t="s">
        <v>2033</v>
      </c>
      <c r="D21" s="32" t="s">
        <v>2034</v>
      </c>
    </row>
    <row r="22" spans="1:4" x14ac:dyDescent="0.25">
      <c r="A22" t="s">
        <v>2031</v>
      </c>
      <c r="B22" t="s">
        <v>2035</v>
      </c>
      <c r="C22" s="32" t="s">
        <v>2036</v>
      </c>
      <c r="D22" s="32" t="s">
        <v>2037</v>
      </c>
    </row>
    <row r="23" spans="1:4" x14ac:dyDescent="0.25">
      <c r="A23" t="s">
        <v>2038</v>
      </c>
      <c r="B23" t="s">
        <v>2039</v>
      </c>
    </row>
    <row r="24" spans="1:4" x14ac:dyDescent="0.25">
      <c r="A24" t="s">
        <v>2040</v>
      </c>
      <c r="B24" t="s">
        <v>2041</v>
      </c>
      <c r="C24" s="32" t="s">
        <v>2042</v>
      </c>
      <c r="D24" s="32" t="s">
        <v>2043</v>
      </c>
    </row>
    <row r="25" spans="1:4" x14ac:dyDescent="0.25">
      <c r="A25" t="s">
        <v>2044</v>
      </c>
      <c r="B25" t="s">
        <v>2045</v>
      </c>
    </row>
    <row r="26" spans="1:4" x14ac:dyDescent="0.25">
      <c r="A26" t="s">
        <v>2046</v>
      </c>
      <c r="B26" t="s">
        <v>168</v>
      </c>
      <c r="C26" s="32" t="s">
        <v>2047</v>
      </c>
      <c r="D26" s="32" t="s">
        <v>2048</v>
      </c>
    </row>
    <row r="27" spans="1:4" x14ac:dyDescent="0.25">
      <c r="A27" t="s">
        <v>2046</v>
      </c>
      <c r="B27" t="s">
        <v>2049</v>
      </c>
      <c r="C27" s="32" t="s">
        <v>2050</v>
      </c>
    </row>
    <row r="28" spans="1:4" x14ac:dyDescent="0.25">
      <c r="A28" t="s">
        <v>2051</v>
      </c>
      <c r="B28" t="s">
        <v>2052</v>
      </c>
      <c r="D28" s="32" t="s">
        <v>2053</v>
      </c>
    </row>
    <row r="29" spans="1:4" x14ac:dyDescent="0.25">
      <c r="A29" t="s">
        <v>2054</v>
      </c>
      <c r="B29" t="s">
        <v>2055</v>
      </c>
      <c r="D29" s="32" t="s">
        <v>2056</v>
      </c>
    </row>
    <row r="30" spans="1:4" x14ac:dyDescent="0.25">
      <c r="A30" t="s">
        <v>2057</v>
      </c>
      <c r="B30" t="s">
        <v>2058</v>
      </c>
      <c r="D30" s="32" t="s">
        <v>2059</v>
      </c>
    </row>
    <row r="31" spans="1:4" x14ac:dyDescent="0.25">
      <c r="A31" t="s">
        <v>2060</v>
      </c>
      <c r="B31" t="s">
        <v>2061</v>
      </c>
      <c r="C31" s="32" t="s">
        <v>2062</v>
      </c>
      <c r="D31" s="32" t="s">
        <v>2063</v>
      </c>
    </row>
    <row r="32" spans="1:4" x14ac:dyDescent="0.25">
      <c r="A32" t="s">
        <v>2064</v>
      </c>
      <c r="B32" t="s">
        <v>2065</v>
      </c>
      <c r="C32" s="32" t="s">
        <v>2066</v>
      </c>
      <c r="D32" s="32" t="s">
        <v>2067</v>
      </c>
    </row>
    <row r="33" spans="1:4" x14ac:dyDescent="0.25">
      <c r="A33" t="s">
        <v>2068</v>
      </c>
      <c r="B33" t="s">
        <v>2069</v>
      </c>
      <c r="C33" s="32" t="s">
        <v>2070</v>
      </c>
      <c r="D33" s="32" t="s">
        <v>2071</v>
      </c>
    </row>
    <row r="34" spans="1:4" x14ac:dyDescent="0.25">
      <c r="A34" t="s">
        <v>2072</v>
      </c>
      <c r="B34" t="s">
        <v>2073</v>
      </c>
      <c r="C34" s="32" t="s">
        <v>2074</v>
      </c>
      <c r="D34" s="32" t="s">
        <v>2075</v>
      </c>
    </row>
    <row r="35" spans="1:4" x14ac:dyDescent="0.25">
      <c r="A35" t="s">
        <v>2076</v>
      </c>
      <c r="B35" t="s">
        <v>2077</v>
      </c>
      <c r="D35" s="32" t="s">
        <v>2078</v>
      </c>
    </row>
    <row r="36" spans="1:4" x14ac:dyDescent="0.25">
      <c r="A36" t="s">
        <v>2079</v>
      </c>
      <c r="B36" t="s">
        <v>2080</v>
      </c>
      <c r="C36" s="32" t="s">
        <v>2081</v>
      </c>
      <c r="D36" s="32" t="s">
        <v>2082</v>
      </c>
    </row>
    <row r="37" spans="1:4" x14ac:dyDescent="0.25">
      <c r="A37" t="s">
        <v>2083</v>
      </c>
      <c r="B37" t="s">
        <v>2084</v>
      </c>
      <c r="C37" s="32" t="s">
        <v>2085</v>
      </c>
    </row>
    <row r="38" spans="1:4" x14ac:dyDescent="0.25">
      <c r="A38" t="s">
        <v>2086</v>
      </c>
      <c r="B38" t="s">
        <v>2087</v>
      </c>
      <c r="C38" s="32" t="s">
        <v>2088</v>
      </c>
      <c r="D38" s="32" t="s">
        <v>2089</v>
      </c>
    </row>
    <row r="39" spans="1:4" x14ac:dyDescent="0.25">
      <c r="A39" t="s">
        <v>2090</v>
      </c>
      <c r="B39" t="s">
        <v>2091</v>
      </c>
      <c r="C39" s="32" t="s">
        <v>2092</v>
      </c>
      <c r="D39" s="32" t="s">
        <v>2093</v>
      </c>
    </row>
    <row r="40" spans="1:4" x14ac:dyDescent="0.25">
      <c r="A40" t="s">
        <v>2094</v>
      </c>
      <c r="B40" t="s">
        <v>2095</v>
      </c>
      <c r="C40" s="32" t="s">
        <v>2096</v>
      </c>
      <c r="D40" s="32" t="s">
        <v>2097</v>
      </c>
    </row>
    <row r="41" spans="1:4" x14ac:dyDescent="0.25">
      <c r="A41" t="s">
        <v>2098</v>
      </c>
      <c r="B41" t="s">
        <v>2099</v>
      </c>
      <c r="C41" s="32" t="s">
        <v>2100</v>
      </c>
    </row>
    <row r="42" spans="1:4" x14ac:dyDescent="0.25">
      <c r="A42" t="s">
        <v>2101</v>
      </c>
      <c r="B42" t="s">
        <v>2102</v>
      </c>
      <c r="C42" s="32" t="s">
        <v>2103</v>
      </c>
      <c r="D42" s="32" t="s">
        <v>2104</v>
      </c>
    </row>
    <row r="43" spans="1:4" x14ac:dyDescent="0.25">
      <c r="A43" t="s">
        <v>2105</v>
      </c>
      <c r="B43" t="s">
        <v>2106</v>
      </c>
      <c r="C43" s="32" t="s">
        <v>2107</v>
      </c>
      <c r="D43" s="32" t="s">
        <v>2108</v>
      </c>
    </row>
    <row r="44" spans="1:4" x14ac:dyDescent="0.25">
      <c r="A44" t="s">
        <v>2109</v>
      </c>
      <c r="B44" t="s">
        <v>2110</v>
      </c>
      <c r="C44" s="32" t="s">
        <v>2111</v>
      </c>
      <c r="D44" s="32" t="s">
        <v>2112</v>
      </c>
    </row>
    <row r="45" spans="1:4" x14ac:dyDescent="0.25">
      <c r="A45" t="s">
        <v>2113</v>
      </c>
      <c r="B45" t="s">
        <v>2114</v>
      </c>
      <c r="C45" s="32" t="s">
        <v>2115</v>
      </c>
      <c r="D45" s="32" t="s">
        <v>2116</v>
      </c>
    </row>
    <row r="46" spans="1:4" x14ac:dyDescent="0.25">
      <c r="A46" t="s">
        <v>2117</v>
      </c>
      <c r="B46" t="s">
        <v>2118</v>
      </c>
      <c r="C46" s="32" t="s">
        <v>2119</v>
      </c>
      <c r="D46" s="32" t="s">
        <v>2120</v>
      </c>
    </row>
    <row r="47" spans="1:4" x14ac:dyDescent="0.25">
      <c r="A47" t="s">
        <v>2121</v>
      </c>
      <c r="B47" t="s">
        <v>2122</v>
      </c>
      <c r="C47" s="32" t="s">
        <v>2123</v>
      </c>
      <c r="D47" s="32" t="s">
        <v>2124</v>
      </c>
    </row>
    <row r="48" spans="1:4" x14ac:dyDescent="0.25">
      <c r="A48" t="s">
        <v>2125</v>
      </c>
      <c r="B48" t="s">
        <v>2126</v>
      </c>
      <c r="C48" s="32" t="s">
        <v>2127</v>
      </c>
      <c r="D48" s="32" t="s">
        <v>2128</v>
      </c>
    </row>
    <row r="49" spans="1:4" x14ac:dyDescent="0.25">
      <c r="A49" t="s">
        <v>2129</v>
      </c>
      <c r="B49" t="s">
        <v>2129</v>
      </c>
    </row>
    <row r="50" spans="1:4" x14ac:dyDescent="0.25">
      <c r="A50" t="s">
        <v>2130</v>
      </c>
      <c r="B50" t="s">
        <v>2131</v>
      </c>
      <c r="C50" s="32" t="s">
        <v>2132</v>
      </c>
      <c r="D50" s="32" t="s">
        <v>2133</v>
      </c>
    </row>
    <row r="51" spans="1:4" x14ac:dyDescent="0.25">
      <c r="A51" t="s">
        <v>2134</v>
      </c>
      <c r="B51" t="s">
        <v>2135</v>
      </c>
      <c r="C51" s="32" t="s">
        <v>2136</v>
      </c>
      <c r="D51" s="32" t="s">
        <v>2137</v>
      </c>
    </row>
    <row r="52" spans="1:4" x14ac:dyDescent="0.25">
      <c r="A52" t="s">
        <v>2138</v>
      </c>
      <c r="B52" t="s">
        <v>2139</v>
      </c>
      <c r="C52" s="32" t="s">
        <v>2140</v>
      </c>
      <c r="D52" s="32" t="s">
        <v>2141</v>
      </c>
    </row>
    <row r="53" spans="1:4" x14ac:dyDescent="0.25">
      <c r="A53" t="s">
        <v>2142</v>
      </c>
      <c r="B53" t="s">
        <v>2143</v>
      </c>
      <c r="C53" s="32" t="s">
        <v>2144</v>
      </c>
      <c r="D53" s="32" t="s">
        <v>2145</v>
      </c>
    </row>
    <row r="54" spans="1:4" x14ac:dyDescent="0.25">
      <c r="A54" t="s">
        <v>2146</v>
      </c>
      <c r="B54" t="s">
        <v>2147</v>
      </c>
      <c r="C54" s="32" t="s">
        <v>2148</v>
      </c>
      <c r="D54" s="32" t="s">
        <v>2149</v>
      </c>
    </row>
    <row r="55" spans="1:4" x14ac:dyDescent="0.25">
      <c r="A55" t="s">
        <v>2150</v>
      </c>
      <c r="B55" t="s">
        <v>2151</v>
      </c>
      <c r="D55" s="32" t="s">
        <v>2152</v>
      </c>
    </row>
    <row r="56" spans="1:4" x14ac:dyDescent="0.25">
      <c r="A56" t="s">
        <v>2153</v>
      </c>
      <c r="B56" t="s">
        <v>2154</v>
      </c>
      <c r="C56" s="32" t="s">
        <v>2155</v>
      </c>
      <c r="D56" s="32" t="s">
        <v>2156</v>
      </c>
    </row>
    <row r="57" spans="1:4" x14ac:dyDescent="0.25">
      <c r="A57" t="s">
        <v>2157</v>
      </c>
      <c r="B57" t="s">
        <v>2158</v>
      </c>
      <c r="C57" s="32" t="s">
        <v>2088</v>
      </c>
    </row>
    <row r="58" spans="1:4" x14ac:dyDescent="0.25">
      <c r="A58" t="s">
        <v>2159</v>
      </c>
      <c r="B58" t="s">
        <v>2160</v>
      </c>
      <c r="C58" s="32" t="s">
        <v>2161</v>
      </c>
      <c r="D58" s="32" t="s">
        <v>2162</v>
      </c>
    </row>
    <row r="59" spans="1:4" x14ac:dyDescent="0.25">
      <c r="A59" t="s">
        <v>2163</v>
      </c>
      <c r="B59" t="s">
        <v>190</v>
      </c>
      <c r="C59" s="32" t="s">
        <v>2164</v>
      </c>
      <c r="D59" s="32" t="s">
        <v>2165</v>
      </c>
    </row>
    <row r="60" spans="1:4" x14ac:dyDescent="0.25">
      <c r="A60" t="s">
        <v>2166</v>
      </c>
      <c r="B60" t="s">
        <v>2167</v>
      </c>
      <c r="C60" s="32" t="s">
        <v>2081</v>
      </c>
      <c r="D60" s="32" t="s">
        <v>2168</v>
      </c>
    </row>
    <row r="61" spans="1:4" x14ac:dyDescent="0.25">
      <c r="A61" t="s">
        <v>2169</v>
      </c>
      <c r="B61" t="s">
        <v>2170</v>
      </c>
      <c r="C61" s="32" t="s">
        <v>2171</v>
      </c>
      <c r="D61" s="32" t="s">
        <v>2172</v>
      </c>
    </row>
    <row r="62" spans="1:4" x14ac:dyDescent="0.25">
      <c r="A62" t="s">
        <v>2173</v>
      </c>
      <c r="B62" t="s">
        <v>2174</v>
      </c>
      <c r="C62" s="32" t="s">
        <v>2175</v>
      </c>
      <c r="D62" s="32" t="s">
        <v>2176</v>
      </c>
    </row>
    <row r="63" spans="1:4" x14ac:dyDescent="0.25">
      <c r="A63" t="s">
        <v>2177</v>
      </c>
      <c r="B63" t="s">
        <v>2178</v>
      </c>
      <c r="C63" s="32" t="s">
        <v>2179</v>
      </c>
      <c r="D63" s="32" t="s">
        <v>2180</v>
      </c>
    </row>
    <row r="64" spans="1:4" x14ac:dyDescent="0.25">
      <c r="A64" t="s">
        <v>2181</v>
      </c>
      <c r="B64" t="s">
        <v>2182</v>
      </c>
      <c r="D64" s="32" t="s">
        <v>2183</v>
      </c>
    </row>
    <row r="65" spans="1:4" x14ac:dyDescent="0.25">
      <c r="A65" t="s">
        <v>2184</v>
      </c>
      <c r="B65" t="s">
        <v>2185</v>
      </c>
      <c r="C65" s="32" t="s">
        <v>2186</v>
      </c>
      <c r="D65" s="32" t="s">
        <v>2187</v>
      </c>
    </row>
    <row r="66" spans="1:4" x14ac:dyDescent="0.25">
      <c r="A66" t="s">
        <v>24</v>
      </c>
      <c r="B66" t="s">
        <v>24</v>
      </c>
      <c r="C66" s="32" t="s">
        <v>2188</v>
      </c>
      <c r="D66" s="32" t="s">
        <v>2189</v>
      </c>
    </row>
    <row r="67" spans="1:4" x14ac:dyDescent="0.25">
      <c r="A67" t="s">
        <v>2190</v>
      </c>
      <c r="B67" t="s">
        <v>2191</v>
      </c>
      <c r="C67" s="32" t="s">
        <v>2192</v>
      </c>
      <c r="D67" s="32" t="s">
        <v>2193</v>
      </c>
    </row>
    <row r="68" spans="1:4" x14ac:dyDescent="0.25">
      <c r="A68" t="s">
        <v>2194</v>
      </c>
      <c r="B68" t="s">
        <v>2194</v>
      </c>
      <c r="C68" s="32" t="s">
        <v>2195</v>
      </c>
      <c r="D68" s="32" t="s">
        <v>2196</v>
      </c>
    </row>
    <row r="69" spans="1:4" x14ac:dyDescent="0.25">
      <c r="A69" t="s">
        <v>2197</v>
      </c>
      <c r="B69" t="s">
        <v>2198</v>
      </c>
      <c r="C69" s="32" t="s">
        <v>2199</v>
      </c>
      <c r="D69" s="32" t="s">
        <v>2200</v>
      </c>
    </row>
    <row r="70" spans="1:4" x14ac:dyDescent="0.25">
      <c r="A70" t="s">
        <v>2201</v>
      </c>
      <c r="B70" t="s">
        <v>2202</v>
      </c>
      <c r="D70" s="32" t="s">
        <v>2203</v>
      </c>
    </row>
    <row r="71" spans="1:4" x14ac:dyDescent="0.25">
      <c r="A71" t="s">
        <v>2204</v>
      </c>
      <c r="B71" t="s">
        <v>2205</v>
      </c>
      <c r="C71" s="32" t="s">
        <v>2206</v>
      </c>
      <c r="D71" s="32" t="s">
        <v>2207</v>
      </c>
    </row>
    <row r="72" spans="1:4" x14ac:dyDescent="0.25">
      <c r="A72" t="s">
        <v>2208</v>
      </c>
      <c r="B72" t="s">
        <v>2209</v>
      </c>
      <c r="C72" s="32" t="s">
        <v>2210</v>
      </c>
      <c r="D72" s="32" t="s">
        <v>2211</v>
      </c>
    </row>
    <row r="73" spans="1:4" x14ac:dyDescent="0.25">
      <c r="A73" t="s">
        <v>2212</v>
      </c>
      <c r="B73" t="s">
        <v>2213</v>
      </c>
    </row>
    <row r="74" spans="1:4" x14ac:dyDescent="0.25">
      <c r="A74" t="s">
        <v>2214</v>
      </c>
      <c r="B74" t="s">
        <v>2215</v>
      </c>
      <c r="C74" s="32" t="s">
        <v>2216</v>
      </c>
      <c r="D74" s="32" t="s">
        <v>2217</v>
      </c>
    </row>
    <row r="75" spans="1:4" x14ac:dyDescent="0.25">
      <c r="A75" t="s">
        <v>2218</v>
      </c>
      <c r="B75" t="s">
        <v>52</v>
      </c>
      <c r="C75" s="32" t="s">
        <v>2219</v>
      </c>
      <c r="D75" s="32" t="s">
        <v>2220</v>
      </c>
    </row>
    <row r="76" spans="1:4" x14ac:dyDescent="0.25">
      <c r="A76" t="s">
        <v>2221</v>
      </c>
      <c r="B76" t="s">
        <v>2222</v>
      </c>
      <c r="C76" s="32" t="s">
        <v>2223</v>
      </c>
      <c r="D76" s="32" t="s">
        <v>2224</v>
      </c>
    </row>
    <row r="77" spans="1:4" x14ac:dyDescent="0.25">
      <c r="A77" t="s">
        <v>2225</v>
      </c>
      <c r="B77" t="s">
        <v>2226</v>
      </c>
      <c r="C77" s="32" t="s">
        <v>2227</v>
      </c>
      <c r="D77" s="32" t="s">
        <v>2228</v>
      </c>
    </row>
    <row r="78" spans="1:4" x14ac:dyDescent="0.25">
      <c r="A78" t="s">
        <v>2229</v>
      </c>
      <c r="B78" t="s">
        <v>196</v>
      </c>
      <c r="C78" s="32" t="s">
        <v>2230</v>
      </c>
      <c r="D78" s="32" t="s">
        <v>2231</v>
      </c>
    </row>
    <row r="79" spans="1:4" x14ac:dyDescent="0.25">
      <c r="A79" t="s">
        <v>2232</v>
      </c>
      <c r="B79" t="s">
        <v>2233</v>
      </c>
      <c r="C79" s="32" t="s">
        <v>2234</v>
      </c>
      <c r="D79" s="32" t="s">
        <v>2235</v>
      </c>
    </row>
    <row r="80" spans="1:4" x14ac:dyDescent="0.25">
      <c r="A80" t="s">
        <v>2236</v>
      </c>
      <c r="B80" t="s">
        <v>2237</v>
      </c>
      <c r="C80" s="32" t="s">
        <v>2238</v>
      </c>
      <c r="D80" s="32" t="s">
        <v>2239</v>
      </c>
    </row>
    <row r="81" spans="1:4" x14ac:dyDescent="0.25">
      <c r="A81" t="s">
        <v>2240</v>
      </c>
      <c r="B81" t="s">
        <v>2241</v>
      </c>
      <c r="C81" s="32" t="s">
        <v>2242</v>
      </c>
      <c r="D81" s="32" t="s">
        <v>2243</v>
      </c>
    </row>
    <row r="82" spans="1:4" x14ac:dyDescent="0.25">
      <c r="A82" t="s">
        <v>2244</v>
      </c>
      <c r="B82" t="s">
        <v>2245</v>
      </c>
      <c r="D82" s="32" t="s">
        <v>2246</v>
      </c>
    </row>
    <row r="83" spans="1:4" x14ac:dyDescent="0.25">
      <c r="A83" t="s">
        <v>2247</v>
      </c>
      <c r="B83" t="s">
        <v>2248</v>
      </c>
      <c r="C83" s="32" t="s">
        <v>2249</v>
      </c>
      <c r="D83" s="32" t="s">
        <v>2250</v>
      </c>
    </row>
    <row r="84" spans="1:4" x14ac:dyDescent="0.25">
      <c r="A84" t="s">
        <v>2251</v>
      </c>
      <c r="B84" t="s">
        <v>2252</v>
      </c>
      <c r="C84" s="32" t="s">
        <v>2253</v>
      </c>
      <c r="D84" s="32" t="s">
        <v>2254</v>
      </c>
    </row>
    <row r="85" spans="1:4" x14ac:dyDescent="0.25">
      <c r="A85" t="s">
        <v>2255</v>
      </c>
      <c r="B85" t="s">
        <v>2256</v>
      </c>
      <c r="C85" s="32" t="s">
        <v>2257</v>
      </c>
      <c r="D85" s="32" t="s">
        <v>2258</v>
      </c>
    </row>
    <row r="86" spans="1:4" x14ac:dyDescent="0.25">
      <c r="A86" t="s">
        <v>2259</v>
      </c>
      <c r="B86" t="s">
        <v>2260</v>
      </c>
      <c r="C86" s="32" t="s">
        <v>2261</v>
      </c>
      <c r="D86" s="32" t="s">
        <v>2262</v>
      </c>
    </row>
    <row r="87" spans="1:4" x14ac:dyDescent="0.25">
      <c r="A87" t="s">
        <v>2263</v>
      </c>
      <c r="B87" t="s">
        <v>2264</v>
      </c>
      <c r="D87" s="32" t="s">
        <v>2265</v>
      </c>
    </row>
    <row r="88" spans="1:4" x14ac:dyDescent="0.25">
      <c r="A88" t="s">
        <v>2266</v>
      </c>
      <c r="B88" t="s">
        <v>2267</v>
      </c>
      <c r="C88" s="32" t="s">
        <v>2268</v>
      </c>
    </row>
    <row r="89" spans="1:4" x14ac:dyDescent="0.25">
      <c r="A89" t="s">
        <v>2269</v>
      </c>
      <c r="B89" t="s">
        <v>2270</v>
      </c>
      <c r="C89" s="32" t="s">
        <v>2271</v>
      </c>
      <c r="D89" s="32" t="s">
        <v>2272</v>
      </c>
    </row>
    <row r="90" spans="1:4" x14ac:dyDescent="0.25">
      <c r="A90" t="s">
        <v>2273</v>
      </c>
      <c r="B90" t="s">
        <v>2274</v>
      </c>
      <c r="D90" s="32" t="s">
        <v>2275</v>
      </c>
    </row>
    <row r="91" spans="1:4" x14ac:dyDescent="0.25">
      <c r="A91" t="s">
        <v>2276</v>
      </c>
      <c r="B91" t="s">
        <v>2276</v>
      </c>
      <c r="C91" s="32" t="s">
        <v>2277</v>
      </c>
      <c r="D91" s="32" t="s">
        <v>2278</v>
      </c>
    </row>
    <row r="92" spans="1:4" x14ac:dyDescent="0.25">
      <c r="A92" t="s">
        <v>2279</v>
      </c>
      <c r="B92" t="s">
        <v>2280</v>
      </c>
      <c r="C92" s="32" t="s">
        <v>2281</v>
      </c>
      <c r="D92" s="32" t="s">
        <v>2282</v>
      </c>
    </row>
    <row r="93" spans="1:4" x14ac:dyDescent="0.25">
      <c r="A93" t="s">
        <v>2283</v>
      </c>
      <c r="B93" t="s">
        <v>2284</v>
      </c>
      <c r="C93" s="32" t="s">
        <v>2285</v>
      </c>
      <c r="D93" s="32" t="s">
        <v>2286</v>
      </c>
    </row>
    <row r="94" spans="1:4" x14ac:dyDescent="0.25">
      <c r="A94" t="s">
        <v>2287</v>
      </c>
      <c r="B94" t="s">
        <v>2288</v>
      </c>
      <c r="C94" s="32" t="s">
        <v>2289</v>
      </c>
      <c r="D94" s="32" t="s">
        <v>2290</v>
      </c>
    </row>
    <row r="95" spans="1:4" x14ac:dyDescent="0.25">
      <c r="A95" t="s">
        <v>2291</v>
      </c>
      <c r="B95" t="s">
        <v>2292</v>
      </c>
      <c r="C95" s="32" t="s">
        <v>2293</v>
      </c>
      <c r="D95" s="32" t="s">
        <v>2294</v>
      </c>
    </row>
    <row r="96" spans="1:4" x14ac:dyDescent="0.25">
      <c r="A96" t="s">
        <v>2295</v>
      </c>
      <c r="B96" t="s">
        <v>2296</v>
      </c>
      <c r="C96" s="32" t="s">
        <v>2297</v>
      </c>
      <c r="D96" s="32" t="s">
        <v>2298</v>
      </c>
    </row>
    <row r="97" spans="1:4" x14ac:dyDescent="0.25">
      <c r="A97" t="s">
        <v>2299</v>
      </c>
      <c r="B97" t="s">
        <v>2300</v>
      </c>
      <c r="C97" s="32" t="s">
        <v>2301</v>
      </c>
      <c r="D97" s="32" t="s">
        <v>2302</v>
      </c>
    </row>
    <row r="98" spans="1:4" x14ac:dyDescent="0.25">
      <c r="A98" t="s">
        <v>2303</v>
      </c>
      <c r="B98" t="s">
        <v>2304</v>
      </c>
      <c r="D98" s="32" t="s">
        <v>2305</v>
      </c>
    </row>
    <row r="99" spans="1:4" x14ac:dyDescent="0.25">
      <c r="A99" t="s">
        <v>2306</v>
      </c>
      <c r="B99" t="s">
        <v>2307</v>
      </c>
      <c r="C99" s="32" t="s">
        <v>2308</v>
      </c>
    </row>
    <row r="100" spans="1:4" x14ac:dyDescent="0.25">
      <c r="A100" t="s">
        <v>2309</v>
      </c>
      <c r="B100" t="s">
        <v>2310</v>
      </c>
      <c r="C100" s="32" t="s">
        <v>2311</v>
      </c>
      <c r="D100" s="32" t="s">
        <v>2312</v>
      </c>
    </row>
    <row r="101" spans="1:4" x14ac:dyDescent="0.25">
      <c r="A101" t="s">
        <v>2313</v>
      </c>
      <c r="B101" t="s">
        <v>2314</v>
      </c>
      <c r="C101" s="32" t="s">
        <v>2315</v>
      </c>
      <c r="D101" s="32" t="s">
        <v>2316</v>
      </c>
    </row>
    <row r="102" spans="1:4" x14ac:dyDescent="0.25">
      <c r="A102" t="s">
        <v>2317</v>
      </c>
      <c r="B102" t="s">
        <v>2318</v>
      </c>
      <c r="D102" s="32" t="s">
        <v>2319</v>
      </c>
    </row>
    <row r="103" spans="1:4" x14ac:dyDescent="0.25">
      <c r="A103" t="s">
        <v>2320</v>
      </c>
      <c r="B103" t="s">
        <v>2321</v>
      </c>
      <c r="C103" s="32" t="s">
        <v>2322</v>
      </c>
      <c r="D103" s="32" t="s">
        <v>2323</v>
      </c>
    </row>
    <row r="104" spans="1:4" x14ac:dyDescent="0.25">
      <c r="A104" t="s">
        <v>2324</v>
      </c>
      <c r="B104" t="s">
        <v>2325</v>
      </c>
      <c r="C104" s="32" t="s">
        <v>2326</v>
      </c>
      <c r="D104" s="32" t="s">
        <v>2327</v>
      </c>
    </row>
    <row r="105" spans="1:4" x14ac:dyDescent="0.25">
      <c r="A105" t="s">
        <v>2328</v>
      </c>
      <c r="B105" t="s">
        <v>2329</v>
      </c>
      <c r="D105" s="32" t="s">
        <v>2330</v>
      </c>
    </row>
    <row r="106" spans="1:4" x14ac:dyDescent="0.25">
      <c r="A106" t="s">
        <v>2331</v>
      </c>
      <c r="B106" t="s">
        <v>2332</v>
      </c>
      <c r="C106" s="32" t="s">
        <v>2333</v>
      </c>
      <c r="D106" s="32" t="s">
        <v>2334</v>
      </c>
    </row>
    <row r="107" spans="1:4" x14ac:dyDescent="0.25">
      <c r="A107" t="s">
        <v>2335</v>
      </c>
      <c r="B107" t="s">
        <v>2336</v>
      </c>
      <c r="C107" s="32" t="s">
        <v>2337</v>
      </c>
      <c r="D107" s="32" t="s">
        <v>2338</v>
      </c>
    </row>
    <row r="108" spans="1:4" x14ac:dyDescent="0.25">
      <c r="A108" t="s">
        <v>2339</v>
      </c>
      <c r="B108" t="s">
        <v>2340</v>
      </c>
      <c r="C108" s="32" t="s">
        <v>2341</v>
      </c>
      <c r="D108" s="32" t="s">
        <v>2342</v>
      </c>
    </row>
    <row r="109" spans="1:4" x14ac:dyDescent="0.25">
      <c r="A109" t="s">
        <v>2343</v>
      </c>
      <c r="B109" t="s">
        <v>2344</v>
      </c>
      <c r="C109" s="32" t="s">
        <v>2345</v>
      </c>
      <c r="D109" s="32" t="s">
        <v>2346</v>
      </c>
    </row>
    <row r="110" spans="1:4" x14ac:dyDescent="0.25">
      <c r="A110" t="s">
        <v>2347</v>
      </c>
      <c r="B110" t="s">
        <v>68</v>
      </c>
      <c r="C110" s="32" t="s">
        <v>2348</v>
      </c>
      <c r="D110" s="32" t="s">
        <v>2349</v>
      </c>
    </row>
    <row r="111" spans="1:4" x14ac:dyDescent="0.25">
      <c r="A111" t="s">
        <v>796</v>
      </c>
      <c r="B111" t="s">
        <v>2350</v>
      </c>
      <c r="C111" s="32" t="s">
        <v>2351</v>
      </c>
      <c r="D111" s="32" t="s">
        <v>2352</v>
      </c>
    </row>
    <row r="112" spans="1:4" x14ac:dyDescent="0.25">
      <c r="A112" t="s">
        <v>2353</v>
      </c>
      <c r="B112" t="s">
        <v>2354</v>
      </c>
      <c r="C112" s="32" t="s">
        <v>2355</v>
      </c>
      <c r="D112" s="32" t="s">
        <v>2356</v>
      </c>
    </row>
    <row r="113" spans="1:4" x14ac:dyDescent="0.25">
      <c r="A113" t="s">
        <v>2357</v>
      </c>
      <c r="B113" t="s">
        <v>2358</v>
      </c>
      <c r="C113" s="32" t="s">
        <v>2359</v>
      </c>
      <c r="D113" s="32" t="s">
        <v>2360</v>
      </c>
    </row>
    <row r="114" spans="1:4" x14ac:dyDescent="0.25">
      <c r="A114" t="s">
        <v>2361</v>
      </c>
      <c r="B114" t="s">
        <v>2362</v>
      </c>
      <c r="C114" s="32" t="s">
        <v>2363</v>
      </c>
      <c r="D114" s="32" t="s">
        <v>2364</v>
      </c>
    </row>
    <row r="115" spans="1:4" x14ac:dyDescent="0.25">
      <c r="A115" t="s">
        <v>2365</v>
      </c>
      <c r="B115" t="s">
        <v>2366</v>
      </c>
      <c r="C115" s="32" t="s">
        <v>2367</v>
      </c>
      <c r="D115" s="32" t="s">
        <v>2368</v>
      </c>
    </row>
    <row r="116" spans="1:4" x14ac:dyDescent="0.25">
      <c r="A116" t="s">
        <v>2369</v>
      </c>
      <c r="B116" t="s">
        <v>2370</v>
      </c>
      <c r="C116" s="32" t="s">
        <v>2371</v>
      </c>
      <c r="D116" s="32" t="s">
        <v>2372</v>
      </c>
    </row>
    <row r="117" spans="1:4" x14ac:dyDescent="0.25">
      <c r="A117" t="s">
        <v>1946</v>
      </c>
      <c r="B117" t="s">
        <v>2373</v>
      </c>
      <c r="D117" s="32" t="s">
        <v>2374</v>
      </c>
    </row>
    <row r="118" spans="1:4" x14ac:dyDescent="0.25">
      <c r="A118" t="s">
        <v>2375</v>
      </c>
      <c r="B118" t="s">
        <v>2376</v>
      </c>
      <c r="C118" s="32" t="s">
        <v>2377</v>
      </c>
      <c r="D118" s="32" t="s">
        <v>2378</v>
      </c>
    </row>
    <row r="119" spans="1:4" x14ac:dyDescent="0.25">
      <c r="A119" t="s">
        <v>2379</v>
      </c>
      <c r="B119" t="s">
        <v>2380</v>
      </c>
      <c r="D119" s="32" t="s">
        <v>2381</v>
      </c>
    </row>
    <row r="120" spans="1:4" x14ac:dyDescent="0.25">
      <c r="A120" t="s">
        <v>2382</v>
      </c>
      <c r="B120" t="s">
        <v>2383</v>
      </c>
      <c r="C120" s="32" t="s">
        <v>2206</v>
      </c>
    </row>
    <row r="121" spans="1:4" x14ac:dyDescent="0.25">
      <c r="A121" t="s">
        <v>2384</v>
      </c>
      <c r="B121" t="s">
        <v>2385</v>
      </c>
      <c r="C121" s="32" t="s">
        <v>2386</v>
      </c>
      <c r="D121" s="32" t="s">
        <v>2387</v>
      </c>
    </row>
    <row r="122" spans="1:4" x14ac:dyDescent="0.25">
      <c r="A122" t="s">
        <v>2388</v>
      </c>
      <c r="B122" t="s">
        <v>2389</v>
      </c>
      <c r="C122" s="32" t="s">
        <v>2390</v>
      </c>
      <c r="D122" s="32" t="s">
        <v>2391</v>
      </c>
    </row>
    <row r="123" spans="1:4" x14ac:dyDescent="0.25">
      <c r="A123" t="s">
        <v>2392</v>
      </c>
      <c r="B123" t="s">
        <v>2393</v>
      </c>
      <c r="C123" s="32" t="s">
        <v>2394</v>
      </c>
      <c r="D123" s="32" t="s">
        <v>2395</v>
      </c>
    </row>
    <row r="124" spans="1:4" x14ac:dyDescent="0.25">
      <c r="A124" t="s">
        <v>2396</v>
      </c>
      <c r="B124" t="s">
        <v>2397</v>
      </c>
      <c r="C124" s="32" t="s">
        <v>2398</v>
      </c>
      <c r="D124" s="32" t="s">
        <v>2399</v>
      </c>
    </row>
    <row r="125" spans="1:4" x14ac:dyDescent="0.25">
      <c r="A125" t="s">
        <v>2400</v>
      </c>
      <c r="B125" t="s">
        <v>2401</v>
      </c>
      <c r="C125" s="32" t="s">
        <v>2402</v>
      </c>
      <c r="D125" s="32" t="s">
        <v>2403</v>
      </c>
    </row>
    <row r="126" spans="1:4" x14ac:dyDescent="0.25">
      <c r="A126" t="s">
        <v>2404</v>
      </c>
      <c r="B126" t="s">
        <v>2405</v>
      </c>
      <c r="C126" s="32" t="s">
        <v>2406</v>
      </c>
      <c r="D126" s="32" t="s">
        <v>2407</v>
      </c>
    </row>
    <row r="127" spans="1:4" x14ac:dyDescent="0.25">
      <c r="A127" t="s">
        <v>2408</v>
      </c>
      <c r="B127" t="s">
        <v>2409</v>
      </c>
      <c r="C127" s="32" t="s">
        <v>2410</v>
      </c>
      <c r="D127" s="32" t="s">
        <v>2411</v>
      </c>
    </row>
    <row r="128" spans="1:4" x14ac:dyDescent="0.25">
      <c r="A128" t="s">
        <v>2412</v>
      </c>
      <c r="B128" t="s">
        <v>2413</v>
      </c>
      <c r="C128" s="32" t="s">
        <v>2414</v>
      </c>
      <c r="D128" s="32" t="s">
        <v>2415</v>
      </c>
    </row>
    <row r="129" spans="1:4" x14ac:dyDescent="0.25">
      <c r="A129" t="s">
        <v>2416</v>
      </c>
      <c r="B129" t="s">
        <v>2417</v>
      </c>
      <c r="C129" s="32" t="s">
        <v>2418</v>
      </c>
      <c r="D129" s="32" t="s">
        <v>2419</v>
      </c>
    </row>
    <row r="130" spans="1:4" x14ac:dyDescent="0.25">
      <c r="A130" t="s">
        <v>2420</v>
      </c>
      <c r="B130" t="s">
        <v>2421</v>
      </c>
      <c r="D130" s="32" t="s">
        <v>2422</v>
      </c>
    </row>
    <row r="131" spans="1:4" x14ac:dyDescent="0.25">
      <c r="A131" t="s">
        <v>2423</v>
      </c>
      <c r="B131" t="s">
        <v>2424</v>
      </c>
      <c r="D131" s="32" t="s">
        <v>2425</v>
      </c>
    </row>
    <row r="132" spans="1:4" x14ac:dyDescent="0.25">
      <c r="A132" t="s">
        <v>2426</v>
      </c>
      <c r="B132" t="s">
        <v>2426</v>
      </c>
      <c r="C132" s="32" t="s">
        <v>2427</v>
      </c>
      <c r="D132" s="32" t="s">
        <v>2428</v>
      </c>
    </row>
    <row r="133" spans="1:4" x14ac:dyDescent="0.25">
      <c r="A133" t="s">
        <v>2429</v>
      </c>
      <c r="B133" t="s">
        <v>411</v>
      </c>
      <c r="C133" s="32" t="s">
        <v>2430</v>
      </c>
      <c r="D133" s="32" t="s">
        <v>2431</v>
      </c>
    </row>
    <row r="134" spans="1:4" x14ac:dyDescent="0.25">
      <c r="A134" t="s">
        <v>2432</v>
      </c>
      <c r="B134" t="s">
        <v>2433</v>
      </c>
      <c r="C134" s="32" t="s">
        <v>2434</v>
      </c>
      <c r="D134" s="32" t="s">
        <v>2435</v>
      </c>
    </row>
    <row r="135" spans="1:4" x14ac:dyDescent="0.25">
      <c r="A135" t="s">
        <v>2436</v>
      </c>
      <c r="B135" t="s">
        <v>2436</v>
      </c>
      <c r="C135" s="32" t="s">
        <v>2437</v>
      </c>
      <c r="D135" s="32" t="s">
        <v>2438</v>
      </c>
    </row>
    <row r="136" spans="1:4" x14ac:dyDescent="0.25">
      <c r="A136" t="s">
        <v>2439</v>
      </c>
      <c r="B136" t="s">
        <v>2440</v>
      </c>
      <c r="C136" s="32" t="s">
        <v>2441</v>
      </c>
      <c r="D136" s="32" t="s">
        <v>2442</v>
      </c>
    </row>
    <row r="137" spans="1:4" x14ac:dyDescent="0.25">
      <c r="A137" t="s">
        <v>2443</v>
      </c>
      <c r="B137" t="s">
        <v>2444</v>
      </c>
      <c r="C137" s="32" t="s">
        <v>2445</v>
      </c>
      <c r="D137" s="32" t="s">
        <v>2446</v>
      </c>
    </row>
    <row r="138" spans="1:4" x14ac:dyDescent="0.25">
      <c r="A138" t="s">
        <v>2447</v>
      </c>
      <c r="B138" t="s">
        <v>2448</v>
      </c>
      <c r="C138" s="32" t="s">
        <v>2449</v>
      </c>
      <c r="D138" s="32" t="s">
        <v>2450</v>
      </c>
    </row>
    <row r="139" spans="1:4" x14ac:dyDescent="0.25">
      <c r="A139" t="s">
        <v>2451</v>
      </c>
      <c r="B139" t="s">
        <v>2452</v>
      </c>
      <c r="C139" s="32" t="s">
        <v>2453</v>
      </c>
      <c r="D139" s="32" t="s">
        <v>2454</v>
      </c>
    </row>
    <row r="140" spans="1:4" x14ac:dyDescent="0.25">
      <c r="A140" t="s">
        <v>2455</v>
      </c>
      <c r="B140" t="s">
        <v>2456</v>
      </c>
      <c r="D140" s="32" t="s">
        <v>2457</v>
      </c>
    </row>
    <row r="141" spans="1:4" x14ac:dyDescent="0.25">
      <c r="A141" t="s">
        <v>2458</v>
      </c>
      <c r="B141" t="s">
        <v>2459</v>
      </c>
      <c r="C141" s="32" t="s">
        <v>2460</v>
      </c>
      <c r="D141" s="32" t="s">
        <v>2461</v>
      </c>
    </row>
    <row r="142" spans="1:4" x14ac:dyDescent="0.25">
      <c r="A142" t="s">
        <v>2462</v>
      </c>
      <c r="B142" t="s">
        <v>2463</v>
      </c>
    </row>
    <row r="143" spans="1:4" x14ac:dyDescent="0.25">
      <c r="A143" t="s">
        <v>2464</v>
      </c>
      <c r="B143" t="s">
        <v>2465</v>
      </c>
      <c r="C143" s="32" t="s">
        <v>2466</v>
      </c>
      <c r="D143" s="32" t="s">
        <v>2467</v>
      </c>
    </row>
    <row r="144" spans="1:4" x14ac:dyDescent="0.25">
      <c r="A144" t="s">
        <v>2468</v>
      </c>
      <c r="B144" t="s">
        <v>2469</v>
      </c>
      <c r="C144" s="32" t="s">
        <v>2470</v>
      </c>
      <c r="D144" s="32" t="s">
        <v>2471</v>
      </c>
    </row>
    <row r="145" spans="1:4" x14ac:dyDescent="0.25">
      <c r="A145" t="s">
        <v>2472</v>
      </c>
      <c r="B145" t="s">
        <v>2473</v>
      </c>
      <c r="D145" s="32" t="s">
        <v>2474</v>
      </c>
    </row>
    <row r="146" spans="1:4" x14ac:dyDescent="0.25">
      <c r="A146" t="s">
        <v>2475</v>
      </c>
      <c r="B146" t="s">
        <v>2476</v>
      </c>
      <c r="C146" s="32" t="s">
        <v>2477</v>
      </c>
      <c r="D146" s="32" t="s">
        <v>2478</v>
      </c>
    </row>
    <row r="147" spans="1:4" x14ac:dyDescent="0.25">
      <c r="A147" t="s">
        <v>2479</v>
      </c>
      <c r="B147" t="s">
        <v>2480</v>
      </c>
      <c r="D147" s="32" t="s">
        <v>2481</v>
      </c>
    </row>
    <row r="148" spans="1:4" x14ac:dyDescent="0.25">
      <c r="A148" t="s">
        <v>2482</v>
      </c>
      <c r="B148" t="s">
        <v>2483</v>
      </c>
      <c r="C148" s="32" t="s">
        <v>2484</v>
      </c>
      <c r="D148" s="32" t="s">
        <v>2485</v>
      </c>
    </row>
    <row r="149" spans="1:4" x14ac:dyDescent="0.25">
      <c r="A149" t="s">
        <v>2486</v>
      </c>
      <c r="B149" t="s">
        <v>2487</v>
      </c>
      <c r="D149" s="32" t="s">
        <v>2488</v>
      </c>
    </row>
    <row r="150" spans="1:4" x14ac:dyDescent="0.25">
      <c r="A150" t="s">
        <v>2489</v>
      </c>
      <c r="B150" t="s">
        <v>2490</v>
      </c>
      <c r="D150" s="32" t="s">
        <v>2491</v>
      </c>
    </row>
    <row r="151" spans="1:4" x14ac:dyDescent="0.25">
      <c r="A151" t="s">
        <v>2492</v>
      </c>
      <c r="B151" t="s">
        <v>2493</v>
      </c>
      <c r="D151" s="32" t="s">
        <v>2494</v>
      </c>
    </row>
    <row r="152" spans="1:4" x14ac:dyDescent="0.25">
      <c r="A152" t="s">
        <v>2495</v>
      </c>
      <c r="B152" t="s">
        <v>2496</v>
      </c>
      <c r="D152" s="32" t="s">
        <v>2497</v>
      </c>
    </row>
    <row r="153" spans="1:4" x14ac:dyDescent="0.25">
      <c r="A153" t="s">
        <v>2498</v>
      </c>
      <c r="B153" t="s">
        <v>45</v>
      </c>
      <c r="C153" s="32" t="s">
        <v>2499</v>
      </c>
      <c r="D153" s="32" t="s">
        <v>2500</v>
      </c>
    </row>
    <row r="154" spans="1:4" x14ac:dyDescent="0.25">
      <c r="A154" t="s">
        <v>2501</v>
      </c>
      <c r="B154" t="s">
        <v>2502</v>
      </c>
      <c r="D154" s="32" t="s">
        <v>2503</v>
      </c>
    </row>
    <row r="155" spans="1:4" x14ac:dyDescent="0.25">
      <c r="A155" t="s">
        <v>2504</v>
      </c>
      <c r="B155" t="s">
        <v>2505</v>
      </c>
      <c r="D155" s="32" t="s">
        <v>2506</v>
      </c>
    </row>
    <row r="156" spans="1:4" x14ac:dyDescent="0.25">
      <c r="A156" t="s">
        <v>2507</v>
      </c>
      <c r="B156" t="s">
        <v>2508</v>
      </c>
      <c r="C156" s="32" t="s">
        <v>2509</v>
      </c>
      <c r="D156" s="32" t="s">
        <v>2510</v>
      </c>
    </row>
    <row r="157" spans="1:4" x14ac:dyDescent="0.25">
      <c r="A157" t="s">
        <v>2511</v>
      </c>
      <c r="B157" t="s">
        <v>2512</v>
      </c>
    </row>
    <row r="158" spans="1:4" x14ac:dyDescent="0.25">
      <c r="A158" t="s">
        <v>1948</v>
      </c>
      <c r="B158" t="s">
        <v>2513</v>
      </c>
      <c r="D158" s="32" t="s">
        <v>2514</v>
      </c>
    </row>
    <row r="159" spans="1:4" x14ac:dyDescent="0.25">
      <c r="A159" t="s">
        <v>2515</v>
      </c>
      <c r="B159" t="s">
        <v>2516</v>
      </c>
      <c r="C159" s="32" t="s">
        <v>2517</v>
      </c>
      <c r="D159" s="32" t="s">
        <v>2518</v>
      </c>
    </row>
    <row r="160" spans="1:4" x14ac:dyDescent="0.25">
      <c r="A160" t="s">
        <v>2519</v>
      </c>
      <c r="B160" t="s">
        <v>2519</v>
      </c>
      <c r="C160" s="32" t="s">
        <v>2520</v>
      </c>
      <c r="D160" s="32" t="s">
        <v>2521</v>
      </c>
    </row>
    <row r="161" spans="1:4" x14ac:dyDescent="0.25">
      <c r="A161" t="s">
        <v>2522</v>
      </c>
      <c r="B161" t="s">
        <v>2523</v>
      </c>
      <c r="C161" s="32" t="s">
        <v>2524</v>
      </c>
      <c r="D161" s="32" t="s">
        <v>2525</v>
      </c>
    </row>
    <row r="162" spans="1:4" x14ac:dyDescent="0.25">
      <c r="A162" t="s">
        <v>2526</v>
      </c>
      <c r="B162" t="s">
        <v>2527</v>
      </c>
      <c r="C162" s="32" t="s">
        <v>2528</v>
      </c>
      <c r="D162" s="32" t="s">
        <v>2529</v>
      </c>
    </row>
    <row r="163" spans="1:4" x14ac:dyDescent="0.25">
      <c r="A163" t="s">
        <v>2530</v>
      </c>
      <c r="B163" t="s">
        <v>1</v>
      </c>
      <c r="C163" s="32" t="s">
        <v>2531</v>
      </c>
      <c r="D163" s="32" t="s">
        <v>2532</v>
      </c>
    </row>
    <row r="164" spans="1:4" x14ac:dyDescent="0.25">
      <c r="A164" t="s">
        <v>2533</v>
      </c>
      <c r="B164" t="s">
        <v>2534</v>
      </c>
      <c r="C164" s="32" t="s">
        <v>2535</v>
      </c>
      <c r="D164" s="32" t="s">
        <v>2536</v>
      </c>
    </row>
    <row r="165" spans="1:4" x14ac:dyDescent="0.25">
      <c r="A165" t="s">
        <v>2533</v>
      </c>
      <c r="B165" t="s">
        <v>2537</v>
      </c>
      <c r="C165" s="32" t="s">
        <v>2538</v>
      </c>
    </row>
    <row r="166" spans="1:4" x14ac:dyDescent="0.25">
      <c r="A166" t="s">
        <v>2539</v>
      </c>
      <c r="B166" t="s">
        <v>2540</v>
      </c>
      <c r="C166" s="32" t="s">
        <v>2541</v>
      </c>
      <c r="D166" s="32" t="s">
        <v>2542</v>
      </c>
    </row>
    <row r="167" spans="1:4" x14ac:dyDescent="0.25">
      <c r="A167" t="s">
        <v>2543</v>
      </c>
      <c r="B167" t="s">
        <v>2544</v>
      </c>
      <c r="C167" s="32" t="s">
        <v>2545</v>
      </c>
      <c r="D167" s="32" t="s">
        <v>2546</v>
      </c>
    </row>
    <row r="168" spans="1:4" x14ac:dyDescent="0.25">
      <c r="A168" t="s">
        <v>2547</v>
      </c>
      <c r="B168" t="s">
        <v>2548</v>
      </c>
      <c r="C168" s="32" t="s">
        <v>2549</v>
      </c>
      <c r="D168" s="32" t="s">
        <v>2550</v>
      </c>
    </row>
    <row r="169" spans="1:4" x14ac:dyDescent="0.25">
      <c r="A169" t="s">
        <v>2551</v>
      </c>
      <c r="B169" t="s">
        <v>2552</v>
      </c>
      <c r="C169" s="32" t="s">
        <v>2553</v>
      </c>
      <c r="D169" s="32" t="s">
        <v>2554</v>
      </c>
    </row>
    <row r="170" spans="1:4" x14ac:dyDescent="0.25">
      <c r="A170" t="s">
        <v>2555</v>
      </c>
      <c r="B170" t="s">
        <v>2556</v>
      </c>
      <c r="C170" s="32" t="s">
        <v>2557</v>
      </c>
      <c r="D170" s="32" t="s">
        <v>2558</v>
      </c>
    </row>
    <row r="171" spans="1:4" x14ac:dyDescent="0.25">
      <c r="A171" t="s">
        <v>2559</v>
      </c>
      <c r="B171" t="s">
        <v>2560</v>
      </c>
      <c r="D171" s="32" t="s">
        <v>2561</v>
      </c>
    </row>
    <row r="172" spans="1:4" x14ac:dyDescent="0.25">
      <c r="A172" t="s">
        <v>2562</v>
      </c>
      <c r="B172" t="s">
        <v>2563</v>
      </c>
      <c r="D172" s="32" t="s">
        <v>2564</v>
      </c>
    </row>
    <row r="173" spans="1:4" x14ac:dyDescent="0.25">
      <c r="A173" t="s">
        <v>2565</v>
      </c>
      <c r="B173" t="s">
        <v>2566</v>
      </c>
      <c r="C173" s="32" t="s">
        <v>2567</v>
      </c>
      <c r="D173" s="32" t="s">
        <v>2568</v>
      </c>
    </row>
    <row r="174" spans="1:4" x14ac:dyDescent="0.25">
      <c r="A174" t="s">
        <v>2569</v>
      </c>
      <c r="B174" t="s">
        <v>2570</v>
      </c>
      <c r="C174" s="32" t="s">
        <v>2571</v>
      </c>
      <c r="D174" s="32" t="s">
        <v>2572</v>
      </c>
    </row>
    <row r="175" spans="1:4" x14ac:dyDescent="0.25">
      <c r="A175" t="s">
        <v>2573</v>
      </c>
      <c r="B175" t="s">
        <v>2574</v>
      </c>
      <c r="C175" s="32" t="s">
        <v>2575</v>
      </c>
    </row>
    <row r="176" spans="1:4" x14ac:dyDescent="0.25">
      <c r="A176" t="s">
        <v>1431</v>
      </c>
      <c r="B176" t="s">
        <v>2576</v>
      </c>
      <c r="C176" s="32" t="s">
        <v>2577</v>
      </c>
      <c r="D176" s="32" t="s">
        <v>2578</v>
      </c>
    </row>
    <row r="177" spans="1:4" x14ac:dyDescent="0.25">
      <c r="A177" t="s">
        <v>2579</v>
      </c>
      <c r="B177" t="s">
        <v>545</v>
      </c>
      <c r="C177" s="32" t="s">
        <v>2580</v>
      </c>
      <c r="D177" s="32" t="s">
        <v>2581</v>
      </c>
    </row>
    <row r="178" spans="1:4" x14ac:dyDescent="0.25">
      <c r="A178" t="s">
        <v>2582</v>
      </c>
      <c r="B178" t="s">
        <v>2583</v>
      </c>
      <c r="C178" s="32" t="s">
        <v>2584</v>
      </c>
      <c r="D178" s="32" t="s">
        <v>2585</v>
      </c>
    </row>
    <row r="179" spans="1:4" x14ac:dyDescent="0.25">
      <c r="A179" t="s">
        <v>2586</v>
      </c>
      <c r="B179" t="s">
        <v>2587</v>
      </c>
      <c r="C179" s="32" t="s">
        <v>2588</v>
      </c>
      <c r="D179" s="32" t="s">
        <v>2589</v>
      </c>
    </row>
    <row r="180" spans="1:4" x14ac:dyDescent="0.25">
      <c r="A180" t="s">
        <v>2590</v>
      </c>
      <c r="B180" t="s">
        <v>2591</v>
      </c>
      <c r="D180" s="32" t="s">
        <v>2592</v>
      </c>
    </row>
    <row r="181" spans="1:4" x14ac:dyDescent="0.25">
      <c r="A181" t="s">
        <v>2593</v>
      </c>
      <c r="B181" t="s">
        <v>2594</v>
      </c>
      <c r="C181" s="32" t="s">
        <v>2595</v>
      </c>
    </row>
    <row r="182" spans="1:4" x14ac:dyDescent="0.25">
      <c r="A182" t="s">
        <v>2596</v>
      </c>
      <c r="B182" t="s">
        <v>2597</v>
      </c>
    </row>
    <row r="183" spans="1:4" x14ac:dyDescent="0.25">
      <c r="A183" t="s">
        <v>2598</v>
      </c>
      <c r="B183" t="s">
        <v>2599</v>
      </c>
      <c r="C183" s="32" t="s">
        <v>2600</v>
      </c>
      <c r="D183" s="32" t="s">
        <v>2601</v>
      </c>
    </row>
    <row r="184" spans="1:4" x14ac:dyDescent="0.25">
      <c r="A184" t="s">
        <v>2602</v>
      </c>
      <c r="B184" t="s">
        <v>2603</v>
      </c>
      <c r="C184" s="32" t="s">
        <v>2604</v>
      </c>
      <c r="D184" s="32" t="s">
        <v>2605</v>
      </c>
    </row>
    <row r="185" spans="1:4" x14ac:dyDescent="0.25">
      <c r="A185" t="s">
        <v>2606</v>
      </c>
      <c r="B185" t="s">
        <v>2607</v>
      </c>
      <c r="C185" s="32" t="s">
        <v>2608</v>
      </c>
      <c r="D185" s="32" t="s">
        <v>2609</v>
      </c>
    </row>
    <row r="186" spans="1:4" x14ac:dyDescent="0.25">
      <c r="A186" t="s">
        <v>2610</v>
      </c>
      <c r="B186" t="s">
        <v>2611</v>
      </c>
      <c r="C186" s="32" t="s">
        <v>2612</v>
      </c>
    </row>
    <row r="187" spans="1:4" x14ac:dyDescent="0.25">
      <c r="A187" t="s">
        <v>2613</v>
      </c>
      <c r="B187" t="s">
        <v>2614</v>
      </c>
      <c r="C187" s="32" t="s">
        <v>2615</v>
      </c>
      <c r="D187" s="32" t="s">
        <v>2616</v>
      </c>
    </row>
    <row r="188" spans="1:4" x14ac:dyDescent="0.25">
      <c r="A188" t="s">
        <v>2617</v>
      </c>
      <c r="B188" t="s">
        <v>2618</v>
      </c>
    </row>
    <row r="189" spans="1:4" x14ac:dyDescent="0.25">
      <c r="A189" t="s">
        <v>2619</v>
      </c>
      <c r="B189" t="s">
        <v>2620</v>
      </c>
      <c r="C189" s="32" t="s">
        <v>2206</v>
      </c>
      <c r="D189" s="32" t="s">
        <v>2621</v>
      </c>
    </row>
    <row r="190" spans="1:4" x14ac:dyDescent="0.25">
      <c r="A190" t="s">
        <v>2622</v>
      </c>
      <c r="B190" t="s">
        <v>2623</v>
      </c>
      <c r="C190" s="32" t="s">
        <v>2624</v>
      </c>
      <c r="D190" s="32" t="s">
        <v>2625</v>
      </c>
    </row>
    <row r="191" spans="1:4" x14ac:dyDescent="0.25">
      <c r="A191" t="s">
        <v>2626</v>
      </c>
      <c r="B191" t="s">
        <v>2626</v>
      </c>
      <c r="C191" s="32" t="s">
        <v>2627</v>
      </c>
      <c r="D191" s="32" t="s">
        <v>2628</v>
      </c>
    </row>
    <row r="192" spans="1:4" x14ac:dyDescent="0.25">
      <c r="A192" t="s">
        <v>2629</v>
      </c>
      <c r="B192" t="s">
        <v>2630</v>
      </c>
      <c r="D192" s="32" t="s">
        <v>2631</v>
      </c>
    </row>
    <row r="193" spans="1:4" x14ac:dyDescent="0.25">
      <c r="A193" t="s">
        <v>2632</v>
      </c>
      <c r="B193" t="s">
        <v>2632</v>
      </c>
      <c r="C193" s="32" t="s">
        <v>2633</v>
      </c>
      <c r="D193" s="32" t="s">
        <v>2634</v>
      </c>
    </row>
    <row r="194" spans="1:4" x14ac:dyDescent="0.25">
      <c r="A194" t="s">
        <v>2635</v>
      </c>
      <c r="B194" t="s">
        <v>2636</v>
      </c>
      <c r="C194" s="32" t="s">
        <v>2637</v>
      </c>
      <c r="D194" s="32" t="s">
        <v>2638</v>
      </c>
    </row>
    <row r="195" spans="1:4" x14ac:dyDescent="0.25">
      <c r="A195" t="s">
        <v>2639</v>
      </c>
      <c r="B195" t="s">
        <v>2640</v>
      </c>
      <c r="C195" s="32" t="s">
        <v>2641</v>
      </c>
      <c r="D195" s="32" t="s">
        <v>2642</v>
      </c>
    </row>
    <row r="196" spans="1:4" x14ac:dyDescent="0.25">
      <c r="A196" t="s">
        <v>2643</v>
      </c>
      <c r="B196" t="s">
        <v>183</v>
      </c>
      <c r="C196" s="32" t="s">
        <v>2081</v>
      </c>
      <c r="D196" s="32" t="s">
        <v>2644</v>
      </c>
    </row>
    <row r="197" spans="1:4" x14ac:dyDescent="0.25">
      <c r="A197" t="s">
        <v>2645</v>
      </c>
      <c r="B197" t="s">
        <v>2645</v>
      </c>
    </row>
    <row r="198" spans="1:4" x14ac:dyDescent="0.25">
      <c r="A198" t="s">
        <v>2646</v>
      </c>
      <c r="B198" t="s">
        <v>2647</v>
      </c>
      <c r="C198" s="32" t="s">
        <v>2648</v>
      </c>
      <c r="D198" s="32" t="s">
        <v>2649</v>
      </c>
    </row>
    <row r="199" spans="1:4" x14ac:dyDescent="0.25">
      <c r="A199" t="s">
        <v>2650</v>
      </c>
      <c r="B199" t="s">
        <v>2651</v>
      </c>
      <c r="C199" s="32" t="s">
        <v>2652</v>
      </c>
      <c r="D199" s="32" t="s">
        <v>2653</v>
      </c>
    </row>
    <row r="200" spans="1:4" x14ac:dyDescent="0.25">
      <c r="A200" t="s">
        <v>2654</v>
      </c>
      <c r="B200" t="s">
        <v>2655</v>
      </c>
      <c r="D200" s="32" t="s">
        <v>2656</v>
      </c>
    </row>
    <row r="201" spans="1:4" x14ac:dyDescent="0.25">
      <c r="A201" t="s">
        <v>2657</v>
      </c>
      <c r="B201" t="s">
        <v>2657</v>
      </c>
      <c r="C201" s="32" t="s">
        <v>2658</v>
      </c>
      <c r="D201" s="32" t="s">
        <v>2659</v>
      </c>
    </row>
    <row r="202" spans="1:4" x14ac:dyDescent="0.25">
      <c r="A202" t="s">
        <v>2660</v>
      </c>
      <c r="B202" t="s">
        <v>2661</v>
      </c>
      <c r="C202" s="32" t="s">
        <v>2662</v>
      </c>
      <c r="D202" s="32" t="s">
        <v>2663</v>
      </c>
    </row>
    <row r="203" spans="1:4" x14ac:dyDescent="0.25">
      <c r="A203" t="s">
        <v>2664</v>
      </c>
      <c r="B203" t="s">
        <v>2665</v>
      </c>
      <c r="C203" s="32" t="s">
        <v>2666</v>
      </c>
    </row>
    <row r="204" spans="1:4" x14ac:dyDescent="0.25">
      <c r="A204" t="s">
        <v>2667</v>
      </c>
      <c r="B204" t="s">
        <v>2668</v>
      </c>
      <c r="C204" s="32" t="s">
        <v>2669</v>
      </c>
      <c r="D204" s="32" t="s">
        <v>2670</v>
      </c>
    </row>
    <row r="205" spans="1:4" x14ac:dyDescent="0.25">
      <c r="A205" t="s">
        <v>2671</v>
      </c>
      <c r="B205" t="s">
        <v>2671</v>
      </c>
    </row>
    <row r="206" spans="1:4" x14ac:dyDescent="0.25">
      <c r="A206" t="s">
        <v>2672</v>
      </c>
      <c r="B206" t="s">
        <v>2673</v>
      </c>
      <c r="C206" s="32" t="s">
        <v>2674</v>
      </c>
      <c r="D206" s="32" t="s">
        <v>2675</v>
      </c>
    </row>
  </sheetData>
  <autoFilter ref="A1:D1" xr:uid="{00000000-0009-0000-0000-000004000000}"/>
  <hyperlinks>
    <hyperlink ref="C4" r:id="rId1" xr:uid="{F1F335B5-BE5C-40C2-AD2B-D4D6C7857394}"/>
    <hyperlink ref="C7" r:id="rId2" xr:uid="{0B8777F7-8E59-4F58-BD4C-8D9185EDC0DE}"/>
    <hyperlink ref="C8" r:id="rId3" xr:uid="{F909A077-596D-4580-AA5B-7028E65F6783}"/>
    <hyperlink ref="C9" r:id="rId4" xr:uid="{23E22A17-241B-4F01-90ED-7F4CFE77CFB1}"/>
    <hyperlink ref="C10" r:id="rId5" xr:uid="{FE650F6A-BDA3-4E66-BFFE-15B54DF197EB}"/>
    <hyperlink ref="C11" r:id="rId6" xr:uid="{055BC931-6B47-41ED-B025-D0B11FE7EACE}"/>
    <hyperlink ref="C12" r:id="rId7" xr:uid="{5BF3EB89-C8C0-49FF-8016-54FBC4A4A486}"/>
    <hyperlink ref="C13" r:id="rId8" xr:uid="{9C6B5E7D-6404-4C7A-A712-37B82B528011}"/>
    <hyperlink ref="C14" r:id="rId9" xr:uid="{F25FDB3D-54F5-4D16-BBB8-6223C8D0DCD1}"/>
    <hyperlink ref="C15" r:id="rId10" xr:uid="{6C85F68D-FAAA-4D50-B671-BB16E5B26964}"/>
    <hyperlink ref="C16" r:id="rId11" xr:uid="{219F6580-860B-4CC3-A8E4-EE1E1FC005D2}"/>
    <hyperlink ref="C17" r:id="rId12" xr:uid="{1C028788-2DB8-4B5B-9349-25D043B08C7E}"/>
    <hyperlink ref="C18" r:id="rId13" xr:uid="{19DB86B3-71A8-4661-A79B-5CFD7029AEC8}"/>
    <hyperlink ref="C19" r:id="rId14" xr:uid="{FF519779-7DB7-43B3-A481-F9F24244E0BC}"/>
    <hyperlink ref="C20" r:id="rId15" xr:uid="{5EA3BD8C-C878-4317-8D4C-A1E36244FF87}"/>
    <hyperlink ref="C21" r:id="rId16" xr:uid="{085D7939-D965-4EF0-B2A4-8A36B2B7FAA6}"/>
    <hyperlink ref="C22" r:id="rId17" xr:uid="{81891DFA-34CC-4978-9334-05A46189B02C}"/>
    <hyperlink ref="C24" r:id="rId18" xr:uid="{F293DBF1-7C91-4D03-A8C3-A3782A0C4B3D}"/>
    <hyperlink ref="C26" r:id="rId19" xr:uid="{2BDAD3F2-B489-460B-998E-B0A892395134}"/>
    <hyperlink ref="C27" r:id="rId20" xr:uid="{3ED2F8F2-607A-425A-AEFE-38DC7C0109E8}"/>
    <hyperlink ref="C31" r:id="rId21" xr:uid="{B29F2495-F402-4DA1-8CCD-BA0B50FE7C7B}"/>
    <hyperlink ref="C32" r:id="rId22" xr:uid="{BF812570-AA46-4B22-8128-5331CA1CF68E}"/>
    <hyperlink ref="C33" r:id="rId23" xr:uid="{5F2141A3-0598-48C2-9FEC-CBA5FAD8B9A9}"/>
    <hyperlink ref="C34" r:id="rId24" xr:uid="{704474AF-3B65-47FC-B373-C987076370A8}"/>
    <hyperlink ref="C36" r:id="rId25" xr:uid="{2C32BE2F-434D-4A27-8FDA-6C046636243C}"/>
    <hyperlink ref="C37" r:id="rId26" xr:uid="{177093D3-9964-44AC-BCE1-59F4D40DD272}"/>
    <hyperlink ref="C38" r:id="rId27" xr:uid="{0D7FE98E-5EA3-48D8-9BA1-10867865859D}"/>
    <hyperlink ref="C39" r:id="rId28" xr:uid="{CADB5C70-0C41-4529-B8F9-850517D68DC4}"/>
    <hyperlink ref="C40" r:id="rId29" xr:uid="{56158FC2-38D9-4A81-9465-A8877AC1B3CA}"/>
    <hyperlink ref="C41" r:id="rId30" xr:uid="{00BBA886-8364-45C5-984C-4E55A3A09DA8}"/>
    <hyperlink ref="C42" r:id="rId31" xr:uid="{B6050EA3-E8EC-4A97-840C-952D348639EB}"/>
    <hyperlink ref="C43" r:id="rId32" xr:uid="{049C35FA-280D-4D69-8976-F98C2B24F9AD}"/>
    <hyperlink ref="C44" r:id="rId33" xr:uid="{63FBCF19-80AC-41F0-9AF4-3B7361B45DBF}"/>
    <hyperlink ref="C45" r:id="rId34" xr:uid="{A9603627-494F-42F1-A767-AAD671BEA9B1}"/>
    <hyperlink ref="C46" r:id="rId35" xr:uid="{0B7477D5-84BF-4FFE-8614-F065581F2689}"/>
    <hyperlink ref="C47" r:id="rId36" xr:uid="{D32B07BC-34D6-41BC-BBD1-BA2483FDEB6A}"/>
    <hyperlink ref="C48" r:id="rId37" xr:uid="{64DE22B9-ABFE-468A-BE28-70FFCDAAE967}"/>
    <hyperlink ref="C50" r:id="rId38" xr:uid="{256E0F2B-0307-4022-AE41-D9F2E2F01377}"/>
    <hyperlink ref="C51" r:id="rId39" xr:uid="{21E575F5-1DC4-4AA8-92C9-97A69E0FD20D}"/>
    <hyperlink ref="C52" r:id="rId40" xr:uid="{04CF1DAE-EE18-43EF-8E89-2B4C03B00042}"/>
    <hyperlink ref="C53" r:id="rId41" xr:uid="{AA03A95C-23EB-4134-B3E7-D51A1BE73113}"/>
    <hyperlink ref="C54" r:id="rId42" xr:uid="{6FD6AC3F-1B23-4BF9-B2B6-8C8BF6367033}"/>
    <hyperlink ref="C56" r:id="rId43" xr:uid="{511BD78F-76E3-4320-9186-F3B9A862DC89}"/>
    <hyperlink ref="C57" r:id="rId44" xr:uid="{5C813153-B170-4AF9-82F6-7CD66E941C1E}"/>
    <hyperlink ref="C58" r:id="rId45" xr:uid="{11CEAC1C-AEE3-4630-A432-6EC44BCD5F0B}"/>
    <hyperlink ref="C59" r:id="rId46" xr:uid="{FCBFCA92-708E-4E83-9094-33E1A9A0AEAE}"/>
    <hyperlink ref="C60" r:id="rId47" xr:uid="{BE4EFEFF-23DA-4F44-8D6C-820BDE128049}"/>
    <hyperlink ref="C61" r:id="rId48" xr:uid="{361C526A-4405-4BBD-9FF9-87EEAAB91465}"/>
    <hyperlink ref="C62" r:id="rId49" xr:uid="{65DD04BB-5CFD-4CFA-9599-9995C41C0BE2}"/>
    <hyperlink ref="C63" r:id="rId50" xr:uid="{2975EB16-05B1-41F8-881B-AD1E13BEA6C2}"/>
    <hyperlink ref="C65" r:id="rId51" xr:uid="{6F79CCF4-E178-4A59-8EBA-016F5E6EDF85}"/>
    <hyperlink ref="C66" r:id="rId52" xr:uid="{0E90B1E0-BA54-4DA4-A5F5-92E8A2645CA8}"/>
    <hyperlink ref="C67" r:id="rId53" xr:uid="{78803116-A72E-4F70-B94A-CB029B195424}"/>
    <hyperlink ref="C68" r:id="rId54" xr:uid="{63C53E05-CC15-4AEE-AC5A-08AE21979259}"/>
    <hyperlink ref="C69" r:id="rId55" xr:uid="{0187AA54-C786-43F2-92B3-85811E2BC2AB}"/>
    <hyperlink ref="C71" r:id="rId56" xr:uid="{459C1E69-4F42-496F-AAB5-EA1140FE951B}"/>
    <hyperlink ref="C72" r:id="rId57" xr:uid="{DECE968C-D53A-42A6-A440-0EE79FAD37C5}"/>
    <hyperlink ref="C74" r:id="rId58" xr:uid="{BAE22207-67ED-4AB4-A0FD-191E5C1EEF48}"/>
    <hyperlink ref="C75" r:id="rId59" xr:uid="{50557A80-DA8A-4BD4-BF2C-6F5A92F07D19}"/>
    <hyperlink ref="C76" r:id="rId60" xr:uid="{0CEC2945-660F-4AC8-8F69-450A242A95DD}"/>
    <hyperlink ref="C77" r:id="rId61" xr:uid="{98C5BC8A-4E56-4FF5-99DB-3FA9805705CB}"/>
    <hyperlink ref="C78" r:id="rId62" xr:uid="{DF6E3E90-8359-4FBE-8C54-2457B77E4B54}"/>
    <hyperlink ref="C79" r:id="rId63" xr:uid="{6C4DD9FF-BCBD-4673-82E6-B2ABFE758C3C}"/>
    <hyperlink ref="C80" r:id="rId64" xr:uid="{CCB5D350-A330-4B20-B3BC-AC0E015779C0}"/>
    <hyperlink ref="C81" r:id="rId65" xr:uid="{66AF2301-29C1-4872-AC67-0E2740AA7C8A}"/>
    <hyperlink ref="C83" r:id="rId66" xr:uid="{060ED3A8-AD6F-45F7-86CD-D112C3F27FD1}"/>
    <hyperlink ref="C84" r:id="rId67" xr:uid="{C61B5469-AA73-4C1E-A764-72A39EFC0A59}"/>
    <hyperlink ref="C85" r:id="rId68" xr:uid="{BB53D829-D2C2-4772-8EEF-A141710E4B94}"/>
    <hyperlink ref="C86" r:id="rId69" xr:uid="{497A52A8-571B-4B5B-8F2D-2459931B85DC}"/>
    <hyperlink ref="C88" r:id="rId70" xr:uid="{EF8AD167-AE5B-4E0E-AE45-D6C1D85A4D62}"/>
    <hyperlink ref="C89" r:id="rId71" xr:uid="{0A797A12-F496-4461-A309-54A8CEBEC3CA}"/>
    <hyperlink ref="C91" r:id="rId72" xr:uid="{05380B1F-FFB0-4BB9-8551-793F7286C680}"/>
    <hyperlink ref="C92" r:id="rId73" xr:uid="{E7145593-3A99-4CD0-BBE1-065DCBA9ECEC}"/>
    <hyperlink ref="C93" r:id="rId74" xr:uid="{443A5788-9ECD-44F2-A96D-CAA75387169A}"/>
    <hyperlink ref="C94" r:id="rId75" xr:uid="{E3CBEC2E-35F0-45C2-8A6C-35B1E12DE4E0}"/>
    <hyperlink ref="C95" r:id="rId76" xr:uid="{34C3B6BE-5DA3-4054-9D1B-89487B726CF6}"/>
    <hyperlink ref="C96" r:id="rId77" xr:uid="{8DBF98AF-76A1-4CA0-BFA9-11DF1A094F0F}"/>
    <hyperlink ref="C97" r:id="rId78" xr:uid="{7C41C9B3-9C1E-4A69-AB98-A5CD856D0FB8}"/>
    <hyperlink ref="C99" r:id="rId79" xr:uid="{23AA9F89-D9C6-4403-B525-9B347D0CE8DD}"/>
    <hyperlink ref="C100" r:id="rId80" xr:uid="{7A02AD44-FB7C-47A2-BB47-5673844B6103}"/>
    <hyperlink ref="C101" r:id="rId81" xr:uid="{DCE7715E-26BF-47ED-AA1D-D67FD991E5A6}"/>
    <hyperlink ref="C103" r:id="rId82" xr:uid="{142F830D-6AF3-4C72-80A1-5CCF57EDC9DF}"/>
    <hyperlink ref="C104" r:id="rId83" xr:uid="{937C6F53-5741-45BF-B21F-4226A2BE3007}"/>
    <hyperlink ref="C106" r:id="rId84" xr:uid="{4FE42EEA-35B0-4E7C-B895-32D0C3020680}"/>
    <hyperlink ref="C107" r:id="rId85" xr:uid="{5CBAAC3B-275B-45DE-87F7-49F7ABD03995}"/>
    <hyperlink ref="C108" r:id="rId86" xr:uid="{BFDAA690-57FD-4D34-A6D4-AF8E6B4E290A}"/>
    <hyperlink ref="C109" r:id="rId87" xr:uid="{B7EC3684-F466-4643-B867-88FE2D0CBAF4}"/>
    <hyperlink ref="C110" r:id="rId88" xr:uid="{D014E646-FA7E-45BE-972D-B60C9CA3D25D}"/>
    <hyperlink ref="C111" r:id="rId89" xr:uid="{8DD3A3D1-85E0-42F4-9AC0-269841116545}"/>
    <hyperlink ref="C112" r:id="rId90" xr:uid="{F4699660-FFA5-4D6A-BE5C-7C834D6B9768}"/>
    <hyperlink ref="C113" r:id="rId91" xr:uid="{359DE469-700B-400F-B213-078B3B592B9E}"/>
    <hyperlink ref="C114" r:id="rId92" xr:uid="{1A84C1B0-0DB7-4B66-9D38-F14755AEAE3D}"/>
    <hyperlink ref="C115" r:id="rId93" xr:uid="{3CD0A6DC-BF67-4FDB-B83D-B08DB0280B13}"/>
    <hyperlink ref="C116" r:id="rId94" xr:uid="{B4A76382-D570-4F53-B961-CC2031AED3D0}"/>
    <hyperlink ref="C118" r:id="rId95" xr:uid="{829C98B8-DE24-4E0B-8F16-15F43C7EEC39}"/>
    <hyperlink ref="C120" r:id="rId96" xr:uid="{83BD9D93-B2C4-4230-AD84-4FBF2C079E59}"/>
    <hyperlink ref="C121" r:id="rId97" xr:uid="{7E9BC016-7B2B-4F55-B6C1-9F89218EB339}"/>
    <hyperlink ref="C122" r:id="rId98" xr:uid="{BED96025-495E-4E52-84FE-457491FE503A}"/>
    <hyperlink ref="C123" r:id="rId99" xr:uid="{CB4CCD1B-C352-48A0-BC9D-3C7CEF056932}"/>
    <hyperlink ref="C124" r:id="rId100" xr:uid="{D983717A-80D1-43ED-9B59-B7F7FCAC93DE}"/>
    <hyperlink ref="C125" r:id="rId101" xr:uid="{119FED42-3BBE-42CA-B6B8-8D7102BF75FC}"/>
    <hyperlink ref="C126" r:id="rId102" xr:uid="{DF9D5B37-E157-44EA-839C-2321CE6BF49C}"/>
    <hyperlink ref="C127" r:id="rId103" xr:uid="{45D6C973-340A-4AE2-91E3-D02686B76B7D}"/>
    <hyperlink ref="C128" r:id="rId104" xr:uid="{D71C56BD-A8AE-4A9D-B95A-DB10E2A247B4}"/>
    <hyperlink ref="C129" r:id="rId105" xr:uid="{80FC9221-6963-4E44-932B-CBE7FDA5CFDC}"/>
    <hyperlink ref="C132" r:id="rId106" xr:uid="{D744EF66-1F9F-45F1-B704-6E3B37B5C41D}"/>
    <hyperlink ref="C133" r:id="rId107" xr:uid="{4551EB17-7757-4BF6-9680-68FFC414A3F1}"/>
    <hyperlink ref="C134" r:id="rId108" xr:uid="{5E8FC95E-37AB-4C9C-8840-AF9E069B9D16}"/>
    <hyperlink ref="C135" r:id="rId109" xr:uid="{84BCFA63-6973-416D-B6D8-9C5E0CA9E262}"/>
    <hyperlink ref="C136" r:id="rId110" xr:uid="{147BFEC2-0D92-4A66-8B73-8EE2B4050281}"/>
    <hyperlink ref="C137" r:id="rId111" xr:uid="{AAA9A1EB-7A06-41F3-B189-6580BE32B871}"/>
    <hyperlink ref="C138" r:id="rId112" xr:uid="{F76B4225-A730-4BD5-8169-416B67395B05}"/>
    <hyperlink ref="C139" r:id="rId113" xr:uid="{62B7C969-6B0E-475B-916D-6A97776C5EFC}"/>
    <hyperlink ref="C141" r:id="rId114" xr:uid="{3EBC6F2D-0A22-48BE-9F69-7861C2D0799A}"/>
    <hyperlink ref="C143" r:id="rId115" xr:uid="{074DB6B8-8BE8-4B2D-A94B-850B0029BF2D}"/>
    <hyperlink ref="C144" r:id="rId116" xr:uid="{3898EFAC-180E-4C76-BADD-60E8D6915F7E}"/>
    <hyperlink ref="C146" r:id="rId117" xr:uid="{38BF9E9E-14C9-4EB3-9821-511323EB1BA1}"/>
    <hyperlink ref="C148" r:id="rId118" xr:uid="{5ED7E786-CEEA-4CBF-B5D5-05448D6D36B4}"/>
    <hyperlink ref="C153" r:id="rId119" xr:uid="{20915975-9EC1-4973-919C-932AED3DC988}"/>
    <hyperlink ref="C156" r:id="rId120" xr:uid="{002AE30A-BDA6-4AA5-974C-6F6301AB8157}"/>
    <hyperlink ref="C159" r:id="rId121" xr:uid="{4B9F0BBC-18FB-4F4A-8A27-C4ABD4A2335B}"/>
    <hyperlink ref="C160" r:id="rId122" xr:uid="{B6CC9EC3-5750-478A-B780-636CB4326C11}"/>
    <hyperlink ref="C161" r:id="rId123" xr:uid="{AA257EE1-4271-4F28-9A4C-BE31467976CC}"/>
    <hyperlink ref="C162" r:id="rId124" xr:uid="{CC59CC69-75DA-4DB0-ABE5-D1321887D314}"/>
    <hyperlink ref="C163" r:id="rId125" xr:uid="{3C344569-1644-4132-9B14-2816C5C76EC5}"/>
    <hyperlink ref="C164" r:id="rId126" xr:uid="{C545EDFB-FBAF-4FE2-9294-6BA4F74840F7}"/>
    <hyperlink ref="C165" r:id="rId127" xr:uid="{B1058D28-FBB7-452F-95D5-FEC8224E5C46}"/>
    <hyperlink ref="C166" r:id="rId128" xr:uid="{E8EAFE50-5F2B-4D81-BCAF-98FDA0B6944E}"/>
    <hyperlink ref="C167" r:id="rId129" xr:uid="{B23D95E7-3B42-4176-9737-19B980CDAF9B}"/>
    <hyperlink ref="C168" r:id="rId130" xr:uid="{7B26F4C6-DF5A-45A1-B630-5E4BEEA01916}"/>
    <hyperlink ref="C169" r:id="rId131" xr:uid="{2B3D828E-EEA1-4309-AADF-EAAE5B3F95FC}"/>
    <hyperlink ref="C170" r:id="rId132" xr:uid="{A6319D1A-EC26-4987-A91B-480137F2B74D}"/>
    <hyperlink ref="C173" r:id="rId133" xr:uid="{47CCBEC4-0394-4E79-ABA1-80F4603689E5}"/>
    <hyperlink ref="C174" r:id="rId134" xr:uid="{5F477FFC-09D7-49EB-BADF-8D95C922FFC3}"/>
    <hyperlink ref="C175" r:id="rId135" xr:uid="{6A53964E-22E0-4E6C-8344-E703D6BDBEF9}"/>
    <hyperlink ref="C176" r:id="rId136" xr:uid="{1B2881BF-8163-4D14-A6FE-3702FF8A37EC}"/>
    <hyperlink ref="C177" r:id="rId137" xr:uid="{44A1FB3E-23C8-43D7-A1E7-2CD867E9E3B9}"/>
    <hyperlink ref="C178" r:id="rId138" xr:uid="{EE5FC05A-126D-4D37-AB5C-74CB9AB29CD0}"/>
    <hyperlink ref="C179" r:id="rId139" xr:uid="{3A447C45-9B02-4290-B74F-CCD2B312B727}"/>
    <hyperlink ref="C181" r:id="rId140" xr:uid="{11E011D5-4223-41FD-B714-DCB1270BD437}"/>
    <hyperlink ref="C183" r:id="rId141" xr:uid="{436A243A-712E-42E7-BD0E-612D9B5151BB}"/>
    <hyperlink ref="C184" r:id="rId142" xr:uid="{5DC0E36A-7428-45F9-A6DE-D9E062C9FF8F}"/>
    <hyperlink ref="C185" r:id="rId143" xr:uid="{2F33458F-4083-4EC1-A756-FEFCD4FB8182}"/>
    <hyperlink ref="C186" r:id="rId144" xr:uid="{19270F27-9E32-4B05-B332-5A1767EA6993}"/>
    <hyperlink ref="C187" r:id="rId145" xr:uid="{44AA765E-32A2-4080-8C74-2B9EE693554A}"/>
    <hyperlink ref="C189" r:id="rId146" xr:uid="{D58EA305-892F-46CB-A2F5-5AE31C2A9C07}"/>
    <hyperlink ref="C190" r:id="rId147" xr:uid="{9ACDDCFD-1FBA-4E73-99A6-FF1BE437367A}"/>
    <hyperlink ref="C191" r:id="rId148" xr:uid="{16CA30A0-DD84-4340-B027-A9C6D3C8B53D}"/>
    <hyperlink ref="C193" r:id="rId149" xr:uid="{25760D39-341D-4DAE-9001-A2FA99D1B747}"/>
    <hyperlink ref="C194" r:id="rId150" xr:uid="{8006F1A2-3307-4FF9-B0C5-BE53854F545C}"/>
    <hyperlink ref="C195" r:id="rId151" xr:uid="{2D34476A-9265-40EF-90C7-7F9F241ED839}"/>
    <hyperlink ref="C196" r:id="rId152" xr:uid="{CD51FB91-0B26-4D5A-9995-1348C56AD809}"/>
    <hyperlink ref="C198" r:id="rId153" xr:uid="{F2206B62-D2C8-4643-9D76-4E014C137B82}"/>
    <hyperlink ref="C199" r:id="rId154" xr:uid="{1BAF57E7-005A-40CA-981D-7CCE6067FEA8}"/>
    <hyperlink ref="C201" r:id="rId155" xr:uid="{3C52EC19-7409-472D-B5C9-2FFE1EC0F8E4}"/>
    <hyperlink ref="C202" r:id="rId156" xr:uid="{26AF9BF1-3FA7-4402-B6D8-0F7F5A63D1B2}"/>
    <hyperlink ref="C203" r:id="rId157" xr:uid="{0EC2055B-85D8-49DD-9A54-D58FC38B4213}"/>
    <hyperlink ref="C204" r:id="rId158" xr:uid="{888767CB-1087-48B9-9DBA-F56C7959A32F}"/>
    <hyperlink ref="C206" r:id="rId159" xr:uid="{8D1CCABC-4A8C-4785-A190-80DE26945FAD}"/>
    <hyperlink ref="D2" r:id="rId160" xr:uid="{B433DA5D-068F-4318-8334-8136A8FD3BF4}"/>
    <hyperlink ref="D3" r:id="rId161" xr:uid="{931DD335-4D3B-4AC3-8A61-9773A9D447CB}"/>
    <hyperlink ref="D4" r:id="rId162" xr:uid="{4FDA1252-F238-42E3-AAAD-797F4A779E49}"/>
    <hyperlink ref="D6" r:id="rId163" xr:uid="{8930056B-79E1-41B1-B8C8-4EA3B0766F06}"/>
    <hyperlink ref="D7" r:id="rId164" display="http://biblesociety.org.bd/" xr:uid="{3B45E4BA-87EE-4FFF-9F41-0C2EB05F0C23}"/>
    <hyperlink ref="D8" r:id="rId165" xr:uid="{4BC57077-EB99-47D8-BC3C-E0E5AE3B6F2F}"/>
    <hyperlink ref="D9" r:id="rId166" xr:uid="{F90818DA-042E-4598-B2D8-8210622F8263}"/>
    <hyperlink ref="D10" r:id="rId167" xr:uid="{A5C81239-1676-455D-ADFC-706381B1A7DE}"/>
    <hyperlink ref="D11" r:id="rId168" xr:uid="{2613C6FE-8EE4-4C18-BADD-85257302ED3D}"/>
    <hyperlink ref="D12" r:id="rId169" display="http://www.biblica.com/" xr:uid="{B6ADF1B7-F423-4398-9DDD-AB3C63099872}"/>
    <hyperlink ref="D13" r:id="rId170" xr:uid="{D09B33A1-C7A9-4263-A87E-0A148335868F}"/>
    <hyperlink ref="D14" r:id="rId171" xr:uid="{187360B5-4D4E-4FF9-8472-102BCB1FC93F}"/>
    <hyperlink ref="D15" r:id="rId172" xr:uid="{D0375D47-2B1F-4295-A316-0997D5A025CB}"/>
    <hyperlink ref="D16" r:id="rId173" display="http://sociedadbiblicaboliviana.org/" xr:uid="{EA977AE4-6136-4348-9A47-12C56A0A4FA8}"/>
    <hyperlink ref="D17" r:id="rId174" xr:uid="{8F43DA26-1F1D-4CB6-839E-292EFA144FD3}"/>
    <hyperlink ref="D18" r:id="rId175" xr:uid="{E84A3422-5D6E-4266-A4B1-AB1CEB02EDDB}"/>
    <hyperlink ref="D19" r:id="rId176" xr:uid="{6E32E39D-3ABE-48EA-958D-805CCD88C0A0}"/>
    <hyperlink ref="D21" r:id="rId177" display="http://www.biblesociety.org.au/" xr:uid="{36548DF8-39B3-47E3-BAEF-262004B9F095}"/>
    <hyperlink ref="D22" r:id="rId178" xr:uid="{F559015D-2780-4C9C-ACA9-53F4C66C885A}"/>
    <hyperlink ref="D24" r:id="rId179" xr:uid="{A4FE4B8B-77FE-40CD-9658-B6C2A509C746}"/>
    <hyperlink ref="D26" r:id="rId180" display="http://biblesociety-ethiopia.org/" xr:uid="{C2C8D700-8F97-44BB-9CFB-69D591DB6FA6}"/>
    <hyperlink ref="D28" r:id="rId181" display="http://bible.org/" xr:uid="{38F68310-9952-4A19-8AA9-DE724A6E67EB}"/>
    <hyperlink ref="D29" r:id="rId182" xr:uid="{9C9A85A3-FF6E-4744-A3C3-98F52C1BA9F9}"/>
    <hyperlink ref="D30" r:id="rId183" xr:uid="{233BB475-7BA2-4574-960C-5DCA80DF8531}"/>
    <hyperlink ref="D31" r:id="rId184" xr:uid="{51A7D193-AB2B-4C45-A7F3-3D87A94D76AE}"/>
    <hyperlink ref="D32" r:id="rId185" xr:uid="{FC55F580-A109-488D-87A5-81AD23D6DD4D}"/>
    <hyperlink ref="D33" r:id="rId186" xr:uid="{2485A74E-E140-40C9-80E7-2638CF2A8B4C}"/>
    <hyperlink ref="D34" r:id="rId187" xr:uid="{55BC9306-3A57-47A8-8FB0-6A26FC283908}"/>
    <hyperlink ref="D35" r:id="rId188" xr:uid="{A61A0056-56EB-41A7-B9DE-96A78DB0B1EF}"/>
    <hyperlink ref="D36" r:id="rId189" xr:uid="{9FF48792-2CBA-4FF6-BCAB-666C61C02F6D}"/>
    <hyperlink ref="D38" r:id="rId190" xr:uid="{93D15395-179C-4E86-B7DA-7AA5A70DA377}"/>
    <hyperlink ref="D39" r:id="rId191" xr:uid="{DE05EE24-8FF7-4222-8597-424768D12231}"/>
    <hyperlink ref="D40" r:id="rId192" display="http://www.biblijskodrustvo.org.rs/" xr:uid="{2D516D69-CA1D-4381-AA6E-318FCD64F5B5}"/>
    <hyperlink ref="D42" r:id="rId193" xr:uid="{8DDD7660-2F6A-45FA-AAF8-5D203FA53F36}"/>
    <hyperlink ref="D43" r:id="rId194" xr:uid="{3B2298F6-B62B-4E56-81A8-444781AE3F7E}"/>
    <hyperlink ref="D44" r:id="rId195" xr:uid="{8D28D319-5C2C-4991-99C5-129D3CCFD521}"/>
    <hyperlink ref="D45" r:id="rId196" display="http://biblesociety-zimbabwe.org/" xr:uid="{7E09074A-CDA9-489E-8164-E5667B3E22BE}"/>
    <hyperlink ref="D46" r:id="rId197" xr:uid="{BEB0F790-79F2-4096-9558-179EDB9BCC4D}"/>
    <hyperlink ref="D47" r:id="rId198" xr:uid="{9B34E9DA-5FFE-4A10-B1AA-5C1F54DC4320}"/>
    <hyperlink ref="D48" r:id="rId199" xr:uid="{ED043B14-558B-478B-A78E-CB5A83E2CD8A}"/>
    <hyperlink ref="D50" r:id="rId200" display="http://www.biblesociety.ca/" xr:uid="{F51C6D84-CD3D-41A3-B3B8-9FD8A0B3B8A3}"/>
    <hyperlink ref="D51" r:id="rId201" xr:uid="{8FEB170A-86DD-4B65-8CC5-22D8E1F11644}"/>
    <hyperlink ref="D52" r:id="rId202" xr:uid="{73D3BA52-E8D4-4609-8663-2C08F3E70A73}"/>
    <hyperlink ref="D53" r:id="rId203" xr:uid="{5DDAEAF9-D999-45AF-8002-7CF71217B083}"/>
    <hyperlink ref="D54" r:id="rId204" display="http://www.ubscp.org/" xr:uid="{AB8691D3-409B-4D33-97E2-299FC44A13E0}"/>
    <hyperlink ref="D55" r:id="rId205" xr:uid="{4B103DE7-FF53-4E4F-B89F-06D764C86B5E}"/>
    <hyperlink ref="D56" r:id="rId206" display="http://www.crossway.org/" xr:uid="{FBBAA6F3-3D03-4A1D-AB98-3D7AC8918606}"/>
    <hyperlink ref="D58" r:id="rId207" xr:uid="{C967F436-F740-4ED2-AA69-CCCC837325EB}"/>
    <hyperlink ref="D59" r:id="rId208" display="https://davarpartners.com/" xr:uid="{2FF43003-3A00-4CE8-A8DB-70959E3F5249}"/>
    <hyperlink ref="D60" r:id="rId209" display="http://www.thedigitalbiblelibrary.org/" xr:uid="{D69AA2DE-6906-4570-8B2C-86B16B8A3D42}"/>
    <hyperlink ref="D61" r:id="rId210" display="http://www.thedigitalbiblelibrary.org/" xr:uid="{B80B9AC3-6E75-4571-A7B1-674E42C33B88}"/>
    <hyperlink ref="D62" r:id="rId211" xr:uid="{2D5626AA-904F-472F-A376-2665D05938DF}"/>
    <hyperlink ref="D63" r:id="rId212" xr:uid="{196E2E84-C055-42B7-B1F5-B642A1A4890E}"/>
    <hyperlink ref="D64" r:id="rId213" xr:uid="{92C1FCD7-CD7F-433C-BD8F-F17496B814BE}"/>
    <hyperlink ref="D65" r:id="rId214" xr:uid="{59322590-BD51-42AB-8BBD-3F809360C91B}"/>
    <hyperlink ref="D66" r:id="rId215" display="http://ebible.org/" xr:uid="{2C368638-F90E-4EAF-AD9C-CFA1AD2DC350}"/>
    <hyperlink ref="D67" r:id="rId216" xr:uid="{33CBA429-1798-4E00-8069-F8EC72B9A505}"/>
    <hyperlink ref="D68" r:id="rId217" xr:uid="{7660741B-64E1-4AD6-B3F8-21497F896EBF}"/>
    <hyperlink ref="D69" r:id="rId218" xr:uid="{473AB59F-8663-4041-93A7-198CD684391D}"/>
    <hyperlink ref="D70" r:id="rId219" xr:uid="{C439418A-74C2-4DCA-B66A-8A30A8730826}"/>
    <hyperlink ref="D71" r:id="rId220" display="http://www.dblipc.org/" xr:uid="{EC993426-70A5-4F66-B262-8CF986E96464}"/>
    <hyperlink ref="D72" r:id="rId221" xr:uid="{36C26473-E6F0-4E9E-9551-6B917EF9E8D5}"/>
    <hyperlink ref="D74" r:id="rId222" xr:uid="{38FBB857-9383-41FE-A872-60A017B12432}"/>
    <hyperlink ref="D75" r:id="rId223" display="http://www.faithcomesbyhearing.com/" xr:uid="{E8C1CD11-EC0B-4702-960E-0CF18232C33D}"/>
    <hyperlink ref="D76" r:id="rId224" xr:uid="{F2D415C5-F9D8-4F2F-B163-FA39C9C6F9DA}"/>
    <hyperlink ref="D77" r:id="rId225" xr:uid="{E6AAF820-C696-461F-B013-AA097CD1D3FF}"/>
    <hyperlink ref="D78" r:id="rId226" xr:uid="{1D2703AD-7C6E-4C6E-821E-3A669697748F}"/>
    <hyperlink ref="D79" r:id="rId227" xr:uid="{A04D9D0D-B9B6-47A1-8AB5-5ECD02DB934A}"/>
    <hyperlink ref="D80" r:id="rId228" xr:uid="{6E6595E8-E83C-4024-8B80-E52D25BAE57B}"/>
    <hyperlink ref="D81" r:id="rId229" display="http://www.die-bibel.de/" xr:uid="{D47210D4-2495-44B6-8153-C104FE6374EA}"/>
    <hyperlink ref="D82" r:id="rId230" xr:uid="{7B4869BB-FCF1-4A7E-BB4E-0FE114C4A67D}"/>
    <hyperlink ref="D83" r:id="rId231" xr:uid="{5D0B9B09-9069-4CF4-AAF5-CA845EB4B01B}"/>
    <hyperlink ref="D84" r:id="rId232" xr:uid="{19CC6682-A728-413D-8C9F-DFDB1F4725A5}"/>
    <hyperlink ref="D85" r:id="rId233" xr:uid="{8F1239DC-2CB4-4E52-A1D4-B1AD9D242797}"/>
    <hyperlink ref="D86" r:id="rId234" display="http://greek.bible/" xr:uid="{7DDF4B71-EAF8-4786-960D-B2CF4513BCF2}"/>
    <hyperlink ref="D87" r:id="rId235" display="http://www.sbiblica.org/" xr:uid="{515FB267-C8B8-41B6-A08C-C49B743CB0FA}"/>
    <hyperlink ref="D89" r:id="rId236" xr:uid="{7759B3A5-4EEB-4614-8A78-1C8E62D1A6B8}"/>
    <hyperlink ref="D90" r:id="rId237" xr:uid="{0DE87235-FC5D-44F9-B098-15479B38BF7C}"/>
    <hyperlink ref="D91" r:id="rId238" xr:uid="{F3D44617-4260-4AA6-9FBE-F0E5CBEC064E}"/>
    <hyperlink ref="D92" r:id="rId239" xr:uid="{9EFDDCFA-3586-491D-AC3B-BD46E9454900}"/>
    <hyperlink ref="D93" r:id="rId240" xr:uid="{03BE1B8D-6CC3-412E-B9C6-641FB98D4A1C}"/>
    <hyperlink ref="D94" r:id="rId241" display="http://csbible.com/" xr:uid="{0CC25565-E263-4691-8310-9375221FCBB3}"/>
    <hyperlink ref="D95" r:id="rId242" xr:uid="{6FAF9DA5-9DA8-45F2-8CAA-2E1DC973F6B4}"/>
    <hyperlink ref="D96" r:id="rId243" display="http://albanianbiblesociety.com/" xr:uid="{9649AD25-F675-4961-8042-3492E119160C}"/>
    <hyperlink ref="D97" r:id="rId244" xr:uid="{FCA720EB-3586-4C2F-8A97-D6E7BE75C871}"/>
    <hyperlink ref="D98" r:id="rId245" display="http://www.societateabiblica.org/" xr:uid="{7CDF9AF4-30C6-48AA-A673-1B60778BCE39}"/>
    <hyperlink ref="D100" r:id="rId246" display="http://www.rki.fi/" xr:uid="{4CCCBBF0-1D9D-4CC3-B739-608CFA0F1046}"/>
    <hyperlink ref="D101" r:id="rId247" display="https://ibtrussia.org/" xr:uid="{578483D0-FEF6-4C05-B17C-D4F0926B6358}"/>
    <hyperlink ref="D102" r:id="rId248" display="http://www.ifb.nu/" xr:uid="{D8E193F2-BC72-4053-8385-947EDC522877}"/>
    <hyperlink ref="D103" r:id="rId249" xr:uid="{AB3B4513-1A95-4E32-B117-9553FB194466}"/>
    <hyperlink ref="D104" r:id="rId250" xr:uid="{A68BC59E-7F75-4671-9528-8223115E33E4}"/>
    <hyperlink ref="D105" r:id="rId251" xr:uid="{A95D4538-02B4-4840-BCC3-BC03B65B2B3D}"/>
    <hyperlink ref="D106" r:id="rId252" display="http://www.sharifbible.com/" xr:uid="{54ED298D-9244-4657-BD9B-994C25890933}"/>
    <hyperlink ref="D107" r:id="rId253" xr:uid="{D1A6374B-9D8E-42D6-9B63-94EA2CF77583}"/>
    <hyperlink ref="D108" r:id="rId254" xr:uid="{980AEBB6-628A-4CD1-B0AA-27C7D0E0F132}"/>
    <hyperlink ref="D109" r:id="rId255" xr:uid="{35933A42-978E-4A92-8D32-10F8FAF9183C}"/>
    <hyperlink ref="D110" r:id="rId256" xr:uid="{91E936CF-40ED-4F36-B72F-BB587AAFB5E1}"/>
    <hyperlink ref="D111" r:id="rId257" xr:uid="{C4A148E1-F01A-45BE-8CE4-ECC2CC6CEECB}"/>
    <hyperlink ref="D112" r:id="rId258" xr:uid="{F13533BF-2261-4BF2-878D-CC7A0BE4BED2}"/>
    <hyperlink ref="D113" r:id="rId259" xr:uid="{8F27E3E3-A02B-4B9F-AAD0-2A3F1A52205C}"/>
    <hyperlink ref="D114" r:id="rId260" xr:uid="{5A45F8E8-C039-4C18-999F-BB2BA25863B4}"/>
    <hyperlink ref="D115" r:id="rId261" xr:uid="{8AA82878-A75C-46D2-9A19-FDD7178FA9FC}"/>
    <hyperlink ref="D116" r:id="rId262" xr:uid="{6C98B498-58A0-4336-A927-D12BBDC65017}"/>
    <hyperlink ref="D117" r:id="rId263" xr:uid="{36EEC756-AA85-4286-9793-12CDEA6629A9}"/>
    <hyperlink ref="D118" r:id="rId264" xr:uid="{88A33BD1-4903-40D5-9EFA-B952FBBC2230}"/>
    <hyperlink ref="D119" r:id="rId265" xr:uid="{DC27C851-35D3-40A5-84A1-E99ADC18CE20}"/>
    <hyperlink ref="D121" r:id="rId266" xr:uid="{36FF2807-63EC-4277-BCB9-CD1288FEC69B}"/>
    <hyperlink ref="D122" r:id="rId267" xr:uid="{8F20EE88-EFD4-4167-8918-A0A86EE50A3F}"/>
    <hyperlink ref="D123" r:id="rId268" xr:uid="{2992232E-4DD6-48F1-B1DD-CD0DFD162EBD}"/>
    <hyperlink ref="D124" r:id="rId269" xr:uid="{B4B1CF22-7559-4767-9E5B-EBF0B230DF82}"/>
    <hyperlink ref="D125" r:id="rId270" xr:uid="{06F09D0F-0F8C-46F4-9B4E-5E4ABACD9922}"/>
    <hyperlink ref="D126" r:id="rId271" display="http://lumoproject.com/" xr:uid="{C993BF4A-A2A1-4BB5-8ED9-0A02194FF70B}"/>
    <hyperlink ref="D127" r:id="rId272" xr:uid="{38841D70-459D-4DB9-877D-D6BFF1822F46}"/>
    <hyperlink ref="D128" r:id="rId273" display="http://www.biblesociety-mali.org/" xr:uid="{8DAC8490-15DD-4995-BF62-3962FEAA618D}"/>
    <hyperlink ref="D129" r:id="rId274" xr:uid="{F80BDCEA-5741-4075-BEB1-9ABE558DC43E}"/>
    <hyperlink ref="D130" r:id="rId275" xr:uid="{8ADC62C5-ABA4-4925-B10E-78B79CB41F94}"/>
    <hyperlink ref="D131" r:id="rId276" xr:uid="{E1EF1763-F70F-4507-A2AB-F593EBFA6021}"/>
    <hyperlink ref="D132" r:id="rId277" xr:uid="{098833BA-C3C1-4767-AE2D-E24202691C6D}"/>
    <hyperlink ref="D133" r:id="rId278" xr:uid="{65C48344-197A-4C23-B9E7-C724EC89244E}"/>
    <hyperlink ref="D134" r:id="rId279" xr:uid="{6D3286F7-4106-416A-AF88-09F6533D341E}"/>
    <hyperlink ref="D135" r:id="rId280" xr:uid="{A568DB23-2865-46E4-9F1E-11C403552545}"/>
    <hyperlink ref="D136" r:id="rId281" display="https://www.biblesociety.ma/" xr:uid="{B7D3D955-308D-4480-86B2-38820BF03884}"/>
    <hyperlink ref="D137" r:id="rId282" xr:uid="{B1C85DE7-3B14-47F8-9F78-D44DF16F1F84}"/>
    <hyperlink ref="D138" r:id="rId283" xr:uid="{31DA2D15-74A4-4CAB-B598-A06CC382FE09}"/>
    <hyperlink ref="D139" r:id="rId284" xr:uid="{78AE37A6-B2DF-482D-814D-AE97A17715FC}"/>
    <hyperlink ref="D140" r:id="rId285" xr:uid="{3A0F4910-82FB-4BED-A6F5-76C796DC911E}"/>
    <hyperlink ref="D141" r:id="rId286" display="http://www.nambible.org.na/" xr:uid="{F910F634-3D23-4B26-B518-757D35BB5830}"/>
    <hyperlink ref="D143" r:id="rId287" display="http://wycliffe.net/" xr:uid="{E78336E8-DD83-4494-A5D6-43B266CAEB74}"/>
    <hyperlink ref="D144" r:id="rId288" xr:uid="{E9F31559-13E0-4DCD-8A9B-12CA5DB21FAC}"/>
    <hyperlink ref="D145" r:id="rId289" xr:uid="{F38B0B78-1B9F-41C8-850F-407C231A7A89}"/>
    <hyperlink ref="D146" r:id="rId290" xr:uid="{98223ADF-616B-4B4B-ACF6-9E5B4F5620CD}"/>
    <hyperlink ref="D147" r:id="rId291" xr:uid="{C57C5750-5790-4278-909F-DE0D83FE6B2A}"/>
    <hyperlink ref="D148" r:id="rId292" xr:uid="{2736B292-C62C-40EB-ACA5-037579C0400A}"/>
    <hyperlink ref="D149" r:id="rId293" xr:uid="{071F33A5-3755-4538-B3AA-45C4A5DA0B4F}"/>
    <hyperlink ref="D150" r:id="rId294" xr:uid="{AD2592E7-3798-4502-AC16-1E58DB6D5355}"/>
    <hyperlink ref="D151" r:id="rId295" display="http://sbp.org.py/" xr:uid="{2271F9D5-F376-4D3D-BBE5-688F0ED38324}"/>
    <hyperlink ref="D152" r:id="rId296" xr:uid="{71215E97-4335-43E7-BBBF-2D71EC125FD9}"/>
    <hyperlink ref="D153" r:id="rId297" xr:uid="{C45EE4B8-62AA-4706-9E71-B0CA031DE2E5}"/>
    <hyperlink ref="D154" r:id="rId298" xr:uid="{3247E72D-572E-49B5-9088-3549DC5556A1}"/>
    <hyperlink ref="D155" r:id="rId299" xr:uid="{4CBE380B-C673-4481-82E6-93639174DCD1}"/>
    <hyperlink ref="D156" r:id="rId300" xr:uid="{65A9AC69-32BC-4D64-9CB4-22069F9F9DE1}"/>
    <hyperlink ref="D158" r:id="rId301" xr:uid="{71B2E296-69CD-45A6-A03F-09E1D748A043}"/>
    <hyperlink ref="D159" r:id="rId302" xr:uid="{E83FEE1F-4271-4A5A-95D8-60F8943FD6D4}"/>
    <hyperlink ref="D160" r:id="rId303" xr:uid="{48A47150-70FA-4202-93DB-98023752208D}"/>
    <hyperlink ref="D161" r:id="rId304" xr:uid="{2201EFFB-C14D-487A-9B4F-57878C5870AB}"/>
    <hyperlink ref="D162" r:id="rId305" xr:uid="{141A9F35-6EAD-4EF2-BC08-69273855D962}"/>
    <hyperlink ref="D163" r:id="rId306" xr:uid="{0886DED5-AD16-49B6-83CC-2FDBB597F3AE}"/>
    <hyperlink ref="D164" r:id="rId307" display="http://www.sbb.org.br/" xr:uid="{C88DCF8A-D77F-46F6-9C1B-47CA99FB453A}"/>
    <hyperlink ref="D166" r:id="rId308" display="http://www.sociedadbiblicacolombiana.com/" xr:uid="{3B4FF48C-6237-4AE1-8FB7-166CA48CD88F}"/>
    <hyperlink ref="D167" r:id="rId309" xr:uid="{44CE0375-343A-4328-BD34-539C01FC67DB}"/>
    <hyperlink ref="D168" r:id="rId310" xr:uid="{5F5F5005-B72F-426E-83F5-AF3529961090}"/>
    <hyperlink ref="D169" r:id="rId311" xr:uid="{2C6F03EC-1923-473F-BC60-9D2CE4222FCD}"/>
    <hyperlink ref="D170" r:id="rId312" xr:uid="{4E419357-3F4B-4C85-B35F-B4DE66EF5D30}"/>
    <hyperlink ref="D171" r:id="rId313" xr:uid="{DDBD71E6-4EAE-4029-AFD7-62CA2EAA7480}"/>
    <hyperlink ref="D172" r:id="rId314" display="http://www.scottishbiblesociety.org/" xr:uid="{451D4A3C-C0C9-49A0-A3DC-E9D02BF91BD0}"/>
    <hyperlink ref="D173" r:id="rId315" xr:uid="{C6D5AA53-B894-48D2-B5AB-CB7396F787D3}"/>
    <hyperlink ref="D174" r:id="rId316" xr:uid="{8A156564-E712-4AA4-B6DE-A0124DBA852F}"/>
    <hyperlink ref="D176" r:id="rId317" xr:uid="{EC9A83D8-A51B-456E-86EC-BCC86104D0C2}"/>
    <hyperlink ref="D177" r:id="rId318" xr:uid="{D951A60F-4D4F-4737-A2A4-D8730D60FDF2}"/>
    <hyperlink ref="D178" r:id="rId319" xr:uid="{E1DC3AC9-0770-465E-B843-5A9ACD0E3AD2}"/>
    <hyperlink ref="D179" r:id="rId320" xr:uid="{59476535-133E-4DFF-B419-5FC656849CDF}"/>
    <hyperlink ref="D180" r:id="rId321" display="http://sociedadbiblica.org/" xr:uid="{55C7D718-9697-4586-9A40-B47ED46D2447}"/>
    <hyperlink ref="D183" r:id="rId322" xr:uid="{4DF09C5D-8D81-4A85-8440-63775F5712B4}"/>
    <hyperlink ref="D184" r:id="rId323" xr:uid="{9F7477CC-6EAF-4E3E-B619-0313B3D4C51A}"/>
    <hyperlink ref="D185" r:id="rId324" xr:uid="{BB709515-B7A6-409D-B082-03E05C2203FD}"/>
    <hyperlink ref="D187" r:id="rId325" display="http://www.talkingbibles.org/" xr:uid="{6C214FAF-A9BB-4B9B-91BB-3EFE5D3C6857}"/>
    <hyperlink ref="D189" r:id="rId326" display="http://thedigitalbiblelibrary.org/" xr:uid="{B1BB12C1-09E2-41F7-8830-8819B5B9AAF5}"/>
    <hyperlink ref="D190" r:id="rId327" xr:uid="{F6A70580-C10F-40A7-BA1C-D70365ECCE2B}"/>
    <hyperlink ref="D191" r:id="rId328" xr:uid="{E3878463-8426-4773-B229-A7297229FE5B}"/>
    <hyperlink ref="D192" r:id="rId329" xr:uid="{0A514523-2F9D-4DD3-BA03-A78C19907D47}"/>
    <hyperlink ref="D193" r:id="rId330" xr:uid="{F8BECA9D-ECCD-41AB-B54E-CF49B31D3C29}"/>
    <hyperlink ref="D194" r:id="rId331" xr:uid="{2815303A-D0D8-47A1-8CDE-21702830CB87}"/>
    <hyperlink ref="D195" r:id="rId332" xr:uid="{EAED37A1-813D-4188-BAC9-E140EDC81B0C}"/>
    <hyperlink ref="D196" r:id="rId333" xr:uid="{85BBAE75-B920-4C9A-8751-2D413E21C376}"/>
    <hyperlink ref="D198" r:id="rId334" xr:uid="{93C22814-3B62-4362-9FCC-4C0A82CC81E4}"/>
    <hyperlink ref="D199" r:id="rId335" xr:uid="{BA442359-2B29-4BB2-BE92-DC2D6DFA5C83}"/>
    <hyperlink ref="D200" r:id="rId336" xr:uid="{47971ECF-7074-404A-99D3-40C05E7F231A}"/>
    <hyperlink ref="D201" r:id="rId337" display="http://www.biblevietnam.org/" xr:uid="{8F598CFD-0AE3-4664-B5ED-88507EFE8BD7}"/>
    <hyperlink ref="D202" r:id="rId338" display="http://www.wycliffe.org/" xr:uid="{79D76264-A7ED-4F74-9725-93A77E61CA5F}"/>
    <hyperlink ref="D204" r:id="rId339" display="http://www.biblesocietywi.com/" xr:uid="{6C9776B0-440F-4C80-8F68-87DC46717339}"/>
    <hyperlink ref="D206" r:id="rId340" xr:uid="{148CC028-B6FD-41EE-A8A7-5883E8C1536C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STEP</vt:lpstr>
      <vt:lpstr>DBL_Biblica</vt:lpstr>
      <vt:lpstr>DBL_OpenAccess</vt:lpstr>
      <vt:lpstr>DBL_FullList</vt:lpstr>
      <vt:lpstr>BibleInEveryLanguageTexts</vt:lpstr>
      <vt:lpstr>ContactsDbl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</dc:creator>
  <cp:lastModifiedBy>Jamie</cp:lastModifiedBy>
  <dcterms:created xsi:type="dcterms:W3CDTF">2021-03-04T13:36:11Z</dcterms:created>
  <dcterms:modified xsi:type="dcterms:W3CDTF">2021-03-14T19:07:52Z</dcterms:modified>
</cp:coreProperties>
</file>